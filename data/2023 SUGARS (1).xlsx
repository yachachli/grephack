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fileSharing readOnlyRecommended="1"/>
  <workbookPr showObjects="none" codeName="ThisWorkbook" hidePivotFieldList="1"/>
  <mc:AlternateContent xmlns:mc="http://schemas.openxmlformats.org/markup-compatibility/2006">
    <mc:Choice Requires="x15">
      <x15ac:absPath xmlns:x15ac="http://schemas.microsoft.com/office/spreadsheetml/2010/11/ac" url="https://langetwins.sharepoint.com/sites/VineyardOps/Shared Documents/Harvest OLD/Harvest 2023/"/>
    </mc:Choice>
  </mc:AlternateContent>
  <xr:revisionPtr revIDLastSave="17887" documentId="8_{ACE0BFEC-4E9F-4EFD-A738-A7CDF2B6F116}" xr6:coauthVersionLast="47" xr6:coauthVersionMax="47" xr10:uidLastSave="{66A89002-8BE9-47BB-A8C3-134C2DAE27A0}"/>
  <bookViews>
    <workbookView xWindow="-108" yWindow="-108" windowWidth="23256" windowHeight="13896" activeTab="3" xr2:uid="{00000000-000D-0000-FFFF-FFFF00000000}"/>
  </bookViews>
  <sheets>
    <sheet name="All Brix" sheetId="1" r:id="rId1"/>
    <sheet name="Hoja1" sheetId="18" state="hidden" r:id="rId2"/>
    <sheet name="Lab Analysis" sheetId="14" r:id="rId3"/>
    <sheet name="Sampling Schedule" sheetId="4" r:id="rId4"/>
    <sheet name="Scheduling Docket" sheetId="17" state="hidden" r:id="rId5"/>
    <sheet name="Dashboard" sheetId="13" state="hidden" r:id="rId6"/>
    <sheet name="LTW Harvest Forecast" sheetId="15" state="hidden" r:id="rId7"/>
    <sheet name="Brix Pivot Table" sheetId="12" state="hidden" r:id="rId8"/>
  </sheets>
  <definedNames>
    <definedName name="_xlnm._FilterDatabase" localSheetId="0" hidden="1">'All Brix'!$A$4:$EG$393</definedName>
    <definedName name="_xlnm.Print_Area" localSheetId="0">'All Brix'!$C$1:$BZ$393</definedName>
    <definedName name="_xlnm.Print_Titles" localSheetId="0">'All Brix'!$2:$4</definedName>
    <definedName name="Slicer_CODE">#N/A</definedName>
    <definedName name="Slicer_REGION">#N/A</definedName>
    <definedName name="Slicer_VARIETY">#N/A</definedName>
    <definedName name="Slicer_WINERY">#N/A</definedName>
  </definedNames>
  <calcPr calcId="191028"/>
  <pivotCaches>
    <pivotCache cacheId="3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0" i="1" l="1" a="1"/>
  <c r="J160" i="1" s="1"/>
  <c r="I160" i="1" a="1"/>
  <c r="I160" i="1" s="1"/>
  <c r="J159" i="1" a="1"/>
  <c r="J159" i="1" s="1"/>
  <c r="I159" i="1" a="1"/>
  <c r="I159" i="1" s="1"/>
  <c r="J217" i="1" a="1"/>
  <c r="J217" i="1" s="1"/>
  <c r="I217" i="1" a="1"/>
  <c r="I217" i="1" s="1"/>
  <c r="J216" i="1" a="1"/>
  <c r="J216" i="1" s="1"/>
  <c r="I216" i="1" a="1"/>
  <c r="I216" i="1" s="1"/>
  <c r="J116" i="1" a="1"/>
  <c r="J116" i="1" s="1"/>
  <c r="I116" i="1" a="1"/>
  <c r="I116" i="1" s="1"/>
  <c r="J143" i="1" a="1"/>
  <c r="J143" i="1" s="1"/>
  <c r="I143" i="1" a="1"/>
  <c r="I143" i="1" s="1"/>
  <c r="J142" i="1" a="1"/>
  <c r="J142" i="1" s="1"/>
  <c r="I142" i="1" a="1"/>
  <c r="I142" i="1" s="1"/>
  <c r="J114" i="1" a="1"/>
  <c r="J114" i="1" s="1"/>
  <c r="I114" i="1" a="1"/>
  <c r="I114" i="1" s="1"/>
  <c r="J113" i="1" a="1"/>
  <c r="J113" i="1" s="1"/>
  <c r="I113" i="1" a="1"/>
  <c r="I113" i="1" s="1"/>
  <c r="J290" i="1" a="1"/>
  <c r="J290" i="1" s="1"/>
  <c r="J146" i="1" a="1"/>
  <c r="J146" i="1" s="1"/>
  <c r="I146" i="1" a="1"/>
  <c r="I146" i="1" s="1"/>
  <c r="BX279" i="1" l="1"/>
  <c r="BW376" i="1" l="1"/>
  <c r="J41" i="1" a="1"/>
  <c r="J41" i="1" s="1"/>
  <c r="I41" i="1" a="1"/>
  <c r="I41" i="1" s="1"/>
  <c r="J200" i="1" a="1"/>
  <c r="J200" i="1" s="1"/>
  <c r="I200" i="1" a="1"/>
  <c r="I200" i="1" s="1"/>
  <c r="J84" i="1" a="1"/>
  <c r="J84" i="1" s="1"/>
  <c r="I84" i="1" a="1"/>
  <c r="I84" i="1" s="1"/>
  <c r="J348" i="1" l="1" a="1"/>
  <c r="J348" i="1" s="1"/>
  <c r="I348" i="1" a="1"/>
  <c r="I348" i="1" s="1"/>
  <c r="J347" i="1" a="1"/>
  <c r="J347" i="1" s="1"/>
  <c r="I347" i="1" a="1"/>
  <c r="I347" i="1" s="1"/>
  <c r="J170" i="1" a="1"/>
  <c r="J170" i="1" s="1"/>
  <c r="J237" i="1" l="1" a="1"/>
  <c r="J237" i="1" s="1"/>
  <c r="AF21" i="15"/>
  <c r="AF20" i="15"/>
  <c r="AE25" i="15" s="1"/>
  <c r="AF19" i="15"/>
  <c r="J40" i="1" a="1"/>
  <c r="J40" i="1" s="1"/>
  <c r="I40" i="1" a="1"/>
  <c r="I40" i="1" s="1"/>
  <c r="C3" i="1"/>
  <c r="O21" i="15"/>
  <c r="I165" i="1" a="1"/>
  <c r="I165" i="1" s="1"/>
  <c r="J165" i="1" a="1"/>
  <c r="J165" i="1" s="1"/>
  <c r="I168" i="1" a="1"/>
  <c r="I168" i="1" s="1"/>
  <c r="J168" i="1" a="1"/>
  <c r="J168" i="1" s="1"/>
  <c r="I167" i="1" a="1"/>
  <c r="I167" i="1" s="1"/>
  <c r="J167" i="1" a="1"/>
  <c r="J167" i="1" s="1"/>
  <c r="O20" i="15"/>
  <c r="O19" i="15"/>
  <c r="J307" i="1" a="1"/>
  <c r="J307" i="1" s="1"/>
  <c r="J35" i="1" a="1"/>
  <c r="J35" i="1" s="1"/>
  <c r="I35" i="1" a="1"/>
  <c r="I35" i="1" s="1"/>
  <c r="I384" i="1" a="1"/>
  <c r="I384" i="1" s="1"/>
  <c r="J56" i="1" a="1"/>
  <c r="J56" i="1" s="1"/>
  <c r="I56" i="1" a="1"/>
  <c r="I56" i="1" s="1"/>
  <c r="J64" i="1" a="1"/>
  <c r="J64" i="1" s="1"/>
  <c r="I64" i="1" a="1"/>
  <c r="I64" i="1" s="1"/>
  <c r="J63" i="1" a="1"/>
  <c r="J63" i="1" s="1"/>
  <c r="I63" i="1" a="1"/>
  <c r="I63" i="1" s="1"/>
  <c r="J62" i="1" a="1"/>
  <c r="J62" i="1" s="1"/>
  <c r="I62" i="1" a="1"/>
  <c r="I62" i="1" s="1"/>
  <c r="J76" i="1" a="1"/>
  <c r="J76" i="1" s="1"/>
  <c r="J75" i="1" a="1"/>
  <c r="J75" i="1" s="1"/>
  <c r="I75" i="1" a="1"/>
  <c r="I75" i="1" s="1"/>
  <c r="I76" i="1" a="1"/>
  <c r="I76" i="1" s="1"/>
  <c r="J6" i="1" a="1"/>
  <c r="J6" i="1" s="1"/>
  <c r="J373" i="1" a="1"/>
  <c r="J373" i="1" s="1"/>
  <c r="J374" i="1" a="1"/>
  <c r="J374" i="1" s="1"/>
  <c r="J375" i="1" a="1"/>
  <c r="J375" i="1" s="1"/>
  <c r="J362" i="1" a="1"/>
  <c r="J362" i="1" s="1"/>
  <c r="J363" i="1" a="1"/>
  <c r="J363" i="1" s="1"/>
  <c r="J365" i="1" a="1"/>
  <c r="J365" i="1" s="1"/>
  <c r="J366" i="1" a="1"/>
  <c r="J366" i="1" s="1"/>
  <c r="J367" i="1" a="1"/>
  <c r="J367" i="1" s="1"/>
  <c r="J368" i="1" a="1"/>
  <c r="J368" i="1" s="1"/>
  <c r="J369" i="1" a="1"/>
  <c r="J369" i="1" s="1"/>
  <c r="J370" i="1" a="1"/>
  <c r="J370" i="1" s="1"/>
  <c r="J371" i="1" a="1"/>
  <c r="J371" i="1" s="1"/>
  <c r="J372" i="1" a="1"/>
  <c r="J372" i="1" s="1"/>
  <c r="J376" i="1" a="1"/>
  <c r="J376" i="1" s="1"/>
  <c r="J377" i="1" a="1"/>
  <c r="J377" i="1" s="1"/>
  <c r="J378" i="1" a="1"/>
  <c r="J378" i="1" s="1"/>
  <c r="J379" i="1" a="1"/>
  <c r="J379" i="1" s="1"/>
  <c r="J380" i="1" a="1"/>
  <c r="J380" i="1" s="1"/>
  <c r="J381" i="1" a="1"/>
  <c r="J381" i="1" s="1"/>
  <c r="J382" i="1" a="1"/>
  <c r="J382" i="1" s="1"/>
  <c r="J383" i="1" a="1"/>
  <c r="J383" i="1" s="1"/>
  <c r="J386" i="1" a="1"/>
  <c r="J386" i="1" s="1"/>
  <c r="J384" i="1" a="1"/>
  <c r="J384" i="1" s="1"/>
  <c r="J385" i="1" a="1"/>
  <c r="J385" i="1" s="1"/>
  <c r="J387" i="1" a="1"/>
  <c r="J387" i="1" s="1"/>
  <c r="J388" i="1" a="1"/>
  <c r="J388" i="1" s="1"/>
  <c r="J389" i="1" a="1"/>
  <c r="J389" i="1" s="1"/>
  <c r="J390" i="1" a="1"/>
  <c r="J390" i="1" s="1"/>
  <c r="J391" i="1" a="1"/>
  <c r="J391" i="1" s="1"/>
  <c r="J392" i="1" a="1"/>
  <c r="J392" i="1" s="1"/>
  <c r="J393" i="1" a="1"/>
  <c r="J393" i="1" s="1"/>
  <c r="J364" i="1" a="1"/>
  <c r="J364" i="1" s="1"/>
  <c r="J355" i="1" a="1"/>
  <c r="J355" i="1" s="1"/>
  <c r="J356" i="1" a="1"/>
  <c r="J356" i="1" s="1"/>
  <c r="J357" i="1" a="1"/>
  <c r="J357" i="1" s="1"/>
  <c r="J358" i="1" a="1"/>
  <c r="J358" i="1" s="1"/>
  <c r="J359" i="1" a="1"/>
  <c r="J359" i="1" s="1"/>
  <c r="J360" i="1" a="1"/>
  <c r="J360" i="1" s="1"/>
  <c r="J354" i="1" a="1"/>
  <c r="J354" i="1" s="1"/>
  <c r="J352" i="1" a="1"/>
  <c r="J352" i="1" s="1"/>
  <c r="J350" i="1" a="1"/>
  <c r="J350" i="1" s="1"/>
  <c r="J346" i="1" a="1"/>
  <c r="J346" i="1" s="1"/>
  <c r="J340" i="1" a="1"/>
  <c r="J340" i="1" s="1"/>
  <c r="J341" i="1" a="1"/>
  <c r="J341" i="1" s="1"/>
  <c r="J342" i="1" a="1"/>
  <c r="J342" i="1" s="1"/>
  <c r="J343" i="1" a="1"/>
  <c r="J343" i="1" s="1"/>
  <c r="J344" i="1" a="1"/>
  <c r="J344" i="1" s="1"/>
  <c r="J339" i="1" a="1"/>
  <c r="J339" i="1" s="1"/>
  <c r="J337" i="1" a="1"/>
  <c r="J337" i="1" s="1"/>
  <c r="J332" i="1" a="1"/>
  <c r="J332" i="1" s="1"/>
  <c r="J333" i="1" a="1"/>
  <c r="J333" i="1" s="1"/>
  <c r="J334" i="1" a="1"/>
  <c r="J334" i="1" s="1"/>
  <c r="J335" i="1" a="1"/>
  <c r="J335" i="1" s="1"/>
  <c r="J331" i="1" a="1"/>
  <c r="J331" i="1" s="1"/>
  <c r="J329" i="1" a="1"/>
  <c r="J329" i="1" s="1"/>
  <c r="J313" i="1" a="1"/>
  <c r="J313" i="1" s="1"/>
  <c r="J316" i="1" a="1"/>
  <c r="J316" i="1" s="1"/>
  <c r="J314" i="1" a="1"/>
  <c r="J314" i="1" s="1"/>
  <c r="J315" i="1" a="1"/>
  <c r="J315" i="1" s="1"/>
  <c r="J317" i="1" a="1"/>
  <c r="J317" i="1" s="1"/>
  <c r="J321" i="1" a="1"/>
  <c r="J321" i="1" s="1"/>
  <c r="J322" i="1" a="1"/>
  <c r="J322" i="1" s="1"/>
  <c r="J318" i="1" a="1"/>
  <c r="J318" i="1" s="1"/>
  <c r="J319" i="1" a="1"/>
  <c r="J319" i="1" s="1"/>
  <c r="J323" i="1" a="1"/>
  <c r="J323" i="1" s="1"/>
  <c r="J324" i="1" a="1"/>
  <c r="J324" i="1" s="1"/>
  <c r="J326" i="1" a="1"/>
  <c r="J326" i="1" s="1"/>
  <c r="J327" i="1" a="1"/>
  <c r="J327" i="1" s="1"/>
  <c r="J325" i="1" a="1"/>
  <c r="J325" i="1" s="1"/>
  <c r="J312" i="1" a="1"/>
  <c r="J312" i="1" s="1"/>
  <c r="J310" i="1" a="1"/>
  <c r="J310" i="1" s="1"/>
  <c r="J308" i="1" a="1"/>
  <c r="J308" i="1" s="1"/>
  <c r="J309" i="1" a="1"/>
  <c r="J309" i="1" s="1"/>
  <c r="J297" i="1" a="1"/>
  <c r="J297" i="1" s="1"/>
  <c r="J298" i="1" a="1"/>
  <c r="J298" i="1" s="1"/>
  <c r="J299" i="1" a="1"/>
  <c r="J299" i="1" s="1"/>
  <c r="J300" i="1" a="1"/>
  <c r="J300" i="1" s="1"/>
  <c r="J301" i="1" a="1"/>
  <c r="J301" i="1" s="1"/>
  <c r="J302" i="1" a="1"/>
  <c r="J302" i="1" s="1"/>
  <c r="J303" i="1" a="1"/>
  <c r="J303" i="1" s="1"/>
  <c r="J304" i="1" a="1"/>
  <c r="J304" i="1" s="1"/>
  <c r="J305" i="1" a="1"/>
  <c r="J305" i="1" s="1"/>
  <c r="J296" i="1" a="1"/>
  <c r="J296" i="1" s="1"/>
  <c r="J295" i="1" a="1"/>
  <c r="J295" i="1" s="1"/>
  <c r="J277" i="1" a="1"/>
  <c r="J277" i="1" s="1"/>
  <c r="J278" i="1" a="1"/>
  <c r="J278" i="1" s="1"/>
  <c r="J279" i="1" a="1"/>
  <c r="J279" i="1" s="1"/>
  <c r="J280" i="1" a="1"/>
  <c r="J280" i="1" s="1"/>
  <c r="J281" i="1" a="1"/>
  <c r="J281" i="1" s="1"/>
  <c r="J282" i="1" a="1"/>
  <c r="J282" i="1" s="1"/>
  <c r="J283" i="1" a="1"/>
  <c r="J283" i="1" s="1"/>
  <c r="J284" i="1" a="1"/>
  <c r="J284" i="1" s="1"/>
  <c r="J285" i="1" a="1"/>
  <c r="J285" i="1" s="1"/>
  <c r="J286" i="1" a="1"/>
  <c r="J286" i="1" s="1"/>
  <c r="J287" i="1" a="1"/>
  <c r="J287" i="1" s="1"/>
  <c r="J288" i="1" a="1"/>
  <c r="J288" i="1" s="1"/>
  <c r="J289" i="1" a="1"/>
  <c r="J289" i="1" s="1"/>
  <c r="J291" i="1" a="1"/>
  <c r="J291" i="1" s="1"/>
  <c r="J292" i="1" a="1"/>
  <c r="J292" i="1" s="1"/>
  <c r="J293" i="1" a="1"/>
  <c r="J293" i="1" s="1"/>
  <c r="J276" i="1" a="1"/>
  <c r="J276" i="1" s="1"/>
  <c r="J244" i="1" a="1"/>
  <c r="J244" i="1" s="1"/>
  <c r="J245" i="1" a="1"/>
  <c r="J245" i="1" s="1"/>
  <c r="J247" i="1" a="1"/>
  <c r="J247" i="1" s="1"/>
  <c r="J250" i="1" a="1"/>
  <c r="J250" i="1" s="1"/>
  <c r="J251" i="1" a="1"/>
  <c r="J251" i="1" s="1"/>
  <c r="J248" i="1" a="1"/>
  <c r="J248" i="1" s="1"/>
  <c r="J249" i="1" a="1"/>
  <c r="J249" i="1" s="1"/>
  <c r="J252" i="1" a="1"/>
  <c r="J252" i="1" s="1"/>
  <c r="J253" i="1" a="1"/>
  <c r="J253" i="1" s="1"/>
  <c r="J254" i="1" a="1"/>
  <c r="J254" i="1" s="1"/>
  <c r="J255" i="1" a="1"/>
  <c r="J255" i="1" s="1"/>
  <c r="J256" i="1" a="1"/>
  <c r="J256" i="1" s="1"/>
  <c r="J257" i="1" a="1"/>
  <c r="J257" i="1" s="1"/>
  <c r="J258" i="1" a="1"/>
  <c r="J258" i="1" s="1"/>
  <c r="J259" i="1" a="1"/>
  <c r="J259" i="1" s="1"/>
  <c r="J260" i="1" a="1"/>
  <c r="J260" i="1" s="1"/>
  <c r="J261" i="1" a="1"/>
  <c r="J261" i="1" s="1"/>
  <c r="J262" i="1" a="1"/>
  <c r="J262" i="1" s="1"/>
  <c r="J263" i="1" a="1"/>
  <c r="J263" i="1" s="1"/>
  <c r="J265" i="1" a="1"/>
  <c r="J265" i="1" s="1"/>
  <c r="J264" i="1" a="1"/>
  <c r="J264" i="1" s="1"/>
  <c r="J266" i="1" a="1"/>
  <c r="J266" i="1" s="1"/>
  <c r="J267" i="1" a="1"/>
  <c r="J267" i="1" s="1"/>
  <c r="J268" i="1" a="1"/>
  <c r="J268" i="1" s="1"/>
  <c r="J269" i="1" a="1"/>
  <c r="J269" i="1" s="1"/>
  <c r="J270" i="1" a="1"/>
  <c r="J270" i="1" s="1"/>
  <c r="J272" i="1" a="1"/>
  <c r="J272" i="1" s="1"/>
  <c r="J273" i="1" a="1"/>
  <c r="J273" i="1" s="1"/>
  <c r="J274" i="1" a="1"/>
  <c r="J274" i="1" s="1"/>
  <c r="J246" i="1" a="1"/>
  <c r="J246" i="1" s="1"/>
  <c r="J229" i="1" a="1"/>
  <c r="J229" i="1" s="1"/>
  <c r="J232" i="1" a="1"/>
  <c r="J232" i="1" s="1"/>
  <c r="J230" i="1" a="1"/>
  <c r="J230" i="1" s="1"/>
  <c r="J231" i="1" a="1"/>
  <c r="J231" i="1" s="1"/>
  <c r="J233" i="1" a="1"/>
  <c r="J233" i="1" s="1"/>
  <c r="J234" i="1" a="1"/>
  <c r="J234" i="1" s="1"/>
  <c r="J235" i="1" a="1"/>
  <c r="J235" i="1" s="1"/>
  <c r="J236" i="1" a="1"/>
  <c r="J236" i="1" s="1"/>
  <c r="J238" i="1" a="1"/>
  <c r="J238" i="1" s="1"/>
  <c r="J239" i="1" a="1"/>
  <c r="J239" i="1" s="1"/>
  <c r="J240" i="1" a="1"/>
  <c r="J240" i="1" s="1"/>
  <c r="J241" i="1" a="1"/>
  <c r="J241" i="1" s="1"/>
  <c r="J242" i="1" a="1"/>
  <c r="J242" i="1" s="1"/>
  <c r="J228" i="1" a="1"/>
  <c r="J228" i="1" s="1"/>
  <c r="J226" i="1" a="1"/>
  <c r="J226" i="1" s="1"/>
  <c r="J224" i="1" a="1"/>
  <c r="J224" i="1" s="1"/>
  <c r="J223" i="1" a="1"/>
  <c r="J223" i="1" s="1"/>
  <c r="J221" i="1" a="1"/>
  <c r="J221" i="1" s="1"/>
  <c r="J190" i="1" a="1"/>
  <c r="J190" i="1" s="1"/>
  <c r="J195" i="1" a="1"/>
  <c r="J195" i="1" s="1"/>
  <c r="J196" i="1" a="1"/>
  <c r="J196" i="1" s="1"/>
  <c r="J191" i="1" a="1"/>
  <c r="J191" i="1" s="1"/>
  <c r="J192" i="1" a="1"/>
  <c r="J192" i="1" s="1"/>
  <c r="J193" i="1" a="1"/>
  <c r="J193" i="1" s="1"/>
  <c r="J194" i="1" a="1"/>
  <c r="J194" i="1" s="1"/>
  <c r="J197" i="1" a="1"/>
  <c r="J197" i="1" s="1"/>
  <c r="J198" i="1" a="1"/>
  <c r="J198" i="1" s="1"/>
  <c r="J199" i="1" a="1"/>
  <c r="J199" i="1" s="1"/>
  <c r="J201" i="1" a="1"/>
  <c r="J201" i="1" s="1"/>
  <c r="J202" i="1" a="1"/>
  <c r="J202" i="1" s="1"/>
  <c r="J203" i="1" a="1"/>
  <c r="J203" i="1" s="1"/>
  <c r="J204" i="1" a="1"/>
  <c r="J204" i="1" s="1"/>
  <c r="J205" i="1" a="1"/>
  <c r="J205" i="1" s="1"/>
  <c r="J206" i="1" a="1"/>
  <c r="J206" i="1" s="1"/>
  <c r="J207" i="1" a="1"/>
  <c r="J207" i="1" s="1"/>
  <c r="J208" i="1" a="1"/>
  <c r="J208" i="1" s="1"/>
  <c r="J209" i="1" a="1"/>
  <c r="J209" i="1" s="1"/>
  <c r="J210" i="1" a="1"/>
  <c r="J210" i="1" s="1"/>
  <c r="J211" i="1" a="1"/>
  <c r="J211" i="1" s="1"/>
  <c r="J212" i="1" a="1"/>
  <c r="J212" i="1" s="1"/>
  <c r="J213" i="1" a="1"/>
  <c r="J213" i="1" s="1"/>
  <c r="J214" i="1" a="1"/>
  <c r="J214" i="1" s="1"/>
  <c r="J218" i="1" a="1"/>
  <c r="J218" i="1" s="1"/>
  <c r="J215" i="1" a="1"/>
  <c r="J215" i="1" s="1"/>
  <c r="J219" i="1" a="1"/>
  <c r="J219" i="1" s="1"/>
  <c r="J189" i="1" a="1"/>
  <c r="J189" i="1" s="1"/>
  <c r="J187" i="1" a="1"/>
  <c r="J187" i="1" s="1"/>
  <c r="J186" i="1" a="1"/>
  <c r="J186" i="1" s="1"/>
  <c r="J175" i="1" a="1"/>
  <c r="J175" i="1" s="1"/>
  <c r="J176" i="1" a="1"/>
  <c r="J176" i="1" s="1"/>
  <c r="J177" i="1" a="1"/>
  <c r="J177" i="1" s="1"/>
  <c r="J178" i="1" a="1"/>
  <c r="J178" i="1" s="1"/>
  <c r="J179" i="1" a="1"/>
  <c r="J179" i="1" s="1"/>
  <c r="J180" i="1" a="1"/>
  <c r="J180" i="1" s="1"/>
  <c r="J181" i="1" a="1"/>
  <c r="J181" i="1" s="1"/>
  <c r="J182" i="1" a="1"/>
  <c r="J182" i="1" s="1"/>
  <c r="J183" i="1" a="1"/>
  <c r="J183" i="1" s="1"/>
  <c r="J184" i="1" a="1"/>
  <c r="J184" i="1" s="1"/>
  <c r="J174" i="1" a="1"/>
  <c r="J174" i="1" s="1"/>
  <c r="J172" i="1" a="1"/>
  <c r="J172" i="1" s="1"/>
  <c r="J163" i="1" a="1"/>
  <c r="J163" i="1" s="1"/>
  <c r="J85" i="1" a="1"/>
  <c r="J85" i="1" s="1"/>
  <c r="J86" i="1" a="1"/>
  <c r="J86" i="1" s="1"/>
  <c r="J87" i="1" a="1"/>
  <c r="J87" i="1" s="1"/>
  <c r="J88" i="1" a="1"/>
  <c r="J88" i="1" s="1"/>
  <c r="J89" i="1" a="1"/>
  <c r="J89" i="1" s="1"/>
  <c r="J90" i="1" a="1"/>
  <c r="J90" i="1" s="1"/>
  <c r="J91" i="1" a="1"/>
  <c r="J91" i="1" s="1"/>
  <c r="J93" i="1" a="1"/>
  <c r="J93" i="1" s="1"/>
  <c r="J94" i="1" a="1"/>
  <c r="J94" i="1" s="1"/>
  <c r="J95" i="1" a="1"/>
  <c r="J95" i="1" s="1"/>
  <c r="J96" i="1" a="1"/>
  <c r="J96" i="1" s="1"/>
  <c r="J92" i="1" a="1"/>
  <c r="J92" i="1" s="1"/>
  <c r="J97" i="1" a="1"/>
  <c r="J97" i="1" s="1"/>
  <c r="J98" i="1" a="1"/>
  <c r="J98" i="1" s="1"/>
  <c r="J99" i="1" a="1"/>
  <c r="J99" i="1" s="1"/>
  <c r="J100" i="1" a="1"/>
  <c r="J100" i="1" s="1"/>
  <c r="J101" i="1" a="1"/>
  <c r="J101" i="1" s="1"/>
  <c r="J102" i="1" a="1"/>
  <c r="J102" i="1" s="1"/>
  <c r="J103" i="1" a="1"/>
  <c r="J103" i="1" s="1"/>
  <c r="J104" i="1" a="1"/>
  <c r="J104" i="1" s="1"/>
  <c r="J105" i="1" a="1"/>
  <c r="J105" i="1" s="1"/>
  <c r="J106" i="1" a="1"/>
  <c r="J106" i="1" s="1"/>
  <c r="J107" i="1" a="1"/>
  <c r="J107" i="1" s="1"/>
  <c r="J108" i="1" a="1"/>
  <c r="J108" i="1" s="1"/>
  <c r="J109" i="1" a="1"/>
  <c r="J109" i="1" s="1"/>
  <c r="J110" i="1" a="1"/>
  <c r="J110" i="1" s="1"/>
  <c r="J111" i="1" a="1"/>
  <c r="J111" i="1" s="1"/>
  <c r="J112" i="1" a="1"/>
  <c r="J112" i="1" s="1"/>
  <c r="J115" i="1" a="1"/>
  <c r="J115" i="1" s="1"/>
  <c r="J117" i="1" a="1"/>
  <c r="J117" i="1" s="1"/>
  <c r="J118" i="1" a="1"/>
  <c r="J118" i="1" s="1"/>
  <c r="J119" i="1" a="1"/>
  <c r="J119" i="1" s="1"/>
  <c r="J120" i="1" a="1"/>
  <c r="J120" i="1" s="1"/>
  <c r="J121" i="1" a="1"/>
  <c r="J121" i="1" s="1"/>
  <c r="J122" i="1" a="1"/>
  <c r="J122" i="1" s="1"/>
  <c r="J123" i="1" a="1"/>
  <c r="J123" i="1" s="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47" i="1" a="1"/>
  <c r="J147" i="1" s="1"/>
  <c r="J148" i="1" a="1"/>
  <c r="J148" i="1" s="1"/>
  <c r="J137" i="1" a="1"/>
  <c r="J137" i="1" s="1"/>
  <c r="J138" i="1" a="1"/>
  <c r="J138" i="1" s="1"/>
  <c r="J139" i="1" a="1"/>
  <c r="J139" i="1" s="1"/>
  <c r="J140" i="1" a="1"/>
  <c r="J140" i="1" s="1"/>
  <c r="J141" i="1" a="1"/>
  <c r="J141" i="1" s="1"/>
  <c r="J144" i="1" a="1"/>
  <c r="J144" i="1" s="1"/>
  <c r="J145" i="1" a="1"/>
  <c r="J145" i="1" s="1"/>
  <c r="J149" i="1" a="1"/>
  <c r="J149" i="1" s="1"/>
  <c r="J150" i="1" a="1"/>
  <c r="J150" i="1" s="1"/>
  <c r="J151" i="1" a="1"/>
  <c r="J151" i="1" s="1"/>
  <c r="J152" i="1" a="1"/>
  <c r="J152" i="1" s="1"/>
  <c r="J153" i="1" a="1"/>
  <c r="J153" i="1" s="1"/>
  <c r="J154" i="1" a="1"/>
  <c r="J154" i="1" s="1"/>
  <c r="J155" i="1" a="1"/>
  <c r="J155" i="1" s="1"/>
  <c r="J156" i="1" a="1"/>
  <c r="J156" i="1" s="1"/>
  <c r="J157" i="1" a="1"/>
  <c r="J157" i="1" s="1"/>
  <c r="J158" i="1" a="1"/>
  <c r="J158" i="1" s="1"/>
  <c r="J161" i="1" a="1"/>
  <c r="J161" i="1" s="1"/>
  <c r="I85" i="1" a="1"/>
  <c r="I85" i="1" s="1"/>
  <c r="I80" i="1" a="1"/>
  <c r="I80" i="1" s="1"/>
  <c r="I86" i="1" a="1"/>
  <c r="I86" i="1" s="1"/>
  <c r="I87" i="1" a="1"/>
  <c r="I87" i="1" s="1"/>
  <c r="I88" i="1" a="1"/>
  <c r="I88" i="1" s="1"/>
  <c r="I89" i="1" a="1"/>
  <c r="I89" i="1" s="1"/>
  <c r="I90" i="1" a="1"/>
  <c r="I90" i="1" s="1"/>
  <c r="I91" i="1" a="1"/>
  <c r="I91" i="1" s="1"/>
  <c r="I93" i="1" a="1"/>
  <c r="I93" i="1" s="1"/>
  <c r="I94" i="1" a="1"/>
  <c r="I94" i="1" s="1"/>
  <c r="I95" i="1" a="1"/>
  <c r="I95" i="1" s="1"/>
  <c r="I96" i="1" a="1"/>
  <c r="I96" i="1" s="1"/>
  <c r="I92" i="1" a="1"/>
  <c r="I92" i="1" s="1"/>
  <c r="I97" i="1" a="1"/>
  <c r="I97" i="1" s="1"/>
  <c r="I98" i="1" a="1"/>
  <c r="I98" i="1" s="1"/>
  <c r="I99" i="1" a="1"/>
  <c r="I99" i="1" s="1"/>
  <c r="I100" i="1" a="1"/>
  <c r="I100" i="1" s="1"/>
  <c r="I101" i="1" a="1"/>
  <c r="I101" i="1" s="1"/>
  <c r="I102" i="1" a="1"/>
  <c r="I102" i="1" s="1"/>
  <c r="I103" i="1" a="1"/>
  <c r="I103" i="1" s="1"/>
  <c r="I104" i="1" a="1"/>
  <c r="I104" i="1" s="1"/>
  <c r="I105" i="1" a="1"/>
  <c r="I105" i="1" s="1"/>
  <c r="I106" i="1" a="1"/>
  <c r="I106" i="1" s="1"/>
  <c r="I107" i="1" a="1"/>
  <c r="I107" i="1" s="1"/>
  <c r="I108" i="1" a="1"/>
  <c r="I108" i="1" s="1"/>
  <c r="I109" i="1" a="1"/>
  <c r="I109" i="1" s="1"/>
  <c r="I110" i="1" a="1"/>
  <c r="I110" i="1" s="1"/>
  <c r="I111" i="1" a="1"/>
  <c r="I111" i="1" s="1"/>
  <c r="I112" i="1" a="1"/>
  <c r="I112" i="1" s="1"/>
  <c r="I115" i="1" a="1"/>
  <c r="I115" i="1" s="1"/>
  <c r="I117" i="1" a="1"/>
  <c r="I117" i="1" s="1"/>
  <c r="I118" i="1" a="1"/>
  <c r="I118" i="1" s="1"/>
  <c r="I119" i="1" a="1"/>
  <c r="I119" i="1" s="1"/>
  <c r="I120" i="1" a="1"/>
  <c r="I120" i="1" s="1"/>
  <c r="I121" i="1" a="1"/>
  <c r="I121" i="1" s="1"/>
  <c r="I122" i="1" a="1"/>
  <c r="I122" i="1" s="1"/>
  <c r="I123" i="1" a="1"/>
  <c r="I123" i="1" s="1"/>
  <c r="I124" i="1" a="1"/>
  <c r="I124" i="1" s="1"/>
  <c r="I125" i="1" a="1"/>
  <c r="I125" i="1" s="1"/>
  <c r="I126" i="1" a="1"/>
  <c r="I126" i="1" s="1"/>
  <c r="I127" i="1" a="1"/>
  <c r="I127" i="1" s="1"/>
  <c r="I128" i="1" a="1"/>
  <c r="I128" i="1" s="1"/>
  <c r="I129" i="1" a="1"/>
  <c r="I129" i="1" s="1"/>
  <c r="I130" i="1" a="1"/>
  <c r="I130" i="1" s="1"/>
  <c r="I131" i="1" a="1"/>
  <c r="I131" i="1" s="1"/>
  <c r="I132" i="1" a="1"/>
  <c r="I132" i="1" s="1"/>
  <c r="I133" i="1" a="1"/>
  <c r="I133" i="1" s="1"/>
  <c r="I134" i="1" a="1"/>
  <c r="I134" i="1" s="1"/>
  <c r="I135" i="1" a="1"/>
  <c r="I135" i="1" s="1"/>
  <c r="I136" i="1" a="1"/>
  <c r="I136" i="1" s="1"/>
  <c r="I147" i="1" a="1"/>
  <c r="I147" i="1" s="1"/>
  <c r="I148" i="1" a="1"/>
  <c r="I148" i="1" s="1"/>
  <c r="I137" i="1" a="1"/>
  <c r="I137" i="1" s="1"/>
  <c r="I138" i="1" a="1"/>
  <c r="I138" i="1" s="1"/>
  <c r="I139" i="1" a="1"/>
  <c r="I139" i="1" s="1"/>
  <c r="I140" i="1" a="1"/>
  <c r="I140" i="1" s="1"/>
  <c r="I141" i="1" a="1"/>
  <c r="I141" i="1" s="1"/>
  <c r="I144" i="1" a="1"/>
  <c r="I144" i="1" s="1"/>
  <c r="I145" i="1" a="1"/>
  <c r="I145" i="1" s="1"/>
  <c r="I149" i="1" a="1"/>
  <c r="I149" i="1" s="1"/>
  <c r="I150" i="1" a="1"/>
  <c r="I150" i="1" s="1"/>
  <c r="I151" i="1" a="1"/>
  <c r="I151" i="1" s="1"/>
  <c r="I152" i="1" a="1"/>
  <c r="I152" i="1" s="1"/>
  <c r="I153" i="1" a="1"/>
  <c r="I153" i="1" s="1"/>
  <c r="I154" i="1" a="1"/>
  <c r="I154" i="1" s="1"/>
  <c r="I155" i="1" a="1"/>
  <c r="I155" i="1" s="1"/>
  <c r="I156" i="1" a="1"/>
  <c r="I156" i="1" s="1"/>
  <c r="I157" i="1" a="1"/>
  <c r="I157" i="1" s="1"/>
  <c r="I158" i="1" a="1"/>
  <c r="I158" i="1" s="1"/>
  <c r="I161" i="1" a="1"/>
  <c r="I161" i="1" s="1"/>
  <c r="J36" i="1" a="1"/>
  <c r="J36" i="1" s="1"/>
  <c r="J37" i="1" a="1"/>
  <c r="J37" i="1" s="1"/>
  <c r="J38" i="1" a="1"/>
  <c r="J38" i="1" s="1"/>
  <c r="J39" i="1" a="1"/>
  <c r="J39"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7" i="1" a="1"/>
  <c r="J57" i="1" s="1"/>
  <c r="J58" i="1" a="1"/>
  <c r="J58" i="1" s="1"/>
  <c r="J59" i="1" a="1"/>
  <c r="J59" i="1" s="1"/>
  <c r="J60" i="1" a="1"/>
  <c r="J60" i="1" s="1"/>
  <c r="J61" i="1" a="1"/>
  <c r="J61" i="1" s="1"/>
  <c r="J65" i="1" a="1"/>
  <c r="J65" i="1" s="1"/>
  <c r="J66" i="1" a="1"/>
  <c r="J66" i="1" s="1"/>
  <c r="J67" i="1" a="1"/>
  <c r="J67" i="1" s="1"/>
  <c r="J68" i="1" a="1"/>
  <c r="J68" i="1" s="1"/>
  <c r="J69" i="1" a="1"/>
  <c r="J69" i="1" s="1"/>
  <c r="J70" i="1" a="1"/>
  <c r="J70" i="1" s="1"/>
  <c r="J71" i="1" a="1"/>
  <c r="J71" i="1" s="1"/>
  <c r="J72" i="1" a="1"/>
  <c r="J72" i="1" s="1"/>
  <c r="J73" i="1" a="1"/>
  <c r="J73" i="1" s="1"/>
  <c r="J74" i="1" a="1"/>
  <c r="J74" i="1" s="1"/>
  <c r="J77" i="1" a="1"/>
  <c r="J77" i="1" s="1"/>
  <c r="J78" i="1" a="1"/>
  <c r="J78" i="1" s="1"/>
  <c r="J79" i="1" a="1"/>
  <c r="J79" i="1" s="1"/>
  <c r="J80" i="1" a="1"/>
  <c r="J80" i="1" s="1"/>
  <c r="J81" i="1" a="1"/>
  <c r="J81" i="1" s="1"/>
  <c r="J82" i="1" a="1"/>
  <c r="J82" i="1" s="1"/>
  <c r="J34" i="1" a="1"/>
  <c r="J34" i="1" s="1"/>
  <c r="J166" i="1" a="1"/>
  <c r="J166" i="1" s="1"/>
  <c r="J31" i="1" a="1"/>
  <c r="J31" i="1" s="1"/>
  <c r="J32" i="1" a="1"/>
  <c r="J32" i="1" s="1"/>
  <c r="J19" i="1" a="1"/>
  <c r="J19" i="1" s="1"/>
  <c r="J20" i="1" a="1"/>
  <c r="J20" i="1" s="1"/>
  <c r="J21" i="1" a="1"/>
  <c r="J21" i="1" s="1"/>
  <c r="J22" i="1" a="1"/>
  <c r="J22" i="1" s="1"/>
  <c r="J23" i="1" a="1"/>
  <c r="J23" i="1" s="1"/>
  <c r="J24" i="1" a="1"/>
  <c r="J24" i="1" s="1"/>
  <c r="J26" i="1" a="1"/>
  <c r="J26" i="1" s="1"/>
  <c r="J27" i="1" a="1"/>
  <c r="J27" i="1" s="1"/>
  <c r="J28" i="1" a="1"/>
  <c r="J28" i="1" s="1"/>
  <c r="J25" i="1" a="1"/>
  <c r="J25" i="1" s="1"/>
  <c r="J29" i="1" a="1"/>
  <c r="J29" i="1" s="1"/>
  <c r="J18" i="1" a="1"/>
  <c r="J18" i="1" s="1"/>
  <c r="J17" i="1" a="1"/>
  <c r="J17" i="1" s="1"/>
  <c r="J11" i="1" a="1"/>
  <c r="J11" i="1" s="1"/>
  <c r="J15" i="1" a="1"/>
  <c r="J15" i="1" s="1"/>
  <c r="J14" i="1" a="1"/>
  <c r="J14" i="1" s="1"/>
  <c r="J13" i="1" a="1"/>
  <c r="J13" i="1" s="1"/>
  <c r="J9" i="1" a="1"/>
  <c r="J9" i="1" s="1"/>
  <c r="J8" i="1" a="1"/>
  <c r="J8" i="1" s="1"/>
  <c r="I6" i="1" a="1"/>
  <c r="I6" i="1" s="1"/>
  <c r="I373" i="1" a="1"/>
  <c r="I373" i="1" s="1"/>
  <c r="I374" i="1" a="1"/>
  <c r="I374" i="1" s="1"/>
  <c r="I375" i="1" a="1"/>
  <c r="I375" i="1" s="1"/>
  <c r="I362" i="1" a="1"/>
  <c r="I362" i="1" s="1"/>
  <c r="I363" i="1" a="1"/>
  <c r="I363" i="1" s="1"/>
  <c r="I365" i="1" a="1"/>
  <c r="I365" i="1" s="1"/>
  <c r="I366" i="1" a="1"/>
  <c r="I366" i="1" s="1"/>
  <c r="I367" i="1" a="1"/>
  <c r="I367" i="1" s="1"/>
  <c r="I368" i="1" a="1"/>
  <c r="I368" i="1" s="1"/>
  <c r="I369" i="1" a="1"/>
  <c r="I369" i="1" s="1"/>
  <c r="I370" i="1" a="1"/>
  <c r="I370" i="1" s="1"/>
  <c r="I371" i="1" a="1"/>
  <c r="I371" i="1" s="1"/>
  <c r="I372" i="1" a="1"/>
  <c r="I372" i="1" s="1"/>
  <c r="I376" i="1" a="1"/>
  <c r="I376" i="1" s="1"/>
  <c r="I377" i="1" a="1"/>
  <c r="I377" i="1" s="1"/>
  <c r="I378" i="1" a="1"/>
  <c r="I378" i="1" s="1"/>
  <c r="I379" i="1" a="1"/>
  <c r="I379" i="1" s="1"/>
  <c r="I380" i="1" a="1"/>
  <c r="I380" i="1" s="1"/>
  <c r="I381" i="1" a="1"/>
  <c r="I381" i="1" s="1"/>
  <c r="I382" i="1" a="1"/>
  <c r="I382" i="1" s="1"/>
  <c r="I383" i="1" a="1"/>
  <c r="I383" i="1" s="1"/>
  <c r="I386" i="1" a="1"/>
  <c r="I386" i="1" s="1"/>
  <c r="I385" i="1" a="1"/>
  <c r="I385" i="1" s="1"/>
  <c r="I387" i="1" a="1"/>
  <c r="I387" i="1" s="1"/>
  <c r="I388" i="1" a="1"/>
  <c r="I388" i="1" s="1"/>
  <c r="I389" i="1" a="1"/>
  <c r="I389" i="1" s="1"/>
  <c r="I390" i="1" a="1"/>
  <c r="I390" i="1" s="1"/>
  <c r="I391" i="1" a="1"/>
  <c r="I391" i="1" s="1"/>
  <c r="I392" i="1" a="1"/>
  <c r="I392" i="1" s="1"/>
  <c r="I393" i="1" a="1"/>
  <c r="I393" i="1" s="1"/>
  <c r="I364" i="1" a="1"/>
  <c r="I364" i="1" s="1"/>
  <c r="I355" i="1" a="1"/>
  <c r="I355" i="1" s="1"/>
  <c r="I356" i="1" a="1"/>
  <c r="I356" i="1" s="1"/>
  <c r="I357" i="1" a="1"/>
  <c r="I357" i="1" s="1"/>
  <c r="I358" i="1" a="1"/>
  <c r="I358" i="1" s="1"/>
  <c r="I359" i="1" a="1"/>
  <c r="I359" i="1" s="1"/>
  <c r="I360" i="1" a="1"/>
  <c r="I360" i="1" s="1"/>
  <c r="I354" i="1" a="1"/>
  <c r="I354" i="1" s="1"/>
  <c r="I352" i="1" a="1"/>
  <c r="I352" i="1" s="1"/>
  <c r="I350" i="1" a="1"/>
  <c r="I350" i="1" s="1"/>
  <c r="I346" i="1" a="1"/>
  <c r="I346" i="1" s="1"/>
  <c r="I340" i="1" a="1"/>
  <c r="I340" i="1" s="1"/>
  <c r="I341" i="1" a="1"/>
  <c r="I341" i="1" s="1"/>
  <c r="I342" i="1" a="1"/>
  <c r="I342" i="1" s="1"/>
  <c r="I343" i="1" a="1"/>
  <c r="I343" i="1" s="1"/>
  <c r="I344" i="1" a="1"/>
  <c r="I344" i="1" s="1"/>
  <c r="I339" i="1" a="1"/>
  <c r="I339" i="1" s="1"/>
  <c r="I337" i="1" a="1"/>
  <c r="I337" i="1" s="1"/>
  <c r="I332" i="1" a="1"/>
  <c r="I332" i="1" s="1"/>
  <c r="I333" i="1" a="1"/>
  <c r="I333" i="1" s="1"/>
  <c r="I334" i="1" a="1"/>
  <c r="I334" i="1" s="1"/>
  <c r="I335" i="1" a="1"/>
  <c r="I335" i="1" s="1"/>
  <c r="I331" i="1" a="1"/>
  <c r="I331" i="1" s="1"/>
  <c r="I329" i="1" a="1"/>
  <c r="I329" i="1" s="1"/>
  <c r="I313" i="1" a="1"/>
  <c r="I313" i="1" s="1"/>
  <c r="I316" i="1" a="1"/>
  <c r="I316" i="1" s="1"/>
  <c r="I314" i="1" a="1"/>
  <c r="I314" i="1" s="1"/>
  <c r="I315" i="1" a="1"/>
  <c r="I315" i="1" s="1"/>
  <c r="I317" i="1" a="1"/>
  <c r="I317" i="1" s="1"/>
  <c r="I321" i="1" a="1"/>
  <c r="I321" i="1" s="1"/>
  <c r="I322" i="1" a="1"/>
  <c r="I322" i="1" s="1"/>
  <c r="I318" i="1" a="1"/>
  <c r="I318" i="1" s="1"/>
  <c r="I319" i="1" a="1"/>
  <c r="I319" i="1" s="1"/>
  <c r="I323" i="1" a="1"/>
  <c r="I323" i="1" s="1"/>
  <c r="I324" i="1" a="1"/>
  <c r="I324" i="1" s="1"/>
  <c r="I326" i="1" a="1"/>
  <c r="I326" i="1" s="1"/>
  <c r="I327" i="1" a="1"/>
  <c r="I327" i="1" s="1"/>
  <c r="I325" i="1" a="1"/>
  <c r="I325" i="1" s="1"/>
  <c r="I312" i="1" a="1"/>
  <c r="I312" i="1" s="1"/>
  <c r="I310" i="1" a="1"/>
  <c r="I310" i="1" s="1"/>
  <c r="I308" i="1" a="1"/>
  <c r="I308" i="1" s="1"/>
  <c r="I309" i="1" a="1"/>
  <c r="I309" i="1" s="1"/>
  <c r="I307" i="1" a="1"/>
  <c r="I307" i="1" s="1"/>
  <c r="I296" i="1" a="1"/>
  <c r="I296" i="1" s="1"/>
  <c r="I297" i="1" a="1"/>
  <c r="I297" i="1" s="1"/>
  <c r="I298" i="1" a="1"/>
  <c r="I298" i="1" s="1"/>
  <c r="I299" i="1" a="1"/>
  <c r="I299" i="1" s="1"/>
  <c r="I300" i="1" a="1"/>
  <c r="I300" i="1" s="1"/>
  <c r="I301" i="1" a="1"/>
  <c r="I301" i="1" s="1"/>
  <c r="I302" i="1" a="1"/>
  <c r="I302" i="1" s="1"/>
  <c r="I303" i="1" a="1"/>
  <c r="I303" i="1" s="1"/>
  <c r="I304" i="1" a="1"/>
  <c r="I304" i="1" s="1"/>
  <c r="I305" i="1" a="1"/>
  <c r="I305" i="1" s="1"/>
  <c r="I295" i="1" a="1"/>
  <c r="I295" i="1" s="1"/>
  <c r="I277" i="1" a="1"/>
  <c r="I277" i="1" s="1"/>
  <c r="I278" i="1" a="1"/>
  <c r="I278" i="1" s="1"/>
  <c r="I279" i="1" a="1"/>
  <c r="I279" i="1" s="1"/>
  <c r="I280" i="1" a="1"/>
  <c r="I280" i="1" s="1"/>
  <c r="I281" i="1" a="1"/>
  <c r="I281" i="1" s="1"/>
  <c r="I282" i="1" a="1"/>
  <c r="I282" i="1" s="1"/>
  <c r="I283" i="1" a="1"/>
  <c r="I283" i="1" s="1"/>
  <c r="I284" i="1" a="1"/>
  <c r="I284" i="1" s="1"/>
  <c r="I285" i="1" a="1"/>
  <c r="I285" i="1" s="1"/>
  <c r="I286" i="1" a="1"/>
  <c r="I286" i="1" s="1"/>
  <c r="I287" i="1" a="1"/>
  <c r="I287" i="1" s="1"/>
  <c r="I288" i="1" a="1"/>
  <c r="I288" i="1" s="1"/>
  <c r="I289" i="1" a="1"/>
  <c r="I289" i="1" s="1"/>
  <c r="I290" i="1" a="1"/>
  <c r="I290" i="1" s="1"/>
  <c r="I291" i="1" a="1"/>
  <c r="I291" i="1" s="1"/>
  <c r="I292" i="1" a="1"/>
  <c r="I292" i="1" s="1"/>
  <c r="I293" i="1" a="1"/>
  <c r="I293" i="1" s="1"/>
  <c r="I276" i="1" a="1"/>
  <c r="I276" i="1" s="1"/>
  <c r="I244" i="1" a="1"/>
  <c r="I244" i="1" s="1"/>
  <c r="I245" i="1" a="1"/>
  <c r="I245" i="1" s="1"/>
  <c r="I247" i="1" a="1"/>
  <c r="I247" i="1" s="1"/>
  <c r="I250" i="1" a="1"/>
  <c r="I250" i="1" s="1"/>
  <c r="I251" i="1" a="1"/>
  <c r="I251" i="1" s="1"/>
  <c r="I248" i="1" a="1"/>
  <c r="I248" i="1" s="1"/>
  <c r="I249" i="1" a="1"/>
  <c r="I249" i="1" s="1"/>
  <c r="I252" i="1" a="1"/>
  <c r="I252" i="1" s="1"/>
  <c r="I253" i="1" a="1"/>
  <c r="I253" i="1" s="1"/>
  <c r="I254" i="1" a="1"/>
  <c r="I254" i="1" s="1"/>
  <c r="I255" i="1" a="1"/>
  <c r="I255" i="1" s="1"/>
  <c r="I256" i="1" a="1"/>
  <c r="I256" i="1" s="1"/>
  <c r="I257" i="1" a="1"/>
  <c r="I257" i="1" s="1"/>
  <c r="I258" i="1" a="1"/>
  <c r="I258" i="1" s="1"/>
  <c r="I259" i="1" a="1"/>
  <c r="I259" i="1" s="1"/>
  <c r="I260" i="1" a="1"/>
  <c r="I260" i="1" s="1"/>
  <c r="I261" i="1" a="1"/>
  <c r="I261" i="1" s="1"/>
  <c r="I262" i="1" a="1"/>
  <c r="I262" i="1" s="1"/>
  <c r="I263" i="1" a="1"/>
  <c r="I263" i="1" s="1"/>
  <c r="I265" i="1" a="1"/>
  <c r="I265" i="1" s="1"/>
  <c r="I264" i="1" a="1"/>
  <c r="I264" i="1" s="1"/>
  <c r="I266" i="1" a="1"/>
  <c r="I266" i="1" s="1"/>
  <c r="I267" i="1" a="1"/>
  <c r="I267" i="1" s="1"/>
  <c r="I268" i="1" a="1"/>
  <c r="I268" i="1" s="1"/>
  <c r="I269" i="1" a="1"/>
  <c r="I269" i="1" s="1"/>
  <c r="I270" i="1" a="1"/>
  <c r="I270" i="1" s="1"/>
  <c r="I272" i="1" a="1"/>
  <c r="I272" i="1" s="1"/>
  <c r="I273" i="1" a="1"/>
  <c r="I273" i="1" s="1"/>
  <c r="I274" i="1" a="1"/>
  <c r="I274" i="1" s="1"/>
  <c r="I246" i="1" a="1"/>
  <c r="I246" i="1" s="1"/>
  <c r="I229" i="1" a="1"/>
  <c r="I229" i="1" s="1"/>
  <c r="I232" i="1" a="1"/>
  <c r="I232" i="1" s="1"/>
  <c r="I230" i="1" a="1"/>
  <c r="I230" i="1" s="1"/>
  <c r="I231" i="1" a="1"/>
  <c r="I231" i="1" s="1"/>
  <c r="I233" i="1" a="1"/>
  <c r="I233" i="1" s="1"/>
  <c r="I234" i="1" a="1"/>
  <c r="I234" i="1" s="1"/>
  <c r="I235" i="1" a="1"/>
  <c r="I235" i="1" s="1"/>
  <c r="I236" i="1" a="1"/>
  <c r="I236" i="1" s="1"/>
  <c r="I238" i="1" a="1"/>
  <c r="I238" i="1" s="1"/>
  <c r="I237" i="1" a="1"/>
  <c r="I237" i="1" s="1"/>
  <c r="I239" i="1" a="1"/>
  <c r="I239" i="1" s="1"/>
  <c r="I240" i="1" a="1"/>
  <c r="I240" i="1" s="1"/>
  <c r="I241" i="1" a="1"/>
  <c r="I241" i="1" s="1"/>
  <c r="I242" i="1" a="1"/>
  <c r="I242" i="1" s="1"/>
  <c r="I228" i="1" a="1"/>
  <c r="I228" i="1" s="1"/>
  <c r="I226" i="1" a="1"/>
  <c r="I226" i="1" s="1"/>
  <c r="I224" i="1" a="1"/>
  <c r="I224" i="1" s="1"/>
  <c r="I223" i="1" a="1"/>
  <c r="I223" i="1" s="1"/>
  <c r="I221" i="1" a="1"/>
  <c r="I221" i="1" s="1"/>
  <c r="I195" i="1" a="1"/>
  <c r="I195" i="1" s="1"/>
  <c r="I196" i="1" a="1"/>
  <c r="I196" i="1" s="1"/>
  <c r="I191" i="1" a="1"/>
  <c r="I191" i="1" s="1"/>
  <c r="I192" i="1" a="1"/>
  <c r="I192" i="1" s="1"/>
  <c r="I193" i="1" a="1"/>
  <c r="I193" i="1" s="1"/>
  <c r="I194" i="1" a="1"/>
  <c r="I194" i="1" s="1"/>
  <c r="I197" i="1" a="1"/>
  <c r="I197" i="1" s="1"/>
  <c r="I198" i="1" a="1"/>
  <c r="I198" i="1" s="1"/>
  <c r="I199" i="1" a="1"/>
  <c r="I199" i="1" s="1"/>
  <c r="I201" i="1" a="1"/>
  <c r="I201" i="1" s="1"/>
  <c r="I202" i="1" a="1"/>
  <c r="I202" i="1" s="1"/>
  <c r="I203" i="1" a="1"/>
  <c r="I203" i="1" s="1"/>
  <c r="I204" i="1" a="1"/>
  <c r="I204" i="1" s="1"/>
  <c r="I205" i="1" a="1"/>
  <c r="I205" i="1" s="1"/>
  <c r="I206" i="1" a="1"/>
  <c r="I206" i="1" s="1"/>
  <c r="I207" i="1" a="1"/>
  <c r="I207" i="1" s="1"/>
  <c r="I208" i="1" a="1"/>
  <c r="I208" i="1" s="1"/>
  <c r="I209" i="1" a="1"/>
  <c r="I209" i="1" s="1"/>
  <c r="I210" i="1" a="1"/>
  <c r="I210" i="1" s="1"/>
  <c r="I211" i="1" a="1"/>
  <c r="I211" i="1" s="1"/>
  <c r="I212" i="1" a="1"/>
  <c r="I212" i="1" s="1"/>
  <c r="I213" i="1" a="1"/>
  <c r="I213" i="1" s="1"/>
  <c r="I214" i="1" a="1"/>
  <c r="I214" i="1" s="1"/>
  <c r="I218" i="1" a="1"/>
  <c r="I218" i="1" s="1"/>
  <c r="I215" i="1" a="1"/>
  <c r="I215" i="1" s="1"/>
  <c r="I219" i="1" a="1"/>
  <c r="I219" i="1" s="1"/>
  <c r="I190" i="1" a="1"/>
  <c r="I190" i="1" s="1"/>
  <c r="I189" i="1" a="1"/>
  <c r="I189" i="1" s="1"/>
  <c r="I187" i="1" a="1"/>
  <c r="I187" i="1" s="1"/>
  <c r="I186" i="1" a="1"/>
  <c r="I186" i="1" s="1"/>
  <c r="I175" i="1" a="1"/>
  <c r="I175" i="1" s="1"/>
  <c r="I176" i="1" a="1"/>
  <c r="I176" i="1" s="1"/>
  <c r="I177" i="1" a="1"/>
  <c r="I177" i="1" s="1"/>
  <c r="I178" i="1" a="1"/>
  <c r="I178" i="1" s="1"/>
  <c r="I179" i="1" a="1"/>
  <c r="I179" i="1" s="1"/>
  <c r="I180" i="1" a="1"/>
  <c r="I180" i="1" s="1"/>
  <c r="I181" i="1" a="1"/>
  <c r="I181" i="1" s="1"/>
  <c r="I182" i="1" a="1"/>
  <c r="I182" i="1" s="1"/>
  <c r="I183" i="1" a="1"/>
  <c r="I183" i="1" s="1"/>
  <c r="I184" i="1" a="1"/>
  <c r="I184" i="1" s="1"/>
  <c r="I174" i="1" a="1"/>
  <c r="I174" i="1" s="1"/>
  <c r="I172" i="1" a="1"/>
  <c r="I172" i="1" s="1"/>
  <c r="I163" i="1" a="1"/>
  <c r="I163" i="1" s="1"/>
  <c r="I170" i="1" a="1"/>
  <c r="I170" i="1" s="1"/>
  <c r="I36" i="1" a="1"/>
  <c r="I36" i="1" s="1"/>
  <c r="I37" i="1" a="1"/>
  <c r="I37" i="1" s="1"/>
  <c r="I38" i="1" a="1"/>
  <c r="I38" i="1" s="1"/>
  <c r="I39" i="1" a="1"/>
  <c r="I39" i="1" s="1"/>
  <c r="I42" i="1" a="1"/>
  <c r="I42" i="1" s="1"/>
  <c r="I43" i="1" a="1"/>
  <c r="I43" i="1" s="1"/>
  <c r="I44" i="1" a="1"/>
  <c r="I44" i="1" s="1"/>
  <c r="I45" i="1" a="1"/>
  <c r="I45" i="1" s="1"/>
  <c r="I46" i="1" a="1"/>
  <c r="I46" i="1" s="1"/>
  <c r="I47" i="1" a="1"/>
  <c r="I47" i="1" s="1"/>
  <c r="I48" i="1" a="1"/>
  <c r="I48" i="1" s="1"/>
  <c r="I49" i="1" a="1"/>
  <c r="I49" i="1" s="1"/>
  <c r="I50" i="1" a="1"/>
  <c r="I50" i="1" s="1"/>
  <c r="I51" i="1" a="1"/>
  <c r="I51" i="1" s="1"/>
  <c r="I52" i="1" a="1"/>
  <c r="I52" i="1" s="1"/>
  <c r="I53" i="1" a="1"/>
  <c r="I53" i="1" s="1"/>
  <c r="I54" i="1" a="1"/>
  <c r="I54" i="1" s="1"/>
  <c r="I55" i="1" a="1"/>
  <c r="I55" i="1" s="1"/>
  <c r="I57" i="1" a="1"/>
  <c r="I57" i="1" s="1"/>
  <c r="I58" i="1" a="1"/>
  <c r="I58" i="1" s="1"/>
  <c r="I59" i="1" a="1"/>
  <c r="I59" i="1" s="1"/>
  <c r="I60" i="1" a="1"/>
  <c r="I60" i="1" s="1"/>
  <c r="I61" i="1" a="1"/>
  <c r="I61" i="1" s="1"/>
  <c r="I65" i="1" a="1"/>
  <c r="I65" i="1" s="1"/>
  <c r="I66" i="1" a="1"/>
  <c r="I66" i="1" s="1"/>
  <c r="I67" i="1" a="1"/>
  <c r="I67" i="1" s="1"/>
  <c r="I68" i="1" a="1"/>
  <c r="I68" i="1" s="1"/>
  <c r="I69" i="1" a="1"/>
  <c r="I69" i="1" s="1"/>
  <c r="I70" i="1" a="1"/>
  <c r="I70" i="1" s="1"/>
  <c r="I71" i="1" a="1"/>
  <c r="I71" i="1" s="1"/>
  <c r="I72" i="1" a="1"/>
  <c r="I72" i="1" s="1"/>
  <c r="I73" i="1" a="1"/>
  <c r="I73" i="1" s="1"/>
  <c r="I74" i="1" a="1"/>
  <c r="I74" i="1" s="1"/>
  <c r="I77" i="1" a="1"/>
  <c r="I77" i="1" s="1"/>
  <c r="I78" i="1" a="1"/>
  <c r="I78" i="1" s="1"/>
  <c r="I79" i="1" a="1"/>
  <c r="I79" i="1" s="1"/>
  <c r="I81" i="1" a="1"/>
  <c r="I81" i="1" s="1"/>
  <c r="I82" i="1" a="1"/>
  <c r="I82" i="1" s="1"/>
  <c r="I34" i="1" a="1"/>
  <c r="I34" i="1" s="1"/>
  <c r="I166" i="1" a="1"/>
  <c r="I166" i="1" s="1"/>
  <c r="I31" i="1" a="1"/>
  <c r="I31" i="1" s="1"/>
  <c r="I32" i="1" a="1"/>
  <c r="I32" i="1" s="1"/>
  <c r="I18" i="1" a="1"/>
  <c r="I18" i="1" s="1"/>
  <c r="I19" i="1" a="1"/>
  <c r="I19" i="1" s="1"/>
  <c r="I20" i="1" a="1"/>
  <c r="I20" i="1" s="1"/>
  <c r="I21" i="1" a="1"/>
  <c r="I21" i="1" s="1"/>
  <c r="I22" i="1" a="1"/>
  <c r="I22" i="1" s="1"/>
  <c r="I23" i="1" a="1"/>
  <c r="I23" i="1" s="1"/>
  <c r="I24" i="1" a="1"/>
  <c r="I24" i="1" s="1"/>
  <c r="I26" i="1" a="1"/>
  <c r="I26" i="1" s="1"/>
  <c r="I27" i="1" a="1"/>
  <c r="I27" i="1" s="1"/>
  <c r="I28" i="1" a="1"/>
  <c r="I28" i="1" s="1"/>
  <c r="I25" i="1" a="1"/>
  <c r="I25" i="1" s="1"/>
  <c r="I29" i="1" a="1"/>
  <c r="I29" i="1" s="1"/>
  <c r="I17" i="1" a="1"/>
  <c r="I17" i="1" s="1"/>
  <c r="I14" i="1" a="1"/>
  <c r="I14" i="1" s="1"/>
  <c r="I15" i="1" a="1"/>
  <c r="I15" i="1" s="1"/>
  <c r="I13" i="1" a="1"/>
  <c r="I13" i="1" s="1"/>
  <c r="I11" i="1" a="1"/>
  <c r="I11" i="1" s="1"/>
  <c r="I9" i="1" a="1"/>
  <c r="I9" i="1" s="1"/>
  <c r="I8" i="1" a="1"/>
  <c r="I8" i="1" s="1"/>
  <c r="D181" i="1"/>
  <c r="AE29" i="15" l="1"/>
  <c r="AE26" i="15"/>
  <c r="AE24" i="15"/>
  <c r="AE27" i="15"/>
  <c r="AE28" i="15"/>
  <c r="N28" i="15"/>
  <c r="N29" i="15"/>
  <c r="N27" i="15"/>
  <c r="N24" i="15"/>
  <c r="N25" i="15"/>
  <c r="N26"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tc={BA7B48A3-3C54-47E1-BD60-1398E30B0421}</author>
    <author>tc={76DD352F-5378-400F-B85F-9369BABE642C}</author>
    <author>tc={FCAF57F4-72FD-4DB7-852F-3E91CD84A2FC}</author>
    <author>tc={5641A385-20C1-4D3A-ABA0-716815AE92DD}</author>
    <author>tc={D819112B-8831-4715-B695-669C8B792ADD}</author>
    <author>tc={6B5D6BD2-F83F-404C-B7BC-CDF95D844CA7}</author>
    <author>tc={5D595D73-1F8B-4CA9-B2C0-F78370B9401F}</author>
    <author>tc={C4BB2177-BB5F-47CE-B07E-25F7F5085131}</author>
    <author>tc={B9F9AC68-FD4C-4648-BEF6-9563B59E4E99}</author>
    <author>tc={288B9CD8-67CF-449D-838B-DD6FA739E007}</author>
    <author>tc={08336E3E-3345-48E2-908D-BC5B564F81CE}</author>
    <author>tc={8BB53838-291D-4B2B-9CD1-F5D5DB29F73C}</author>
    <author>tc={4BF92524-C03D-4079-848C-F52583124E97}</author>
    <author>tc={050694F7-6005-E64C-9D61-F4E343127140}</author>
    <author>tc={3689B686-78BC-45EB-BBDA-A0F57759AB1E}</author>
    <author>tc={0FC9316D-5863-438E-B746-7D68AF52B009}</author>
    <author>tc={58185669-86D4-4930-8505-C11FD07E663D}</author>
    <author>tc={10A90A11-3B17-4AE8-8358-6E0C69C45A37}</author>
    <author>tc={795A9840-734D-44C6-8FFD-9A3ABFD3D8D7}</author>
    <author>tc={923C1ED2-1226-4EEA-A6BA-12AB4C17EE69}</author>
    <author>tc={AB75C886-EDBE-4928-88C0-747B55407315}</author>
    <author>tc={C4903C85-806D-437B-A763-AD81E108D283}</author>
    <author>tc={11ABB2D9-6C20-4654-AF4D-778CAD0DD153}</author>
    <author>tc={518347F1-8500-564B-9E87-3FF30AEB73DD}</author>
    <author>tc={FB4AB61C-84F2-C844-A498-7BA96DE69994}</author>
    <author>tc={2244B118-9F4B-4453-A7F8-45E46E5C03AD}</author>
    <author>tc={4A329CE3-C728-45C3-846A-29697A204DFC}</author>
    <author>tc={F1F8FC1D-2E16-4322-8C11-3FC64C41D994}</author>
  </authors>
  <commentList>
    <comment ref="K56" authorId="0" shapeId="0" xr:uid="{BA7B48A3-3C54-47E1-BD60-1398E30B0421}">
      <text>
        <t>[Threaded comment]
Your version of Excel allows you to read this threaded comment; however, any edits to it will get removed if the file is opened in a newer version of Excel. Learn more: https://go.microsoft.com/fwlink/?linkid=870924
Comment:
    All</t>
      </text>
    </comment>
    <comment ref="K57" authorId="1" shapeId="0" xr:uid="{76DD352F-5378-400F-B85F-9369BABE642C}">
      <text>
        <t>[Threaded comment]
Your version of Excel allows you to read this threaded comment; however, any edits to it will get removed if the file is opened in a newer version of Excel. Learn more: https://go.microsoft.com/fwlink/?linkid=870924
Comment:
    All</t>
      </text>
    </comment>
    <comment ref="K61" authorId="2" shapeId="0" xr:uid="{FCAF57F4-72FD-4DB7-852F-3E91CD84A2FC}">
      <text>
        <t>[Threaded comment]
Your version of Excel allows you to read this threaded comment; however, any edits to it will get removed if the file is opened in a newer version of Excel. Learn more: https://go.microsoft.com/fwlink/?linkid=870924
Comment:
    150 T 18-20; 24 or 48 T 17-18</t>
      </text>
    </comment>
    <comment ref="K62" authorId="3" shapeId="0" xr:uid="{5641A385-20C1-4D3A-ABA0-716815AE92DD}">
      <text>
        <t>[Threaded comment]
Your version of Excel allows you to read this threaded comment; however, any edits to it will get removed if the file is opened in a newer version of Excel. Learn more: https://go.microsoft.com/fwlink/?linkid=870924
Comment:
    150 T 18-20; 24 or 48 T 17-18</t>
      </text>
    </comment>
    <comment ref="K63" authorId="4" shapeId="0" xr:uid="{D819112B-8831-4715-B695-669C8B792ADD}">
      <text>
        <t>[Threaded comment]
Your version of Excel allows you to read this threaded comment; however, any edits to it will get removed if the file is opened in a newer version of Excel. Learn more: https://go.microsoft.com/fwlink/?linkid=870924
Comment:
    150 T 18-20; 24 or 48 T 17-18</t>
      </text>
    </comment>
    <comment ref="K64" authorId="5" shapeId="0" xr:uid="{6B5D6BD2-F83F-404C-B7BC-CDF95D844CA7}">
      <text>
        <t>[Threaded comment]
Your version of Excel allows you to read this threaded comment; however, any edits to it will get removed if the file is opened in a newer version of Excel. Learn more: https://go.microsoft.com/fwlink/?linkid=870924
Comment:
    150 T 18-20; 24 or 48 T 17-18</t>
      </text>
    </comment>
    <comment ref="K65" authorId="6" shapeId="0" xr:uid="{5D595D73-1F8B-4CA9-B2C0-F78370B9401F}">
      <text>
        <t>[Threaded comment]
Your version of Excel allows you to read this threaded comment; however, any edits to it will get removed if the file is opened in a newer version of Excel. Learn more: https://go.microsoft.com/fwlink/?linkid=870924
Comment:
    150 T 18-20; 24 or 48 T 17-18</t>
      </text>
    </comment>
    <comment ref="K73" authorId="7" shapeId="0" xr:uid="{C4BB2177-BB5F-47CE-B07E-25F7F5085131}">
      <text>
        <t>[Threaded comment]
Your version of Excel allows you to read this threaded comment; however, any edits to it will get removed if the file is opened in a newer version of Excel. Learn more: https://go.microsoft.com/fwlink/?linkid=870924
Comment:
    44 T 17.5-19.5, remaining 21-22.5</t>
      </text>
    </comment>
    <comment ref="K74" authorId="8" shapeId="0" xr:uid="{B9F9AC68-FD4C-4648-BEF6-9563B59E4E99}">
      <text>
        <t>[Threaded comment]
Your version of Excel allows you to read this threaded comment; however, any edits to it will get removed if the file is opened in a newer version of Excel. Learn more: https://go.microsoft.com/fwlink/?linkid=870924
Comment:
    44 T 17.5-19.5, remaining 21-22.5</t>
      </text>
    </comment>
    <comment ref="K75" authorId="9" shapeId="0" xr:uid="{288B9CD8-67CF-449D-838B-DD6FA739E007}">
      <text>
        <t>[Threaded comment]
Your version of Excel allows you to read this threaded comment; however, any edits to it will get removed if the file is opened in a newer version of Excel. Learn more: https://go.microsoft.com/fwlink/?linkid=870924
Comment:
    44 T 17.5-19.5, remaining 21-22.5</t>
      </text>
    </comment>
    <comment ref="K76" authorId="10" shapeId="0" xr:uid="{08336E3E-3345-48E2-908D-BC5B564F81CE}">
      <text>
        <t>[Threaded comment]
Your version of Excel allows you to read this threaded comment; however, any edits to it will get removed if the file is opened in a newer version of Excel. Learn more: https://go.microsoft.com/fwlink/?linkid=870924
Comment:
    44 T 17.5-19.5, remaining 21-22.5</t>
      </text>
    </comment>
    <comment ref="K77" authorId="11" shapeId="0" xr:uid="{8BB53838-291D-4B2B-9CD1-F5D5DB29F73C}">
      <text>
        <t>[Threaded comment]
Your version of Excel allows you to read this threaded comment; however, any edits to it will get removed if the file is opened in a newer version of Excel. Learn more: https://go.microsoft.com/fwlink/?linkid=870924
Comment:
    44 T 17.5-19.5, remaining 21-22.5</t>
      </text>
    </comment>
    <comment ref="BH166" authorId="12" shapeId="0" xr:uid="{4BF92524-C03D-4079-848C-F52583124E97}">
      <text>
        <t>[Threaded comment]
Your version of Excel allows you to read this threaded comment; however, any edits to it will get removed if the file is opened in a newer version of Excel. Learn more: https://go.microsoft.com/fwlink/?linkid=870924
Comment:
    Full block constellation number</t>
      </text>
    </comment>
    <comment ref="BN186" authorId="13" shapeId="0" xr:uid="{050694F7-6005-E64C-9D61-F4E343127140}">
      <text>
        <t>[Threaded comment]
Your version of Excel allows you to read this threaded comment; however, any edits to it will get removed if the file is opened in a newer version of Excel. Learn more: https://go.microsoft.com/fwlink/?linkid=870924
Comment:
    Combined bucket sample</t>
      </text>
    </comment>
    <comment ref="K244" authorId="14" shapeId="0" xr:uid="{3689B686-78BC-45EB-BBDA-A0F57759AB1E}">
      <text>
        <t>[Threaded comment]
Your version of Excel allows you to read this threaded comment; however, any edits to it will get removed if the file is opened in a newer version of Excel. Learn more: https://go.microsoft.com/fwlink/?linkid=870924
Comment:
    90 T low brix to LTW</t>
      </text>
    </comment>
    <comment ref="K245" authorId="15" shapeId="0" xr:uid="{0FC9316D-5863-438E-B746-7D68AF52B009}">
      <text>
        <t>[Threaded comment]
Your version of Excel allows you to read this threaded comment; however, any edits to it will get removed if the file is opened in a newer version of Excel. Learn more: https://go.microsoft.com/fwlink/?linkid=870924
Comment:
    90 T low brix to LTW</t>
      </text>
    </comment>
    <comment ref="K246" authorId="16" shapeId="0" xr:uid="{58185669-86D4-4930-8505-C11FD07E663D}">
      <text>
        <t>[Threaded comment]
Your version of Excel allows you to read this threaded comment; however, any edits to it will get removed if the file is opened in a newer version of Excel. Learn more: https://go.microsoft.com/fwlink/?linkid=870924
Comment:
    90 T low brix to LTW</t>
      </text>
    </comment>
    <comment ref="K269" authorId="17" shapeId="0" xr:uid="{10A90A11-3B17-4AE8-8358-6E0C69C45A37}">
      <text>
        <t>[Threaded comment]
Your version of Excel allows you to read this threaded comment; however, any edits to it will get removed if the file is opened in a newer version of Excel. Learn more: https://go.microsoft.com/fwlink/?linkid=870924
Comment:
    All</t>
      </text>
    </comment>
    <comment ref="K270" authorId="18" shapeId="0" xr:uid="{795A9840-734D-44C6-8FFD-9A3ABFD3D8D7}">
      <text>
        <t>[Threaded comment]
Your version of Excel allows you to read this threaded comment; however, any edits to it will get removed if the file is opened in a newer version of Excel. Learn more: https://go.microsoft.com/fwlink/?linkid=870924
Comment:
    All</t>
      </text>
    </comment>
    <comment ref="K307" authorId="19" shapeId="0" xr:uid="{923C1ED2-1226-4EEA-A6BA-12AB4C17EE69}">
      <text>
        <t>[Threaded comment]
Your version of Excel allows you to read this threaded comment; however, any edits to it will get removed if the file is opened in a newer version of Excel. Learn more: https://go.microsoft.com/fwlink/?linkid=870924
Comment:
    All</t>
      </text>
    </comment>
    <comment ref="K308" authorId="20" shapeId="0" xr:uid="{AB75C886-EDBE-4928-88C0-747B55407315}">
      <text>
        <t>[Threaded comment]
Your version of Excel allows you to read this threaded comment; however, any edits to it will get removed if the file is opened in a newer version of Excel. Learn more: https://go.microsoft.com/fwlink/?linkid=870924
Comment:
    Some at 17.5-19.5 and approx 100 T at 21.5-22.5</t>
      </text>
    </comment>
    <comment ref="K309" authorId="21" shapeId="0" xr:uid="{C4903C85-806D-437B-A763-AD81E108D283}">
      <text>
        <t>[Threaded comment]
Your version of Excel allows you to read this threaded comment; however, any edits to it will get removed if the file is opened in a newer version of Excel. Learn more: https://go.microsoft.com/fwlink/?linkid=870924
Comment:
    Some at 17.5-19.5 and approx 100 T at 21.5-22.5</t>
      </text>
    </comment>
    <comment ref="K310" authorId="22" shapeId="0" xr:uid="{11ABB2D9-6C20-4654-AF4D-778CAD0DD153}">
      <text>
        <t>[Threaded comment]
Your version of Excel allows you to read this threaded comment; however, any edits to it will get removed if the file is opened in a newer version of Excel. Learn more: https://go.microsoft.com/fwlink/?linkid=870924
Comment:
    Some at 17.5-19.5 and approx 100 T at 21.5-22.5</t>
      </text>
    </comment>
    <comment ref="BU373" authorId="23" shapeId="0" xr:uid="{518347F1-8500-564B-9E87-3FF30AEB73DD}">
      <text>
        <t>[Threaded comment]
Your version of Excel allows you to read this threaded comment; however, any edits to it will get removed if the file is opened in a newer version of Excel. Learn more: https://go.microsoft.com/fwlink/?linkid=870924
Comment:
    Average of 2 buckets 24.6 (south facing side of vines) 22.2 (north facing)</t>
      </text>
    </comment>
    <comment ref="BW376" authorId="24" shapeId="0" xr:uid="{FB4AB61C-84F2-C844-A498-7BA96DE69994}">
      <text>
        <t>[Threaded comment]
Your version of Excel allows you to read this threaded comment; however, any edits to it will get removed if the file is opened in a newer version of Excel. Learn more: https://go.microsoft.com/fwlink/?linkid=870924
Comment:
    Average of 2 buckets: 22.3 North side of the vine / 22.7 south side</t>
      </text>
    </comment>
    <comment ref="K384" authorId="25" shapeId="0" xr:uid="{2244B118-9F4B-4453-A7F8-45E46E5C03AD}">
      <text>
        <t>[Threaded comment]
Your version of Excel allows you to read this threaded comment; however, any edits to it will get removed if the file is opened in a newer version of Excel. Learn more: https://go.microsoft.com/fwlink/?linkid=870924
Comment:
    80T at 17.5-19.5 and 190T at 21.5-22.5</t>
      </text>
    </comment>
    <comment ref="K385" authorId="26" shapeId="0" xr:uid="{4A329CE3-C728-45C3-846A-29697A204DFC}">
      <text>
        <t>[Threaded comment]
Your version of Excel allows you to read this threaded comment; however, any edits to it will get removed if the file is opened in a newer version of Excel. Learn more: https://go.microsoft.com/fwlink/?linkid=870924
Comment:
    80T at 17.5-19.5 and 190T at 21.5-22.5</t>
      </text>
    </comment>
    <comment ref="K386" authorId="27" shapeId="0" xr:uid="{F1F8FC1D-2E16-4322-8C11-3FC64C41D994}">
      <text>
        <t>[Threaded comment]
Your version of Excel allows you to read this threaded comment; however, any edits to it will get removed if the file is opened in a newer version of Excel. Learn more: https://go.microsoft.com/fwlink/?linkid=870924
Comment:
    80T at 17.5-19.5 and 190T at 21.5-22.5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tc={AED69B4E-1320-42A0-9319-03AF605420F7}</author>
    <author>tc={FD41F1C1-C119-4160-957F-DA4CE60CD2AA}</author>
  </authors>
  <commentList>
    <comment ref="AD5" authorId="0" shapeId="0" xr:uid="{AED69B4E-1320-42A0-9319-03AF605420F7}">
      <text>
        <t>[Threaded comment]
Your version of Excel allows you to read this threaded comment; however, any edits to it will get removed if the file is opened in a newer version of Excel. Learn more: https://go.microsoft.com/fwlink/?linkid=870924
Comment:
    Sampled 8/10 switching next sample to 8/15 and replacing with muchmore.</t>
      </text>
    </comment>
    <comment ref="AD37" authorId="1" shapeId="0" xr:uid="{FD41F1C1-C119-4160-957F-DA4CE60CD2AA}">
      <text>
        <t>[Threaded comment]
Your version of Excel allows you to read this threaded comment; however, any edits to it will get removed if the file is opened in a newer version of Excel. Learn more: https://go.microsoft.com/fwlink/?linkid=870924
Comment:
    Big crop here. Want to see how it compares to others.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<sst xmlns="http://schemas.openxmlformats.org/spreadsheetml/2006/main" count="4440" uniqueCount="1744">
  <si>
    <t xml:space="preserve">     2023 VINEYARD SUGARS</t>
  </si>
  <si>
    <t>Today:</t>
  </si>
  <si>
    <r>
      <rPr>
        <b/>
        <sz val="10"/>
        <rFont val="Arial Narrow"/>
        <family val="2"/>
      </rPr>
      <t xml:space="preserve">KEY:   </t>
    </r>
    <r>
      <rPr>
        <i/>
        <u/>
        <sz val="10"/>
        <rFont val="Arial Narrow"/>
        <family val="2"/>
      </rPr>
      <t>Lab Results</t>
    </r>
    <r>
      <rPr>
        <i/>
        <sz val="10"/>
        <rFont val="Arial Narrow"/>
        <family val="2"/>
      </rPr>
      <t xml:space="preserve">     |   </t>
    </r>
    <r>
      <rPr>
        <sz val="10"/>
        <rFont val="Arial Narrow"/>
        <family val="2"/>
      </rPr>
      <t>* After 1 PM</t>
    </r>
  </si>
  <si>
    <t>External Value</t>
  </si>
  <si>
    <t>Low Brix Harvest</t>
  </si>
  <si>
    <t>First Crop</t>
  </si>
  <si>
    <t>DONE?</t>
  </si>
  <si>
    <t>LODI RULES</t>
  </si>
  <si>
    <t>REGION</t>
  </si>
  <si>
    <t>ACRES</t>
  </si>
  <si>
    <t>VARIETY</t>
  </si>
  <si>
    <t>CODE</t>
  </si>
  <si>
    <t>VINEYARD</t>
  </si>
  <si>
    <t>TRIAL</t>
  </si>
  <si>
    <t>LAST SAMPLE DATE</t>
  </si>
  <si>
    <t>LAST BRIX</t>
  </si>
  <si>
    <t>BRIX LOW</t>
  </si>
  <si>
    <t>TARGET BRIX</t>
  </si>
  <si>
    <t>WINERY</t>
  </si>
  <si>
    <t>AG</t>
  </si>
  <si>
    <t xml:space="preserve"> AGLIANICO</t>
  </si>
  <si>
    <t>.</t>
  </si>
  <si>
    <t>y</t>
  </si>
  <si>
    <t>Y</t>
  </si>
  <si>
    <t>L</t>
  </si>
  <si>
    <t>LFRR06AG</t>
  </si>
  <si>
    <t>LF River B6 AG</t>
  </si>
  <si>
    <t>22.5/24</t>
  </si>
  <si>
    <t>LTW</t>
  </si>
  <si>
    <t>AL</t>
  </si>
  <si>
    <t xml:space="preserve"> ALBARINO</t>
  </si>
  <si>
    <t>D</t>
  </si>
  <si>
    <t>FFRY3BAL</t>
  </si>
  <si>
    <t>Foley B3B AL</t>
  </si>
  <si>
    <t>GALLO</t>
  </si>
  <si>
    <t>WHWH03AL</t>
  </si>
  <si>
    <t>Wheelhouse B3 AL</t>
  </si>
  <si>
    <t>LTW/ONEILL</t>
  </si>
  <si>
    <t>AN</t>
  </si>
  <si>
    <t xml:space="preserve"> ANCELLOTA</t>
  </si>
  <si>
    <t>LFRT03AN</t>
  </si>
  <si>
    <t>LF Redtail B3 AN</t>
  </si>
  <si>
    <t>BA</t>
  </si>
  <si>
    <t xml:space="preserve"> BARBERA</t>
  </si>
  <si>
    <t>C</t>
  </si>
  <si>
    <t>CLMO01BA</t>
  </si>
  <si>
    <t>Clements Mohr B1 BA</t>
  </si>
  <si>
    <t>24.7*</t>
  </si>
  <si>
    <t>CLPC02BA</t>
  </si>
  <si>
    <t>Clements Paddy Creek B2 BA (North)</t>
  </si>
  <si>
    <t>Clements Paddy Creek B2 BA (South)</t>
  </si>
  <si>
    <t>CB</t>
  </si>
  <si>
    <t xml:space="preserve"> CHENIN BLANC</t>
  </si>
  <si>
    <t>FFRY15CB</t>
  </si>
  <si>
    <t>Foley B15 CB</t>
  </si>
  <si>
    <t>FFRY07CB</t>
  </si>
  <si>
    <t>Foley B7 CB</t>
  </si>
  <si>
    <t>MJM03CB</t>
  </si>
  <si>
    <t>Merrill-Johnson B3 CB</t>
  </si>
  <si>
    <t>PINE</t>
  </si>
  <si>
    <t>15.8*</t>
  </si>
  <si>
    <t>18.8*</t>
  </si>
  <si>
    <t>PRHZ11CB</t>
  </si>
  <si>
    <t>Prince B11 CB</t>
  </si>
  <si>
    <t>HERZOG/PINE (LTW)</t>
  </si>
  <si>
    <t>19.9*</t>
  </si>
  <si>
    <t>PRHZ14CB</t>
  </si>
  <si>
    <t>Prince B14 CB</t>
  </si>
  <si>
    <t>PRHZ15CB</t>
  </si>
  <si>
    <t>Prince B15 CB</t>
  </si>
  <si>
    <t>PRHZ16CB</t>
  </si>
  <si>
    <t>Prince B16 CB</t>
  </si>
  <si>
    <t>22.8*</t>
  </si>
  <si>
    <t>PRHZ17CB</t>
  </si>
  <si>
    <t>Prince B17 CB</t>
  </si>
  <si>
    <t>PRHZ22CB</t>
  </si>
  <si>
    <t>Prince B22 CB</t>
  </si>
  <si>
    <t>PRHZ05CB</t>
  </si>
  <si>
    <t>Prince B5 CB</t>
  </si>
  <si>
    <t>PRHZ06CB</t>
  </si>
  <si>
    <t xml:space="preserve">Prince B6 CB </t>
  </si>
  <si>
    <t>PRHZ08CB</t>
  </si>
  <si>
    <t>Prince B8 CB</t>
  </si>
  <si>
    <t>PRHZ99CB</t>
  </si>
  <si>
    <t>Prince B99 CB (Rows 1-5)</t>
  </si>
  <si>
    <t>CF</t>
  </si>
  <si>
    <t xml:space="preserve"> CAB FRANC</t>
  </si>
  <si>
    <t>98OK11CF</t>
  </si>
  <si>
    <t>98 Oaks B11 CF</t>
  </si>
  <si>
    <t>LFRA02CF</t>
  </si>
  <si>
    <t>LF Railroad B2 CF</t>
  </si>
  <si>
    <t>CH</t>
  </si>
  <si>
    <t xml:space="preserve"> CHARDONNAY</t>
  </si>
  <si>
    <t>BAPE01CH</t>
  </si>
  <si>
    <t>Baum Peltier B1 CH 2020 (Row 1-173)</t>
  </si>
  <si>
    <t>Baum Peltier B1 CH 2021 (Row 175-end)</t>
  </si>
  <si>
    <t>CLAT02CH</t>
  </si>
  <si>
    <t>Clements Atkins B2 CH</t>
  </si>
  <si>
    <t>22.6 (N) 22.8 (S)</t>
  </si>
  <si>
    <t>CLAT03CH</t>
  </si>
  <si>
    <t>Clements Atkins B3 CH</t>
  </si>
  <si>
    <t>CLAT04CH</t>
  </si>
  <si>
    <t>Clements Atkins B4 CH (South - Horses)</t>
  </si>
  <si>
    <t>CLBC02CH</t>
  </si>
  <si>
    <t>Clements Bear Creek B2 CH</t>
  </si>
  <si>
    <t>Clements Bear Creek B2 CH (Mid)</t>
  </si>
  <si>
    <t>CLR202CH</t>
  </si>
  <si>
    <t>Clements Rose 2 B2 CH</t>
  </si>
  <si>
    <t>Clements Rose 2 B2 CH (MID)</t>
  </si>
  <si>
    <t>Clements Rose 2 B2 CH (NORTH)</t>
  </si>
  <si>
    <t>Clements Rose 2 B2 CH (SOUTH)</t>
  </si>
  <si>
    <t>CLPC4BCH</t>
  </si>
  <si>
    <t>Clements Paddy Creek B4B CH</t>
  </si>
  <si>
    <t>23.1*</t>
  </si>
  <si>
    <t>CO8802CH</t>
  </si>
  <si>
    <t>Cook B2 CH</t>
  </si>
  <si>
    <t>DBDA05CH</t>
  </si>
  <si>
    <t>Donald, Brian Davis B5 CH</t>
  </si>
  <si>
    <t>FFRY2BCH</t>
  </si>
  <si>
    <t>Foley B2B CH</t>
  </si>
  <si>
    <t>WDBG</t>
  </si>
  <si>
    <t>FFRY03CH</t>
  </si>
  <si>
    <t>Foley B3 CH</t>
  </si>
  <si>
    <t>FFRY04CH</t>
  </si>
  <si>
    <t>Foley B4 CH</t>
  </si>
  <si>
    <t>FFRY05CH</t>
  </si>
  <si>
    <t>Foley B5 CH</t>
  </si>
  <si>
    <t>FFRY06CH</t>
  </si>
  <si>
    <t>Foley B6 CH</t>
  </si>
  <si>
    <t>LAPR02CH</t>
  </si>
  <si>
    <t>LaPrima B2 CH</t>
  </si>
  <si>
    <t>BOGLE</t>
  </si>
  <si>
    <t>23.4*</t>
  </si>
  <si>
    <t>LASHICH</t>
  </si>
  <si>
    <t>Lashi Mark Shimozaki CH</t>
  </si>
  <si>
    <t>LF8004CH</t>
  </si>
  <si>
    <t>LF 80 B4 Clone 70 (Rows 1-23)</t>
  </si>
  <si>
    <t>LF8004CH-Rosa</t>
  </si>
  <si>
    <t>LF 80 B4 (Rosa rows 24-31) 2020</t>
  </si>
  <si>
    <t>LF 80 B4 (Rosa rows 33-45) 2021</t>
  </si>
  <si>
    <t>LFBT01CH</t>
  </si>
  <si>
    <t>LF Blacktail CH</t>
  </si>
  <si>
    <t>23.2*</t>
  </si>
  <si>
    <t>LFDA03CH</t>
  </si>
  <si>
    <t>LF Davis B3 CH</t>
  </si>
  <si>
    <t>MJMJ01CH</t>
  </si>
  <si>
    <t>Merrill-Johnson B1 CH</t>
  </si>
  <si>
    <t>16.4*</t>
  </si>
  <si>
    <t>19.0*</t>
  </si>
  <si>
    <t>JONR01CH</t>
  </si>
  <si>
    <t>North River B1 CH (North)</t>
  </si>
  <si>
    <t>NOT LTW</t>
  </si>
  <si>
    <t>North River B1 CH (Rows 1-45)</t>
  </si>
  <si>
    <t>North River B1 CH (Rows 46-90)</t>
  </si>
  <si>
    <t>North River B1 CH (Rows 91-136)</t>
  </si>
  <si>
    <t>North River B1 CH (Rows 137-End)</t>
  </si>
  <si>
    <t>PRHZ01CH</t>
  </si>
  <si>
    <t>Prince B1 CH</t>
  </si>
  <si>
    <t>HERZOG</t>
  </si>
  <si>
    <t>PRHZ21CH</t>
  </si>
  <si>
    <t>Prince B21 CH</t>
  </si>
  <si>
    <t xml:space="preserve">HERZOG
</t>
  </si>
  <si>
    <t>PPBR03CH</t>
  </si>
  <si>
    <t>Proplant Betsey Rose B3 CH</t>
  </si>
  <si>
    <t>U160127</t>
  </si>
  <si>
    <t>Proplant Betsey Rose B3 CH (East)</t>
  </si>
  <si>
    <t>Proplant Betsey Rose B3 CH (MID)</t>
  </si>
  <si>
    <t>Proplant Betsey Rose B3 CH (West)</t>
  </si>
  <si>
    <t>PPCR02CH</t>
  </si>
  <si>
    <t>Proplant CRAIG B2 CH</t>
  </si>
  <si>
    <t>U191265</t>
  </si>
  <si>
    <t>RSR203CH</t>
  </si>
  <si>
    <t>Rootstock 2 BLK 3</t>
  </si>
  <si>
    <t>17.5-19.5; 21-22.5</t>
  </si>
  <si>
    <t>Rootstock 2 BLK 3 North</t>
  </si>
  <si>
    <t>Rootstock 2  B3 CH (North East)</t>
  </si>
  <si>
    <t>18.5/21.5</t>
  </si>
  <si>
    <t>18.6;18.2</t>
  </si>
  <si>
    <t>Rootstock 2  B3 CH (North West)</t>
  </si>
  <si>
    <t>Rootstock 2  B3 CH (South)</t>
  </si>
  <si>
    <t>RSR103CH</t>
  </si>
  <si>
    <t>Rootstock 1 B3 CH</t>
  </si>
  <si>
    <t>SLHM03CH</t>
  </si>
  <si>
    <t>Stanton B3 CH</t>
  </si>
  <si>
    <t>DELICATO</t>
  </si>
  <si>
    <t>GEWENOCH</t>
  </si>
  <si>
    <t>Webster (All)</t>
  </si>
  <si>
    <t>Webster / Garliepp,Zolezzi - South</t>
  </si>
  <si>
    <t>Webster / Georgatos -North</t>
  </si>
  <si>
    <t>CS</t>
  </si>
  <si>
    <t>CABERNET SAUVIGNON</t>
  </si>
  <si>
    <t>98OK01CS</t>
  </si>
  <si>
    <t>98 Oaks B1 CS</t>
  </si>
  <si>
    <t>98OK02CS</t>
  </si>
  <si>
    <t>98 Oaks B2 CS</t>
  </si>
  <si>
    <t>98OK04CS</t>
  </si>
  <si>
    <t>98 Oaks B4 CS</t>
  </si>
  <si>
    <t>98OK05CS</t>
  </si>
  <si>
    <t>98 Oaks B5 CS</t>
  </si>
  <si>
    <t>98OK06CS</t>
  </si>
  <si>
    <t>98 Oaks B6 CS</t>
  </si>
  <si>
    <t>98OK09CS</t>
  </si>
  <si>
    <t>98 Oaks B9 CS</t>
  </si>
  <si>
    <t>BHCH01CS</t>
  </si>
  <si>
    <t>Birmingham Clements Hills CS -All</t>
  </si>
  <si>
    <t>U165059</t>
  </si>
  <si>
    <t>Birmingham Clements Hills CS -B1,2,3,4</t>
  </si>
  <si>
    <t>Birmingham Clements Hills CS -B5,6</t>
  </si>
  <si>
    <t>25.4*</t>
  </si>
  <si>
    <t>Birmingham Clements Hills CS -B7, B8, B9</t>
  </si>
  <si>
    <t>23.6*</t>
  </si>
  <si>
    <t>Birmingham Clements Hills CS -B11,12,13</t>
  </si>
  <si>
    <t>25.0*</t>
  </si>
  <si>
    <t>Birmingham Clements Hills CS - 3</t>
  </si>
  <si>
    <t>Birmingham Clements Hills CS - 1 and 7</t>
  </si>
  <si>
    <t>BSHMOHCS</t>
  </si>
  <si>
    <t>Blue Star</t>
  </si>
  <si>
    <t>CLOK02CS</t>
  </si>
  <si>
    <t>Clements 3 Oaks BLK 2</t>
  </si>
  <si>
    <t>Clements 3 Oaks BLK 2 - M</t>
  </si>
  <si>
    <t>Clements 3 Oaks BLK 2 - N</t>
  </si>
  <si>
    <t>Clements 3 Oaks BLK 2 - S</t>
  </si>
  <si>
    <t>CL3A03CS</t>
  </si>
  <si>
    <t>Clements AAA BLK 3</t>
  </si>
  <si>
    <t>CLAT01CS</t>
  </si>
  <si>
    <t>Clements Atkins BLK 1 - NORTH</t>
  </si>
  <si>
    <t>CLAT05CS</t>
  </si>
  <si>
    <t>Clements Atkins BLK 5 - SOUTH</t>
  </si>
  <si>
    <t>CLNR01CS</t>
  </si>
  <si>
    <t>Clements Norgaard BLK 1</t>
  </si>
  <si>
    <t>U185607</t>
  </si>
  <si>
    <t>CLPC07CS</t>
  </si>
  <si>
    <t>Clements Paddy Creek BLK 7</t>
  </si>
  <si>
    <t>24.3*</t>
  </si>
  <si>
    <t>Clements Paddy Creek BLK 7 - N</t>
  </si>
  <si>
    <t>Clements Paddy Creek BLK 7 - S</t>
  </si>
  <si>
    <t>CLPT01CS</t>
  </si>
  <si>
    <t>Clements Peters</t>
  </si>
  <si>
    <t>ONEILL</t>
  </si>
  <si>
    <t>Clements Peters - N</t>
  </si>
  <si>
    <t>Clements Peters - S</t>
  </si>
  <si>
    <t>CO8801CS</t>
  </si>
  <si>
    <t>Cook BLK 1</t>
  </si>
  <si>
    <t>Cook BLK 1 - East</t>
  </si>
  <si>
    <t>Cook BLK 1 - West</t>
  </si>
  <si>
    <t>DBAI01CS</t>
  </si>
  <si>
    <t>Donald, Brian Airport BLK 1 (Old)</t>
  </si>
  <si>
    <t>19.6*</t>
  </si>
  <si>
    <t xml:space="preserve">Donald, Brian Airport BLK 1 (Old) - Healthy Vines </t>
  </si>
  <si>
    <t>DBAI04CS</t>
  </si>
  <si>
    <t>Donald, Brian Airport BLK 4</t>
  </si>
  <si>
    <t>22.6*</t>
  </si>
  <si>
    <t>DFDA01CS</t>
  </si>
  <si>
    <t>Donald, Fred Davis BLK 1</t>
  </si>
  <si>
    <t>21.6*</t>
  </si>
  <si>
    <t>22.5*</t>
  </si>
  <si>
    <t>DFDA04CS</t>
  </si>
  <si>
    <t>Donald, Fred Davis BLK 6 - Rubens</t>
  </si>
  <si>
    <t>23.3*</t>
  </si>
  <si>
    <t>HEBO01CS</t>
  </si>
  <si>
    <t>Henretty</t>
  </si>
  <si>
    <t>HIHV04CS</t>
  </si>
  <si>
    <t>Hilder Vines B4 CS</t>
  </si>
  <si>
    <t>Hilder Vines BLK 4 (North)</t>
  </si>
  <si>
    <t>Hilder Vines BLK 4 (South)</t>
  </si>
  <si>
    <t>MKJA04CS</t>
  </si>
  <si>
    <t>Kidd B4 CS</t>
  </si>
  <si>
    <t>LAPR05CS</t>
  </si>
  <si>
    <t>LaPrima - BLK 5</t>
  </si>
  <si>
    <t>ONEILL/GALLO</t>
  </si>
  <si>
    <t>LaPrima - BLK 5 N</t>
  </si>
  <si>
    <t>LaPrima - BLK 5 S</t>
  </si>
  <si>
    <t>LF1001CS</t>
  </si>
  <si>
    <t>LF 100 (Hi-wire)</t>
  </si>
  <si>
    <t>18.7*</t>
  </si>
  <si>
    <t>20.0*</t>
  </si>
  <si>
    <t>22.7*</t>
  </si>
  <si>
    <t>LF 100 N</t>
  </si>
  <si>
    <t>LF 100 S</t>
  </si>
  <si>
    <t>LF3801CS</t>
  </si>
  <si>
    <t>LF 38 CS (remaining)</t>
  </si>
  <si>
    <t>LF 38 - N of pump</t>
  </si>
  <si>
    <t>LF 38 - S of pump</t>
  </si>
  <si>
    <t>LFGC01GC</t>
  </si>
  <si>
    <t>LF Gill Creek</t>
  </si>
  <si>
    <t>U169771</t>
  </si>
  <si>
    <t>LF Gill Creek - N</t>
  </si>
  <si>
    <t>LF Gill Creek - S</t>
  </si>
  <si>
    <t>LFW104CS</t>
  </si>
  <si>
    <t>LF JW1 BLK 4</t>
  </si>
  <si>
    <t>21.5*</t>
  </si>
  <si>
    <t>LFW301CS</t>
  </si>
  <si>
    <t>LF JW3 BLK 1 (Juans)</t>
  </si>
  <si>
    <t>LF JW3 BLK 1 (Juans) - N</t>
  </si>
  <si>
    <t>LF JW3 BLK 1 (Juans) - S</t>
  </si>
  <si>
    <t>LFRA01CS</t>
  </si>
  <si>
    <t>LF Railroad</t>
  </si>
  <si>
    <t>LF Railroad - N</t>
  </si>
  <si>
    <t>LF Railroad - S</t>
  </si>
  <si>
    <t>LFRR02CS</t>
  </si>
  <si>
    <t>LF River BLK 2</t>
  </si>
  <si>
    <t>LFRR04CS</t>
  </si>
  <si>
    <t>LF River BLK 4 (across slough)</t>
  </si>
  <si>
    <t>LFTO01CS</t>
  </si>
  <si>
    <t xml:space="preserve">LF Twin Oaks </t>
  </si>
  <si>
    <t>LF Twin Oaks R1-64 (O39-16; SOUTH)</t>
  </si>
  <si>
    <t>LF Twin Oaks R65-128 (GRN4; NORTH)</t>
  </si>
  <si>
    <t>MEJA03CS</t>
  </si>
  <si>
    <t>Mendonca B3 CS</t>
  </si>
  <si>
    <t>MRPR01CS</t>
  </si>
  <si>
    <t>MRP</t>
  </si>
  <si>
    <t>POCR03CS</t>
  </si>
  <si>
    <t>Patriot Oaks - Craig</t>
  </si>
  <si>
    <t>RING01CS</t>
  </si>
  <si>
    <t>Ring</t>
  </si>
  <si>
    <t>U159214</t>
  </si>
  <si>
    <t>Ring - Mid</t>
  </si>
  <si>
    <t>Ring - N</t>
  </si>
  <si>
    <t>17.5*</t>
  </si>
  <si>
    <t>19.1*</t>
  </si>
  <si>
    <t>Ring - S</t>
  </si>
  <si>
    <t>RSR102CS</t>
  </si>
  <si>
    <t>Rootstock BLK 2 VSP</t>
  </si>
  <si>
    <t>SEJA01CS</t>
  </si>
  <si>
    <t>Seibly 1 R1-91 (GRN2; SOUTH)</t>
  </si>
  <si>
    <t>Seibly 1 R92-161 (1103P; NORTH)</t>
  </si>
  <si>
    <t>ZLLAOHCS</t>
  </si>
  <si>
    <t>Zaballos / Lange Lauchland North</t>
  </si>
  <si>
    <t>Zaballos / Lange Lauchland South</t>
  </si>
  <si>
    <t>Zaballos / Lange Lauchland</t>
  </si>
  <si>
    <t>GB</t>
  </si>
  <si>
    <t>GRENACHE BLANC</t>
  </si>
  <si>
    <t>LFRR08GB</t>
  </si>
  <si>
    <t>LF River B8 GB</t>
  </si>
  <si>
    <t>20.4*</t>
  </si>
  <si>
    <t>GE</t>
  </si>
  <si>
    <t xml:space="preserve"> GEWURZTRAMINER</t>
  </si>
  <si>
    <t xml:space="preserve">Wheelhouse B1 GE (1-50) </t>
  </si>
  <si>
    <t>WHWH01GE</t>
  </si>
  <si>
    <t>Wheelhouse B1 GE (Rows 1-75)</t>
  </si>
  <si>
    <t>Wheelhouse B1 GE (Rows 51-75; 113-127)</t>
  </si>
  <si>
    <t>Wheelhouse B1 GE (Rows 76-112)</t>
  </si>
  <si>
    <t>GG</t>
  </si>
  <si>
    <t>GARNACHA GRIS</t>
  </si>
  <si>
    <t>JONR03GG</t>
  </si>
  <si>
    <t>North River B3 GG  (Row 35-36)</t>
  </si>
  <si>
    <t>GV</t>
  </si>
  <si>
    <t>GRUNER VELTLINER</t>
  </si>
  <si>
    <t>JONR03GV</t>
  </si>
  <si>
    <t>North River B3 GV (Row 1-34)</t>
  </si>
  <si>
    <t>MA</t>
  </si>
  <si>
    <t xml:space="preserve"> MALBEC</t>
  </si>
  <si>
    <t>98OK03MA</t>
  </si>
  <si>
    <t>98 Oaks B3 MA</t>
  </si>
  <si>
    <t>CLR201MA</t>
  </si>
  <si>
    <t>Clements Rose II B1 MA</t>
  </si>
  <si>
    <t>Clements Rose II B1 MA (North)</t>
  </si>
  <si>
    <t>Clements Rose II B1 MA (South)</t>
  </si>
  <si>
    <t>FDJA03MA</t>
  </si>
  <si>
    <t>Ford - B3 MA</t>
  </si>
  <si>
    <t>Ford - B3 MA (North)</t>
  </si>
  <si>
    <t>23.5*</t>
  </si>
  <si>
    <t>Ford - B3 MA (South)</t>
  </si>
  <si>
    <t>LAPR01MA</t>
  </si>
  <si>
    <t>LaPrima B1 MA</t>
  </si>
  <si>
    <t>LaPrima B1 MA (East)</t>
  </si>
  <si>
    <t>LaPrima B1 MA (West)</t>
  </si>
  <si>
    <t>PRHZ99MA</t>
  </si>
  <si>
    <t>Prince B99 MA (Row 29-38)</t>
  </si>
  <si>
    <t>24.5*</t>
  </si>
  <si>
    <t>MC</t>
  </si>
  <si>
    <t xml:space="preserve"> MUSCAT CANNELLI</t>
  </si>
  <si>
    <t>DVDU07MC</t>
  </si>
  <si>
    <t>Diablo Dutra B7 (Old) MC</t>
  </si>
  <si>
    <t>DVDU07MC-GR</t>
  </si>
  <si>
    <t>Diablo Dutra B7 (Whip Graft) MC</t>
  </si>
  <si>
    <t>ME</t>
  </si>
  <si>
    <t xml:space="preserve"> MERLOT</t>
  </si>
  <si>
    <t>98OK07ME</t>
  </si>
  <si>
    <t>98 Oaks B7 ME</t>
  </si>
  <si>
    <t>BEBU01ME</t>
  </si>
  <si>
    <t>Bender Burlington ME</t>
  </si>
  <si>
    <t>22.1*</t>
  </si>
  <si>
    <t>25.3*</t>
  </si>
  <si>
    <t>CLOK01ME</t>
  </si>
  <si>
    <t>Clements 3 Oaks BLK 1</t>
  </si>
  <si>
    <t>U300212</t>
  </si>
  <si>
    <t>Clements 3 Oaks BLK 1 - MID</t>
  </si>
  <si>
    <t>Clements 3 Oaks BLK 1 - N</t>
  </si>
  <si>
    <t>Clements 3 Oaks BLK 1 - S</t>
  </si>
  <si>
    <t>CLLA01ME</t>
  </si>
  <si>
    <t>Clements Lane ME (North)</t>
  </si>
  <si>
    <t>Clements Lane ME (South)</t>
  </si>
  <si>
    <t>CLPC01ME</t>
  </si>
  <si>
    <t>Clements Paddy Creek BLK 1 (Kettleman)</t>
  </si>
  <si>
    <t>CLPC03ME</t>
  </si>
  <si>
    <t>Clements Paddy Creek BLK 3 (Tully)</t>
  </si>
  <si>
    <t>CLPC05ME</t>
  </si>
  <si>
    <t>Clements Paddy Creek BLK 5 (Harney) North</t>
  </si>
  <si>
    <t>Clements Paddy Creek BLK 5 (Harney) South</t>
  </si>
  <si>
    <t>CLR101ME</t>
  </si>
  <si>
    <t>Clements Rose I</t>
  </si>
  <si>
    <t>FDJA04ME</t>
  </si>
  <si>
    <t>Ford - B4 ME (North East)</t>
  </si>
  <si>
    <t>Ford - B4 ME (East)</t>
  </si>
  <si>
    <t>Ford - B4 ME (West)</t>
  </si>
  <si>
    <t>Ford - B4 ME 15.72 ac</t>
  </si>
  <si>
    <t>Ford - B4 ME 3.59 ac</t>
  </si>
  <si>
    <t>Ford - B4 ME 9.29 ac</t>
  </si>
  <si>
    <t>FDJA05ME</t>
  </si>
  <si>
    <t>Ford - BLK 5</t>
  </si>
  <si>
    <t>25/23.5</t>
  </si>
  <si>
    <t>LAPR03ME</t>
  </si>
  <si>
    <t>LaPrima B3 ME</t>
  </si>
  <si>
    <t>LaPrima B3 ME (North)</t>
  </si>
  <si>
    <t>LaPrima B3 ME (South)</t>
  </si>
  <si>
    <t>LFW201ME</t>
  </si>
  <si>
    <t>LF JW2 BLK 1</t>
  </si>
  <si>
    <t>LF JW2 BLK 1 - N</t>
  </si>
  <si>
    <t>LF JW2 BLK 1 - S</t>
  </si>
  <si>
    <t>PPCR01ME</t>
  </si>
  <si>
    <t>Proplant BLK 1 - NE Island</t>
  </si>
  <si>
    <t>Proplant BLK 1 - N</t>
  </si>
  <si>
    <t>Proplant BLK 1 - S</t>
  </si>
  <si>
    <t>Proplant BLK 1 (Craig)</t>
  </si>
  <si>
    <t>SMSM01ME</t>
  </si>
  <si>
    <t>Smith B1 ME</t>
  </si>
  <si>
    <t>MP</t>
  </si>
  <si>
    <t xml:space="preserve"> MONTEPULCIANO</t>
  </si>
  <si>
    <t>LFRR05MP</t>
  </si>
  <si>
    <t>LF River BLK 5</t>
  </si>
  <si>
    <t>ND</t>
  </si>
  <si>
    <t xml:space="preserve"> NERO D AVOLA</t>
  </si>
  <si>
    <t>DFDA07ND</t>
  </si>
  <si>
    <t>Donald David Fred</t>
  </si>
  <si>
    <t>21.2*</t>
  </si>
  <si>
    <t>LFRT01ND</t>
  </si>
  <si>
    <t>LF RedTail B1 ND</t>
  </si>
  <si>
    <t>PB</t>
  </si>
  <si>
    <t>PICPOUL BLANC</t>
  </si>
  <si>
    <t>LFRR07PB</t>
  </si>
  <si>
    <t>LF River B7 PB</t>
  </si>
  <si>
    <t>17.6*</t>
  </si>
  <si>
    <t>19.8*</t>
  </si>
  <si>
    <t>PG</t>
  </si>
  <si>
    <t xml:space="preserve"> PINOT GRIGIO</t>
  </si>
  <si>
    <t>CLBC01PG</t>
  </si>
  <si>
    <t>Clements Bear Creek B1 PG</t>
  </si>
  <si>
    <t>DVMA02PG</t>
  </si>
  <si>
    <t>Diablo Maria B2 PG (East)</t>
  </si>
  <si>
    <t>Diablo Maria B2 PG (South)</t>
  </si>
  <si>
    <t>Diablo Maria B2 PG (West)</t>
  </si>
  <si>
    <t>Diablo Maria BLK 2 - MID</t>
  </si>
  <si>
    <t>FFRY13PG</t>
  </si>
  <si>
    <t xml:space="preserve">Foley BLK 13 </t>
  </si>
  <si>
    <t>LFDA02PG</t>
  </si>
  <si>
    <t>LF Davis B2 PG</t>
  </si>
  <si>
    <t>MFLO01PG</t>
  </si>
  <si>
    <t>Liberty Oaks B1 PG</t>
  </si>
  <si>
    <t>18.7; 16.1</t>
  </si>
  <si>
    <t>17.8; 19.6</t>
  </si>
  <si>
    <t>MJMJ02PG</t>
  </si>
  <si>
    <t xml:space="preserve">Merrill-Johnson B2 PG </t>
  </si>
  <si>
    <t>16.2*</t>
  </si>
  <si>
    <t>Merrill-Johnson B2 PG (Mid)</t>
  </si>
  <si>
    <t>Merrill-Johnson B2 PG (North)</t>
  </si>
  <si>
    <t>Merrill-Johnson B2 PG (South)</t>
  </si>
  <si>
    <t>MUMU02PG</t>
  </si>
  <si>
    <t>Muchmore B2 PG</t>
  </si>
  <si>
    <t>MFRN03PG</t>
  </si>
  <si>
    <t>Runyon - B3 PG</t>
  </si>
  <si>
    <t>WHWH02PG</t>
  </si>
  <si>
    <t>Wheelhouse B2 PG</t>
  </si>
  <si>
    <t xml:space="preserve">HERZOG </t>
  </si>
  <si>
    <t>PN</t>
  </si>
  <si>
    <t xml:space="preserve"> PINOT NOIR</t>
  </si>
  <si>
    <t>DVDU08PN</t>
  </si>
  <si>
    <t>Diablo Dutra B8 (North)</t>
  </si>
  <si>
    <t>Diablo Dutra B8 (South)</t>
  </si>
  <si>
    <t>Diablo Dutra BLK 8</t>
  </si>
  <si>
    <t>DVMA01PN-115</t>
  </si>
  <si>
    <t>Diablo Maria B1 PN - C 115</t>
  </si>
  <si>
    <t>LTW/TWG</t>
  </si>
  <si>
    <t>DVMA01PN-23</t>
  </si>
  <si>
    <t>Diablo Maria B1 PN - C 23 EAST</t>
  </si>
  <si>
    <r>
      <t xml:space="preserve">25.6, </t>
    </r>
    <r>
      <rPr>
        <i/>
        <u/>
        <sz val="10"/>
        <rFont val="Arial Narrow"/>
        <family val="2"/>
      </rPr>
      <t>26.4</t>
    </r>
  </si>
  <si>
    <t>Diablo Maria B1 PN - C 23 WEST</t>
  </si>
  <si>
    <t>DVMA01PN-667</t>
  </si>
  <si>
    <t>Diablo Maria B1 PN - C 667</t>
  </si>
  <si>
    <t>DVMA01PN-777</t>
  </si>
  <si>
    <t>Diablo Maria B1 PN - C 777</t>
  </si>
  <si>
    <t>FFRY01PN</t>
  </si>
  <si>
    <t>Foley BLK 1</t>
  </si>
  <si>
    <t>FOLEY</t>
  </si>
  <si>
    <t>FFRY10PN</t>
  </si>
  <si>
    <t>Foley BLK 10</t>
  </si>
  <si>
    <t>FFRY11PN</t>
  </si>
  <si>
    <t>Foley BLK 11 A</t>
  </si>
  <si>
    <t>Foley BLK 11 - 99</t>
  </si>
  <si>
    <t>Foley BLK 11 - B</t>
  </si>
  <si>
    <t>FFRY12PN</t>
  </si>
  <si>
    <t>Foley BLK 12</t>
  </si>
  <si>
    <t>FFRY02PN</t>
  </si>
  <si>
    <t xml:space="preserve">Foley BLK 2 </t>
  </si>
  <si>
    <t>Foley BLK 2 North</t>
  </si>
  <si>
    <t>Foley BLK 2 South</t>
  </si>
  <si>
    <t>FFRY09PN</t>
  </si>
  <si>
    <t>Foley B9 PN</t>
  </si>
  <si>
    <t>PRHZ03PN</t>
  </si>
  <si>
    <t>Prince B3 PN</t>
  </si>
  <si>
    <t>PPBR04PN</t>
  </si>
  <si>
    <t>Proplant Betsey Rose B4 PN</t>
  </si>
  <si>
    <t>Proplant Betsey Rose BLK 4 - Mid</t>
  </si>
  <si>
    <t>Proplant Betsey Rose BLK 4 - N</t>
  </si>
  <si>
    <t>Proplant Betsey Rose BLK 4 - S</t>
  </si>
  <si>
    <t>MFRN01PN</t>
  </si>
  <si>
    <t>Runyon - B1 PN</t>
  </si>
  <si>
    <t>COPPOLA/DON&amp;SONS</t>
  </si>
  <si>
    <t>MFRN02PN</t>
  </si>
  <si>
    <t>Runyon - B2 PN</t>
  </si>
  <si>
    <t>COPPOLA</t>
  </si>
  <si>
    <t>SERA01PN</t>
  </si>
  <si>
    <t>Seibly Ray B1 PN</t>
  </si>
  <si>
    <t>18-20</t>
  </si>
  <si>
    <t>MUMM</t>
  </si>
  <si>
    <t>SLHM05PN</t>
  </si>
  <si>
    <t>Stanton - BLK 5</t>
  </si>
  <si>
    <t>ZLSO01PN</t>
  </si>
  <si>
    <t>Zaballos-Lange Sowles</t>
  </si>
  <si>
    <t>17.3*</t>
  </si>
  <si>
    <t>Zaballos-Lange Sowles (Mid)</t>
  </si>
  <si>
    <t>Zaballos-Lange Sowles (North)</t>
  </si>
  <si>
    <t>Zaballos-Lange Sowles (South)</t>
  </si>
  <si>
    <t>PS</t>
  </si>
  <si>
    <t xml:space="preserve"> PETITE SYRAH</t>
  </si>
  <si>
    <t>98OK08PS</t>
  </si>
  <si>
    <t>98 Oaks B8 PS</t>
  </si>
  <si>
    <t>CLMN03PS</t>
  </si>
  <si>
    <t>Clements Moren BLK 3 (East)</t>
  </si>
  <si>
    <t>CLMN04PS</t>
  </si>
  <si>
    <t>Clements Moren BLK 4 (South)</t>
  </si>
  <si>
    <t>CLMN05PS</t>
  </si>
  <si>
    <t>Clements Moren BLK 5 (North)</t>
  </si>
  <si>
    <t>Hilder Vines B5 PS</t>
  </si>
  <si>
    <t>Hilder Vines BLK 5 - Mid</t>
  </si>
  <si>
    <t>Hilder Vines BLK 5 - N</t>
  </si>
  <si>
    <t>Hilder Vines BLK 5 - S</t>
  </si>
  <si>
    <t>LAPR04PS</t>
  </si>
  <si>
    <t>LaPrima - BLK 4</t>
  </si>
  <si>
    <t>LaPrima - BLK 4- N</t>
  </si>
  <si>
    <t>LaPrima - BLK 4- S</t>
  </si>
  <si>
    <t xml:space="preserve">LF 100 </t>
  </si>
  <si>
    <t>COPPER CANE</t>
  </si>
  <si>
    <t>LF 100 - Middle</t>
  </si>
  <si>
    <t>LF 100 - N</t>
  </si>
  <si>
    <r>
      <t xml:space="preserve">24.3, </t>
    </r>
    <r>
      <rPr>
        <i/>
        <u/>
        <sz val="10"/>
        <rFont val="Arial Narrow"/>
        <family val="2"/>
      </rPr>
      <t>22.7</t>
    </r>
  </si>
  <si>
    <t>LF 100 - S</t>
  </si>
  <si>
    <r>
      <t xml:space="preserve">25.0, </t>
    </r>
    <r>
      <rPr>
        <i/>
        <u/>
        <sz val="10"/>
        <rFont val="Arial Narrow"/>
        <family val="2"/>
      </rPr>
      <t>24.2</t>
    </r>
  </si>
  <si>
    <t>LF 100 - SW</t>
  </si>
  <si>
    <t>LF8003PS</t>
  </si>
  <si>
    <t>LF 80 B3 PS</t>
  </si>
  <si>
    <t>PRHZ18PS</t>
  </si>
  <si>
    <t xml:space="preserve">Prince BLK 18 </t>
  </si>
  <si>
    <t>PV</t>
  </si>
  <si>
    <t xml:space="preserve"> PETITE VERDOT</t>
  </si>
  <si>
    <t>CL3A01PV</t>
  </si>
  <si>
    <t xml:space="preserve">Clements AAA Barn #1 </t>
  </si>
  <si>
    <t>Clements AAA Barn #1 N</t>
  </si>
  <si>
    <t>Clements AAA Barn #1 S</t>
  </si>
  <si>
    <t>CL3A04PV</t>
  </si>
  <si>
    <t xml:space="preserve">Clements AAA Brandt #4 </t>
  </si>
  <si>
    <t>CLMN02PV</t>
  </si>
  <si>
    <t>Clements Moren BLK 2</t>
  </si>
  <si>
    <t>LF8002PV</t>
  </si>
  <si>
    <t>LF 80 B2 PV</t>
  </si>
  <si>
    <t>LTW/U191222</t>
  </si>
  <si>
    <t>LFW101PV</t>
  </si>
  <si>
    <t>LF Jahant Woods 1</t>
  </si>
  <si>
    <t>LFRR01PV</t>
  </si>
  <si>
    <t>LF River BLK 1</t>
  </si>
  <si>
    <t>LF River BLK 1- N</t>
  </si>
  <si>
    <t>LF River BLK 1- S</t>
  </si>
  <si>
    <t>POHM01PV</t>
  </si>
  <si>
    <t>Patriot Oaks - Home</t>
  </si>
  <si>
    <t>SA</t>
  </si>
  <si>
    <t xml:space="preserve"> SANGIOVESE</t>
  </si>
  <si>
    <t>DBAI02SA</t>
  </si>
  <si>
    <t>Donald, Brian Airport B2 SA</t>
  </si>
  <si>
    <t>LFEX01SA</t>
  </si>
  <si>
    <t>LF Exotics B1 (North)</t>
  </si>
  <si>
    <t>LF Exotics B1 (South)</t>
  </si>
  <si>
    <t>LF Exotics BLK 1</t>
  </si>
  <si>
    <t>17.5-19.5; 21.5</t>
  </si>
  <si>
    <t>SB</t>
  </si>
  <si>
    <t xml:space="preserve"> SAUVIGNON BLANC</t>
  </si>
  <si>
    <t>CL3A02SB</t>
  </si>
  <si>
    <t>Clements AAA</t>
  </si>
  <si>
    <t>U185623</t>
  </si>
  <si>
    <t>DVDU1CSB</t>
  </si>
  <si>
    <t>Diablo Dutra - BLK 1C</t>
  </si>
  <si>
    <t>DVDU02SB</t>
  </si>
  <si>
    <t>Diablo Dutra - BLK 2</t>
  </si>
  <si>
    <t>DVDU03SB</t>
  </si>
  <si>
    <t>Diablo Dutra - BLK 3</t>
  </si>
  <si>
    <t>DVDU04SB</t>
  </si>
  <si>
    <t>Diablo Dutra - BLK 4</t>
  </si>
  <si>
    <t>LFBT02SB</t>
  </si>
  <si>
    <t>LF Blacktail SB</t>
  </si>
  <si>
    <t>LFW302SB</t>
  </si>
  <si>
    <t>LF JW3 B2 SB (North)</t>
  </si>
  <si>
    <t>LF JW3 B2 SB (South)</t>
  </si>
  <si>
    <t xml:space="preserve">LF JW3 BLK 2 </t>
  </si>
  <si>
    <t>LFTO02SB</t>
  </si>
  <si>
    <t>LF Twin Oaks B2 SB (North)</t>
  </si>
  <si>
    <t>LF Twin Oaks B2 SB (South)</t>
  </si>
  <si>
    <t>MUMU01SB</t>
  </si>
  <si>
    <t>Muchmore B1 SB</t>
  </si>
  <si>
    <t>FETZER</t>
  </si>
  <si>
    <t>JON02SB</t>
  </si>
  <si>
    <t>North River B2 SB</t>
  </si>
  <si>
    <t>PRHZ99VV</t>
  </si>
  <si>
    <t>Prince 99 SB (Rows 1-21)</t>
  </si>
  <si>
    <t>PRHZ7ASB</t>
  </si>
  <si>
    <t>Prince BLK 7A</t>
  </si>
  <si>
    <t>20.6 (A and B)</t>
  </si>
  <si>
    <t>PRHZ7BSB</t>
  </si>
  <si>
    <t>Prince BLK 7B</t>
  </si>
  <si>
    <t>SM</t>
  </si>
  <si>
    <t xml:space="preserve"> SYMPHONY</t>
  </si>
  <si>
    <t>FFRY08SM</t>
  </si>
  <si>
    <t>Foley BLK 8</t>
  </si>
  <si>
    <t>SY</t>
  </si>
  <si>
    <t xml:space="preserve"> SYRAH</t>
  </si>
  <si>
    <t>CLMN01SY</t>
  </si>
  <si>
    <t>Clements Moren B1</t>
  </si>
  <si>
    <t xml:space="preserve">Clements Moren B1 - East </t>
  </si>
  <si>
    <t>Clements Moren B1 - South</t>
  </si>
  <si>
    <t>Clements Moren B1 - West</t>
  </si>
  <si>
    <t>LFEX02SY</t>
  </si>
  <si>
    <t>LF Exotics B2 SY</t>
  </si>
  <si>
    <t>TA</t>
  </si>
  <si>
    <t xml:space="preserve"> TANNAT</t>
  </si>
  <si>
    <t>FDJA06TA</t>
  </si>
  <si>
    <t>Ford - BLK 6</t>
  </si>
  <si>
    <t>23.8*</t>
  </si>
  <si>
    <t>TD</t>
  </si>
  <si>
    <t xml:space="preserve"> TEROLDEGO</t>
  </si>
  <si>
    <t>KBBR02TD</t>
  </si>
  <si>
    <t xml:space="preserve">Bohn Ridge - BLK 2 </t>
  </si>
  <si>
    <t>LF8001TD</t>
  </si>
  <si>
    <t>LF 80 BLK 1</t>
  </si>
  <si>
    <t>LFW202TD</t>
  </si>
  <si>
    <t>LF Jahant Woods 2</t>
  </si>
  <si>
    <t>LTW/GALLO</t>
  </si>
  <si>
    <t>24.2*</t>
  </si>
  <si>
    <t>LF Jahant Woods 2 - Long Rows</t>
  </si>
  <si>
    <t>LF Jahant Woods 2 - Points</t>
  </si>
  <si>
    <t>SLHM01TD</t>
  </si>
  <si>
    <t>Stanton B1 TD</t>
  </si>
  <si>
    <t>TE</t>
  </si>
  <si>
    <t xml:space="preserve"> TEMPRANILLO</t>
  </si>
  <si>
    <t>FDJA02TE</t>
  </si>
  <si>
    <t>Ford - BLK 2</t>
  </si>
  <si>
    <t>MFLO02TE</t>
  </si>
  <si>
    <t>Liberty Oaks B2 TE (North)</t>
  </si>
  <si>
    <t>22.0/23.0</t>
  </si>
  <si>
    <t>Liberty Oaks B2 TE (South)</t>
  </si>
  <si>
    <t>TO</t>
  </si>
  <si>
    <t xml:space="preserve"> TOURIGA</t>
  </si>
  <si>
    <t>FDJA01TO</t>
  </si>
  <si>
    <t>Ford - BLK 1</t>
  </si>
  <si>
    <t>VD</t>
  </si>
  <si>
    <t xml:space="preserve"> VERDELHO</t>
  </si>
  <si>
    <t>CLBC00VD</t>
  </si>
  <si>
    <t>Clements Bear Creek BLK 0</t>
  </si>
  <si>
    <t>VI</t>
  </si>
  <si>
    <t xml:space="preserve"> VIOGNIER</t>
  </si>
  <si>
    <t>DVDU06VI</t>
  </si>
  <si>
    <t>Diablo Dutra B6 VI</t>
  </si>
  <si>
    <t>18.1*</t>
  </si>
  <si>
    <t>FFRY14VI</t>
  </si>
  <si>
    <t>Foley BLK 14</t>
  </si>
  <si>
    <t>LASHI-VI</t>
  </si>
  <si>
    <t>Lashi Mark Shimozaki</t>
  </si>
  <si>
    <t>LFBE02VI</t>
  </si>
  <si>
    <t>LF Bender/ Genes B2 VI</t>
  </si>
  <si>
    <t>21.5/22.0</t>
  </si>
  <si>
    <t>19.2*</t>
  </si>
  <si>
    <t>LFEX03VI</t>
  </si>
  <si>
    <t>LF Exotics B3 VI (North)</t>
  </si>
  <si>
    <t>LFEX04VI</t>
  </si>
  <si>
    <t xml:space="preserve">LF Exotics B4 VI (South) </t>
  </si>
  <si>
    <t>SLHM02VI</t>
  </si>
  <si>
    <t>Stanton Lange Home B2 VI</t>
  </si>
  <si>
    <t>ZN/PR</t>
  </si>
  <si>
    <t xml:space="preserve"> ZINFANDEL / PRIMOTIVO</t>
  </si>
  <si>
    <t>STARR-H</t>
  </si>
  <si>
    <t>5 Starr - Harney</t>
  </si>
  <si>
    <t>STARR-M</t>
  </si>
  <si>
    <t>5 Starr - Mann</t>
  </si>
  <si>
    <t>98OK10ZN</t>
  </si>
  <si>
    <t>98 Oaks B10 ZN</t>
  </si>
  <si>
    <t>BAVC01ZN</t>
  </si>
  <si>
    <t>Baum Victor BLK 1</t>
  </si>
  <si>
    <t>BAVC02PR</t>
  </si>
  <si>
    <t>Baum Victor BLK 2</t>
  </si>
  <si>
    <t>KBBR01ZN</t>
  </si>
  <si>
    <t>Bohn Ridge BLK 1</t>
  </si>
  <si>
    <t>Bohn Ridge B1 (North)</t>
  </si>
  <si>
    <t>21.9*</t>
  </si>
  <si>
    <t>Bohn Ridge B1 (South)</t>
  </si>
  <si>
    <t>LEWIS</t>
  </si>
  <si>
    <t>Charlie Lewis - Alpine (East) Trellis</t>
  </si>
  <si>
    <t>24.8*</t>
  </si>
  <si>
    <t>Charlie Lewis - Alpine (West) Head trained 100YR</t>
  </si>
  <si>
    <t>Charlie Lewis - 4 acre (Home Ranch)</t>
  </si>
  <si>
    <t>CL3A05ZN</t>
  </si>
  <si>
    <t>Clements AAA BLK 5</t>
  </si>
  <si>
    <t>Clements AAA BLK 5 - N</t>
  </si>
  <si>
    <t>Clements AAA BLK 5 - S</t>
  </si>
  <si>
    <t>CLPC06PR</t>
  </si>
  <si>
    <t>Clements Paddy Creek BLK 6</t>
  </si>
  <si>
    <t>24.0/25.0</t>
  </si>
  <si>
    <t>LTW/BEAR CREEK</t>
  </si>
  <si>
    <t>Clements Paddy Creek BLK 6 (North)</t>
  </si>
  <si>
    <t>Clements Paddy Creek BLK 6 (South)</t>
  </si>
  <si>
    <t>DBAI03ZN</t>
  </si>
  <si>
    <t>Donald, Brian Airport BLK 3</t>
  </si>
  <si>
    <t>Donald, Brian Airport BLK 3 - N</t>
  </si>
  <si>
    <t>Donald, Brian Airport BLK 3 - S</t>
  </si>
  <si>
    <t>DFDA04ZN</t>
  </si>
  <si>
    <t>Donald, Fred Davis BLK 4</t>
  </si>
  <si>
    <t>22.4*</t>
  </si>
  <si>
    <t>LASHI-ZN</t>
  </si>
  <si>
    <r>
      <rPr>
        <sz val="10"/>
        <color rgb="FF000000"/>
        <rFont val="Arial Narrow"/>
        <family val="2"/>
      </rPr>
      <t>24.2</t>
    </r>
    <r>
      <rPr>
        <i/>
        <u/>
        <sz val="10"/>
        <color rgb="FF000000"/>
        <rFont val="Arial Narrow"/>
        <family val="2"/>
      </rPr>
      <t>, 23.0</t>
    </r>
  </si>
  <si>
    <t>LFW203PR</t>
  </si>
  <si>
    <t>LF JW2 B3 PR (Long Rows - South)</t>
  </si>
  <si>
    <t>17.5-19.5; 21.5-22.5</t>
  </si>
  <si>
    <t>LF JW2 B3 PR (Short Rows - North Points)</t>
  </si>
  <si>
    <t>LF JW2 BLK 3 (NorthEast Corner)</t>
  </si>
  <si>
    <t>LFRT02PR</t>
  </si>
  <si>
    <t>LF RedTail BLK 2</t>
  </si>
  <si>
    <t>LF RedTail BLK 2 - E</t>
  </si>
  <si>
    <t>LF RedTail BLK 2 - N</t>
  </si>
  <si>
    <t>LF RedTail BLK 2 - S</t>
  </si>
  <si>
    <t>LF RedTail BLK 2 - W</t>
  </si>
  <si>
    <t>SLHM06ZN</t>
  </si>
  <si>
    <t>Stanton - BLK 6 ZN</t>
  </si>
  <si>
    <t>SLHM08PR</t>
  </si>
  <si>
    <t>Stanton - BLK 8 PR</t>
  </si>
  <si>
    <t>Lab Use Only</t>
  </si>
  <si>
    <t xml:space="preserve">2023 LTW Lab Field Sample Analysis </t>
  </si>
  <si>
    <t>Sample ID</t>
  </si>
  <si>
    <t>Sample Date</t>
  </si>
  <si>
    <t>Field</t>
  </si>
  <si>
    <t>Variety</t>
  </si>
  <si>
    <t>DMA Brix</t>
  </si>
  <si>
    <t>Refract Brix</t>
  </si>
  <si>
    <t>TA (g/L)</t>
  </si>
  <si>
    <t>pH</t>
  </si>
  <si>
    <t>Malic (mg/L)</t>
  </si>
  <si>
    <t>Comments</t>
  </si>
  <si>
    <t>F-1</t>
  </si>
  <si>
    <t>NORTH RIVER S</t>
  </si>
  <si>
    <t>F-2</t>
  </si>
  <si>
    <t>NORTH RIVER N</t>
  </si>
  <si>
    <t>LT-80 BLK-4 ROWS-24-31</t>
  </si>
  <si>
    <t>CH-R</t>
  </si>
  <si>
    <t>LT-80 BLK-4 ROWS-33-45</t>
  </si>
  <si>
    <t>F-3</t>
  </si>
  <si>
    <t>ROOTSTOCK 2 B3 NORTHEAST</t>
  </si>
  <si>
    <t xml:space="preserve">CH </t>
  </si>
  <si>
    <t>DON  AIRPORT</t>
  </si>
  <si>
    <t>S-G</t>
  </si>
  <si>
    <t>LT-BLACK TAIL</t>
  </si>
  <si>
    <t>DONALD AIR</t>
  </si>
  <si>
    <t>ROOT STOOCK 2 S</t>
  </si>
  <si>
    <t>ROOTSTOCK 2 NW</t>
  </si>
  <si>
    <t>LT BLACK TAIL</t>
  </si>
  <si>
    <t>BAUM PELTIER</t>
  </si>
  <si>
    <t>JAHANT WOODS N</t>
  </si>
  <si>
    <t>JAHANT WOODS S</t>
  </si>
  <si>
    <t>ROWS-175-END</t>
  </si>
  <si>
    <t>ROWS-1-174</t>
  </si>
  <si>
    <t>ROOT STOCK 2</t>
  </si>
  <si>
    <t>2 NW</t>
  </si>
  <si>
    <t>F-4</t>
  </si>
  <si>
    <t>2 SOUTH</t>
  </si>
  <si>
    <t>F-5</t>
  </si>
  <si>
    <t>3 NORTH</t>
  </si>
  <si>
    <t>LT DAVIS</t>
  </si>
  <si>
    <t>LT EXOTICS B4</t>
  </si>
  <si>
    <t>BEAR CREEK</t>
  </si>
  <si>
    <t xml:space="preserve"> J WOODS 3</t>
  </si>
  <si>
    <t>NORTH</t>
  </si>
  <si>
    <t>J WOODS 3</t>
  </si>
  <si>
    <t>SOUTH</t>
  </si>
  <si>
    <t>PRINCE B3</t>
  </si>
  <si>
    <t>B3</t>
  </si>
  <si>
    <t>WHEEL HOUSE A</t>
  </si>
  <si>
    <t>GW</t>
  </si>
  <si>
    <t>ROW 1-50</t>
  </si>
  <si>
    <t>WHEEL HOUSE B</t>
  </si>
  <si>
    <t>ROW 51-75;113-127</t>
  </si>
  <si>
    <t>F-6</t>
  </si>
  <si>
    <t>WHEEL HOUSE C</t>
  </si>
  <si>
    <t>ROW 75-112</t>
  </si>
  <si>
    <t>Recheck</t>
  </si>
  <si>
    <t>LT RIVER</t>
  </si>
  <si>
    <t>LT EXOTICS B3</t>
  </si>
  <si>
    <t>LT 80</t>
  </si>
  <si>
    <t>B-4 REMAINING</t>
  </si>
  <si>
    <t>ROW 1-68</t>
  </si>
  <si>
    <t>M J</t>
  </si>
  <si>
    <t>TWIN OAKS</t>
  </si>
  <si>
    <t>COOK</t>
  </si>
  <si>
    <t>EXOTICS</t>
  </si>
  <si>
    <t>DAVISB5</t>
  </si>
  <si>
    <t xml:space="preserve">dUTRA </t>
  </si>
  <si>
    <t>DUTRA B8</t>
  </si>
  <si>
    <t>STANTON HOME B2</t>
  </si>
  <si>
    <t>MARIA</t>
  </si>
  <si>
    <t xml:space="preserve"> CLON-667</t>
  </si>
  <si>
    <t>CLON-115</t>
  </si>
  <si>
    <t>WEEL HOUSE</t>
  </si>
  <si>
    <t>WEELHOUSE</t>
  </si>
  <si>
    <t>ROW51-75-113-127</t>
  </si>
  <si>
    <t>ROW-75-112</t>
  </si>
  <si>
    <t>ROW1-50</t>
  </si>
  <si>
    <t>BAUM VICTOR</t>
  </si>
  <si>
    <t>R 1-167</t>
  </si>
  <si>
    <t>LT TWIN OAKS</t>
  </si>
  <si>
    <t>NORTH HALF R 70-110</t>
  </si>
  <si>
    <t>F3</t>
  </si>
  <si>
    <t>98 OAK B6</t>
  </si>
  <si>
    <t>F4</t>
  </si>
  <si>
    <t>98 OAK B7</t>
  </si>
  <si>
    <t>Muchmore</t>
  </si>
  <si>
    <t>BLK 3</t>
  </si>
  <si>
    <t>MJ-NORT</t>
  </si>
  <si>
    <t>MJ-MID</t>
  </si>
  <si>
    <t>WEEL-HOUSE</t>
  </si>
  <si>
    <t>NORTH RIVER</t>
  </si>
  <si>
    <t>R 35 36</t>
  </si>
  <si>
    <t>R 1-35</t>
  </si>
  <si>
    <t>STANTON LANGE</t>
  </si>
  <si>
    <r>
      <rPr>
        <strike/>
        <sz val="12"/>
        <color theme="1"/>
        <rFont val="Arial Narrow"/>
        <family val="2"/>
      </rPr>
      <t>CH</t>
    </r>
    <r>
      <rPr>
        <sz val="12"/>
        <color theme="1"/>
        <rFont val="Arial Narrow"/>
        <family val="2"/>
      </rPr>
      <t xml:space="preserve"> VI</t>
    </r>
  </si>
  <si>
    <r>
      <rPr>
        <strike/>
        <sz val="12"/>
        <color theme="1"/>
        <rFont val="Arial Narrow"/>
        <family val="2"/>
      </rPr>
      <t>BLK 3</t>
    </r>
    <r>
      <rPr>
        <sz val="12"/>
        <color theme="1"/>
        <rFont val="Arial Narrow"/>
        <family val="2"/>
      </rPr>
      <t xml:space="preserve"> - </t>
    </r>
    <r>
      <rPr>
        <sz val="12"/>
        <color rgb="FFFF0000"/>
        <rFont val="Arial Narrow"/>
        <family val="2"/>
      </rPr>
      <t>Correction: Block 2 VI - mislabelled by sampler</t>
    </r>
  </si>
  <si>
    <t>ROOT STOCKS</t>
  </si>
  <si>
    <t>LT EXOTICS</t>
  </si>
  <si>
    <t>F1</t>
  </si>
  <si>
    <t>Jahant Woods 2</t>
  </si>
  <si>
    <t>PR</t>
  </si>
  <si>
    <t>Short ROws</t>
  </si>
  <si>
    <t>F2</t>
  </si>
  <si>
    <t>Long Rows</t>
  </si>
  <si>
    <t xml:space="preserve">Wheel House </t>
  </si>
  <si>
    <t>LT Redtail</t>
  </si>
  <si>
    <t>F5</t>
  </si>
  <si>
    <t>Smith</t>
  </si>
  <si>
    <t>LF RIVER</t>
  </si>
  <si>
    <t>BLK 7</t>
  </si>
  <si>
    <t>R1 1-63 118-132</t>
  </si>
  <si>
    <t>GEW</t>
  </si>
  <si>
    <t>ROW 76-112</t>
  </si>
  <si>
    <t>ROW 51-75, 113-127</t>
  </si>
  <si>
    <t>CLON-23</t>
  </si>
  <si>
    <t>LA PRIMA</t>
  </si>
  <si>
    <t>NORTH 1-63</t>
  </si>
  <si>
    <t>SOUTH 64-130</t>
  </si>
  <si>
    <t>99 OAKS</t>
  </si>
  <si>
    <t>99 OAKS B7</t>
  </si>
  <si>
    <t>99 OAKS B6</t>
  </si>
  <si>
    <t>LT EXOTIC</t>
  </si>
  <si>
    <t>FORD</t>
  </si>
  <si>
    <t>NORTHEAST</t>
  </si>
  <si>
    <t>2020 PLANT</t>
  </si>
  <si>
    <t>99 OAKS B10</t>
  </si>
  <si>
    <t>ZN</t>
  </si>
  <si>
    <t>DUTRA</t>
  </si>
  <si>
    <t>99OAKS B8</t>
  </si>
  <si>
    <t>STANTON LANGE HM</t>
  </si>
  <si>
    <t>BLK2</t>
  </si>
  <si>
    <t>BLK3</t>
  </si>
  <si>
    <t>JW2</t>
  </si>
  <si>
    <t>NE CORNER</t>
  </si>
  <si>
    <t>LONG ROWS</t>
  </si>
  <si>
    <t>DONALD DAVIS</t>
  </si>
  <si>
    <t>remaing rows blk3. 225-228. 237-242.251-259. 274-282</t>
  </si>
  <si>
    <t>PRINCE B5</t>
  </si>
  <si>
    <t>PRINCE B15</t>
  </si>
  <si>
    <t>MERRILL-JOHNSON B3</t>
  </si>
  <si>
    <t>L-80</t>
  </si>
  <si>
    <t>F-7</t>
  </si>
  <si>
    <t>98 OAKS</t>
  </si>
  <si>
    <t>BLK 11</t>
  </si>
  <si>
    <t>BLK8</t>
  </si>
  <si>
    <t>BLK 10</t>
  </si>
  <si>
    <t>ROSE2</t>
  </si>
  <si>
    <t>BLK 2</t>
  </si>
  <si>
    <t xml:space="preserve">LANE </t>
  </si>
  <si>
    <t>SMITH</t>
  </si>
  <si>
    <t>MOHR</t>
  </si>
  <si>
    <t xml:space="preserve">LASHI </t>
  </si>
  <si>
    <t>CHARLIE LEWIS</t>
  </si>
  <si>
    <t>EAST -TRELLIS-</t>
  </si>
  <si>
    <t xml:space="preserve"> </t>
  </si>
  <si>
    <t>LASHI</t>
  </si>
  <si>
    <t>DON DAVIS</t>
  </si>
  <si>
    <t>BLK 4</t>
  </si>
  <si>
    <t>ALPINE WEST</t>
  </si>
  <si>
    <t>LT RIVER BI</t>
  </si>
  <si>
    <t>MJ</t>
  </si>
  <si>
    <t xml:space="preserve">MC </t>
  </si>
  <si>
    <t>RED TAIL</t>
  </si>
  <si>
    <t>EAST</t>
  </si>
  <si>
    <t>AAA</t>
  </si>
  <si>
    <t>F6</t>
  </si>
  <si>
    <t>NORT SIDE</t>
  </si>
  <si>
    <t>30 OAKS</t>
  </si>
  <si>
    <t>NA</t>
  </si>
  <si>
    <t xml:space="preserve">STANTON </t>
  </si>
  <si>
    <t>HILDER</t>
  </si>
  <si>
    <t>BLCK 5</t>
  </si>
  <si>
    <t>BLCK 9</t>
  </si>
  <si>
    <t>PADDY CREEK</t>
  </si>
  <si>
    <t>NORTH SIDE</t>
  </si>
  <si>
    <t>SOUTH SIDE</t>
  </si>
  <si>
    <t>LT RAILROAD</t>
  </si>
  <si>
    <t xml:space="preserve">LA PRIMA </t>
  </si>
  <si>
    <t>STANTON</t>
  </si>
  <si>
    <t>S STAR HARNEY</t>
  </si>
  <si>
    <t>MOREN</t>
  </si>
  <si>
    <t>BLCK5</t>
  </si>
  <si>
    <t>BLCK3</t>
  </si>
  <si>
    <t xml:space="preserve"> CHARLIE LEWIS 100Y ZIN</t>
  </si>
  <si>
    <t>north</t>
  </si>
  <si>
    <t>`RED TAIL</t>
  </si>
  <si>
    <t>AC</t>
  </si>
  <si>
    <t>99 OAKS  B-9</t>
  </si>
  <si>
    <t>CANOPY  WET</t>
  </si>
  <si>
    <t>99 OAKS B-4</t>
  </si>
  <si>
    <t>99 OAKS B-5</t>
  </si>
  <si>
    <t>LANE</t>
  </si>
  <si>
    <t>LT 100</t>
  </si>
  <si>
    <t>BKL 1</t>
  </si>
  <si>
    <t>BLK 1</t>
  </si>
  <si>
    <t>Next Day DMA brix=24.4</t>
  </si>
  <si>
    <t>B9</t>
  </si>
  <si>
    <t>ROSE</t>
  </si>
  <si>
    <t>PETERS</t>
  </si>
  <si>
    <t>LT TWINS  OAKS</t>
  </si>
  <si>
    <t>BLK 1 NORTH</t>
  </si>
  <si>
    <t>B5</t>
  </si>
  <si>
    <t>B4</t>
  </si>
  <si>
    <t>North/ Next Day DMA=25.4</t>
  </si>
  <si>
    <t>SUSSY</t>
  </si>
  <si>
    <t>RL</t>
  </si>
  <si>
    <t>NORT</t>
  </si>
  <si>
    <t>BLK2 SOUTH/ ND BRIX=24.5</t>
  </si>
  <si>
    <t>LT100</t>
  </si>
  <si>
    <t>BLK2 NORTH/ ND BRIX=24.5</t>
  </si>
  <si>
    <t>LASHI DUSTIN</t>
  </si>
  <si>
    <t>NEXT DAY DMA brix=24.7.</t>
  </si>
  <si>
    <t xml:space="preserve">LT 38 </t>
  </si>
  <si>
    <t>LT 38</t>
  </si>
  <si>
    <t>B1</t>
  </si>
  <si>
    <t>B2</t>
  </si>
  <si>
    <t xml:space="preserve">BAUM VICTOR </t>
  </si>
  <si>
    <t>BLK2 /WET ROT</t>
  </si>
  <si>
    <t>BLK1/WET ROT</t>
  </si>
  <si>
    <t>STATON LANGE</t>
  </si>
  <si>
    <t>PI</t>
  </si>
  <si>
    <t>BLOCK 8</t>
  </si>
  <si>
    <t>Don Airport</t>
  </si>
  <si>
    <t>3 OAKS</t>
  </si>
  <si>
    <t xml:space="preserve">TWINS OAKS </t>
  </si>
  <si>
    <t>f-2</t>
  </si>
  <si>
    <t>Ford Jahant</t>
  </si>
  <si>
    <t>BLK 6</t>
  </si>
  <si>
    <t>f-3</t>
  </si>
  <si>
    <t>staton lange</t>
  </si>
  <si>
    <t>zn</t>
  </si>
  <si>
    <t>BLK 6/ NEXT DAY DMA brix=23.0</t>
  </si>
  <si>
    <t>BOHN RIDGE</t>
  </si>
  <si>
    <t>pincked day 10/10/23 DMA brix 10/12=24.7</t>
  </si>
  <si>
    <t>ROSE 2</t>
  </si>
  <si>
    <t>DON DAVID</t>
  </si>
  <si>
    <t>5 star mann</t>
  </si>
  <si>
    <t>next day DMA= 24.8</t>
  </si>
  <si>
    <t>99OAKS</t>
  </si>
  <si>
    <t>BKL 4</t>
  </si>
  <si>
    <t>BLK2 NORTH /NEXT DAY DMA=25.0</t>
  </si>
  <si>
    <t>LF RAILROADS</t>
  </si>
  <si>
    <t xml:space="preserve">98 OAKS </t>
  </si>
  <si>
    <t>ROOTS STOOKS</t>
  </si>
  <si>
    <t>HENRETTY</t>
  </si>
  <si>
    <t>SEIBLY</t>
  </si>
  <si>
    <t xml:space="preserve">LT RIVER </t>
  </si>
  <si>
    <t>DON AIRPORT</t>
  </si>
  <si>
    <t>BLK3/ NEXT DAY DMA=20.9</t>
  </si>
  <si>
    <t xml:space="preserve">3 OAKS </t>
  </si>
  <si>
    <t>3OAKS</t>
  </si>
  <si>
    <t>REMAINING OF NORTH</t>
  </si>
  <si>
    <t>REMAINING ROWS</t>
  </si>
  <si>
    <t>BLK 3/NEXT DAY DMA BRIX=22.5</t>
  </si>
  <si>
    <t>Healthy vines only - ask MZ for map</t>
  </si>
  <si>
    <t>WEST BLOCK</t>
  </si>
  <si>
    <t>BLK4</t>
  </si>
  <si>
    <t>WET BLOCK</t>
  </si>
  <si>
    <t>JW1PV</t>
  </si>
  <si>
    <t>Non-treated</t>
  </si>
  <si>
    <t>LTJW1PV</t>
  </si>
  <si>
    <t>Direct treatment</t>
  </si>
  <si>
    <t>Spray treatment</t>
  </si>
  <si>
    <t>WEST BLK1 ROWS 55-58</t>
  </si>
  <si>
    <t>WEST BLK 1 ROWS 63-66</t>
  </si>
  <si>
    <t>LA PRIMA (overnight soak)</t>
  </si>
  <si>
    <t>WEST BLK 1 ROWS 55-58</t>
  </si>
  <si>
    <t>EAST BLK 1 ROWS 55-58</t>
  </si>
  <si>
    <t>EAST BLK 1 ROWS 63-66</t>
  </si>
  <si>
    <t>DON AIR</t>
  </si>
  <si>
    <t>KEY:</t>
  </si>
  <si>
    <t>Bucket sample</t>
  </si>
  <si>
    <t>Priority</t>
  </si>
  <si>
    <t>BRIX SAMPLING SCHEDULE</t>
  </si>
  <si>
    <t>Swifty</t>
  </si>
  <si>
    <t>Region</t>
  </si>
  <si>
    <r>
      <t xml:space="preserve">9/16/2023 </t>
    </r>
    <r>
      <rPr>
        <b/>
        <sz val="11"/>
        <color rgb="FFFFFF00"/>
        <rFont val="Arial Narrow"/>
        <family val="2"/>
      </rPr>
      <t>JEFF ONLY</t>
    </r>
  </si>
  <si>
    <r>
      <t xml:space="preserve">9/23/2023 </t>
    </r>
    <r>
      <rPr>
        <b/>
        <sz val="11"/>
        <color rgb="FFFFFF00"/>
        <rFont val="Arial Narrow"/>
        <family val="2"/>
      </rPr>
      <t>JEFF AND MARIA</t>
    </r>
  </si>
  <si>
    <r>
      <rPr>
        <b/>
        <sz val="11"/>
        <color rgb="FFFFFFFF"/>
        <rFont val="Arial Narrow"/>
        <family val="2"/>
      </rPr>
      <t xml:space="preserve">9/30/2023 </t>
    </r>
    <r>
      <rPr>
        <b/>
        <sz val="11"/>
        <color rgb="FFFFFF00"/>
        <rFont val="Arial Narrow"/>
        <family val="2"/>
      </rPr>
      <t>JEFF AND MARIA</t>
    </r>
  </si>
  <si>
    <r>
      <t xml:space="preserve">10/7/2023 </t>
    </r>
    <r>
      <rPr>
        <b/>
        <sz val="11"/>
        <color rgb="FFFFFF00"/>
        <rFont val="Arial Narrow"/>
        <family val="2"/>
      </rPr>
      <t>JEFF AND MARIA</t>
    </r>
  </si>
  <si>
    <t>Lodi</t>
  </si>
  <si>
    <t>North River CH N</t>
  </si>
  <si>
    <t>Muchmore PG</t>
  </si>
  <si>
    <t>LT Davis PG</t>
  </si>
  <si>
    <t>North River CH (Copper cane)</t>
  </si>
  <si>
    <t>Stanton PN</t>
  </si>
  <si>
    <t>Donald Air SA</t>
  </si>
  <si>
    <t>Don Davis ND</t>
  </si>
  <si>
    <t>Donald Airport Sangio</t>
  </si>
  <si>
    <t>Seibly Ray PN</t>
  </si>
  <si>
    <t>LT 80 CH clone 70</t>
  </si>
  <si>
    <t>LT Blacktail CH</t>
  </si>
  <si>
    <t>JW3 SB N</t>
  </si>
  <si>
    <t>LT Bender VI</t>
  </si>
  <si>
    <t>LT River GB</t>
  </si>
  <si>
    <t>LT Exotics VI N</t>
  </si>
  <si>
    <t>LT River AG</t>
  </si>
  <si>
    <t xml:space="preserve">Stanton VI </t>
  </si>
  <si>
    <t>La Prima CH</t>
  </si>
  <si>
    <t>LT Exotics SA N</t>
  </si>
  <si>
    <t>Baum Peltier 2020</t>
  </si>
  <si>
    <t xml:space="preserve">LT Davis B3 CH </t>
  </si>
  <si>
    <t>North River GV/GG</t>
  </si>
  <si>
    <t>JW2 PR short/long rows</t>
  </si>
  <si>
    <t>LT River PB</t>
  </si>
  <si>
    <t>LT 80 clone 70 CH</t>
  </si>
  <si>
    <t>Ford ME B4 NorthEast</t>
  </si>
  <si>
    <t>North River GG</t>
  </si>
  <si>
    <t>Kidd / Mendonca CS</t>
  </si>
  <si>
    <t xml:space="preserve">Exotics SY </t>
  </si>
  <si>
    <t>LaPrima CH</t>
  </si>
  <si>
    <t>Baum peltier CH</t>
  </si>
  <si>
    <t>Hilder PS</t>
  </si>
  <si>
    <t xml:space="preserve">Ford ME B4 NE </t>
  </si>
  <si>
    <t>Railroad CF</t>
  </si>
  <si>
    <t>Donald Air CS 1,4</t>
  </si>
  <si>
    <t xml:space="preserve">LT Redtail PR E - AARON </t>
  </si>
  <si>
    <t>Kidd CS</t>
  </si>
  <si>
    <t>Hilder CS</t>
  </si>
  <si>
    <t xml:space="preserve">Ford TA </t>
  </si>
  <si>
    <t>LT 80 TD</t>
  </si>
  <si>
    <t>LT River AG (and row count)</t>
  </si>
  <si>
    <t>Twin Oaks CS N</t>
  </si>
  <si>
    <t>Don Davis B6 CS</t>
  </si>
  <si>
    <t>Stanton PR</t>
  </si>
  <si>
    <t>Donald Air CS 4</t>
  </si>
  <si>
    <t>Ford TA-afternoon!</t>
  </si>
  <si>
    <t>Donald Davis CS 1 (30ac)</t>
  </si>
  <si>
    <t>LT Gill Creek CS</t>
  </si>
  <si>
    <t>LT Railroad CS</t>
  </si>
  <si>
    <t>Seibly Jahant CS South</t>
  </si>
  <si>
    <t xml:space="preserve">Donald Air ZN </t>
  </si>
  <si>
    <t>LT River PV</t>
  </si>
  <si>
    <t>JW1 PV</t>
  </si>
  <si>
    <t>Don Air N CS - healthy</t>
  </si>
  <si>
    <t>LT River B2 CS</t>
  </si>
  <si>
    <t>LaPrima MA E</t>
  </si>
  <si>
    <t>JW1 PV North quick test</t>
  </si>
  <si>
    <t>Ford MA N/S afternoon</t>
  </si>
  <si>
    <t>JW1 PV (maria)</t>
  </si>
  <si>
    <t>LaPrima MA W R63-66</t>
  </si>
  <si>
    <t>LaPrima MA E R63-66</t>
  </si>
  <si>
    <t>Don Air R66</t>
  </si>
  <si>
    <t>North River CH S</t>
  </si>
  <si>
    <t>LF Twin Oaks SB</t>
  </si>
  <si>
    <t>LT Davis CH</t>
  </si>
  <si>
    <t>North River CH (Mumm)</t>
  </si>
  <si>
    <t>Stanton CH</t>
  </si>
  <si>
    <t>LT Exotics SA N/S</t>
  </si>
  <si>
    <t>Muchmore PG/SB</t>
  </si>
  <si>
    <t xml:space="preserve">LT Twin Oaks SB </t>
  </si>
  <si>
    <t>Don Air Sangio</t>
  </si>
  <si>
    <t>Baum Peltier 2021 (R 175-end)</t>
  </si>
  <si>
    <t>JW3 SB S</t>
  </si>
  <si>
    <t xml:space="preserve">Don Davis CH </t>
  </si>
  <si>
    <t>Exotics VI South</t>
  </si>
  <si>
    <t xml:space="preserve">LT Blacktail CH </t>
  </si>
  <si>
    <t>Don Davis B5 CH</t>
  </si>
  <si>
    <t>LT Exotics VI S</t>
  </si>
  <si>
    <t>LT Blacktail CH (field test)</t>
  </si>
  <si>
    <t>Donald Davis B5 CH (mz)</t>
  </si>
  <si>
    <t>La Prima PS N/S</t>
  </si>
  <si>
    <t>LT Exotics SA S</t>
  </si>
  <si>
    <t>Davis CS 1 and 6</t>
  </si>
  <si>
    <t>LT Redtail ND</t>
  </si>
  <si>
    <t>LaPrima ME Rows 1-63</t>
  </si>
  <si>
    <t>Baum Peltier CH remaining</t>
  </si>
  <si>
    <t>LT Davis B3 CH</t>
  </si>
  <si>
    <t>Seibly Jahant CS N/S</t>
  </si>
  <si>
    <t>LT Redtail PR East and West</t>
  </si>
  <si>
    <t>LT 80 CH</t>
  </si>
  <si>
    <t>LT 80 PS</t>
  </si>
  <si>
    <t>Stanton ZN and PR</t>
  </si>
  <si>
    <t>LT 100 CS</t>
  </si>
  <si>
    <t xml:space="preserve">LT 38 CS sprawl </t>
  </si>
  <si>
    <t>Ford MA N/S</t>
  </si>
  <si>
    <t>Mendonca CS</t>
  </si>
  <si>
    <t xml:space="preserve">Hilder PS </t>
  </si>
  <si>
    <t>LaPrima CS South half</t>
  </si>
  <si>
    <t>LT 80 PV</t>
  </si>
  <si>
    <t>Seibly N/S</t>
  </si>
  <si>
    <t>Donald Davis B1</t>
  </si>
  <si>
    <t>LT 100 PS North</t>
  </si>
  <si>
    <t>Stanton ZN</t>
  </si>
  <si>
    <t>Donald Air CS 1</t>
  </si>
  <si>
    <t>LT 80 PV-Aaron</t>
  </si>
  <si>
    <t xml:space="preserve">Donald Davis CS 6 </t>
  </si>
  <si>
    <t>LaPrima MA E/W</t>
  </si>
  <si>
    <t>Seibly Jahant CS North</t>
  </si>
  <si>
    <t>LT River B4 CS</t>
  </si>
  <si>
    <t>LT 38 remaining</t>
  </si>
  <si>
    <t>Donald Air ZN</t>
  </si>
  <si>
    <t>LT Railroad</t>
  </si>
  <si>
    <t xml:space="preserve">Donald Air new CS </t>
  </si>
  <si>
    <t>LaPrima MA W</t>
  </si>
  <si>
    <t>JW1 PV East quick test</t>
  </si>
  <si>
    <t>LaPrima MA W R55-58</t>
  </si>
  <si>
    <t>LaPrima MA E R55-58</t>
  </si>
  <si>
    <t>Don Air R67</t>
  </si>
  <si>
    <t xml:space="preserve">LT 80 CH - Rosa </t>
  </si>
  <si>
    <t>LT JW3 SB</t>
  </si>
  <si>
    <t>North River SB</t>
  </si>
  <si>
    <t>Stanton VI</t>
  </si>
  <si>
    <t>JW2 PR (long/short)</t>
  </si>
  <si>
    <t>LT Exotics VI 3</t>
  </si>
  <si>
    <t xml:space="preserve">Stanton PN </t>
  </si>
  <si>
    <t>Muchmore SB (all)</t>
  </si>
  <si>
    <r>
      <rPr>
        <strike/>
        <sz val="12"/>
        <color rgb="FF000000"/>
        <rFont val="Arial Narrow"/>
        <family val="2"/>
      </rPr>
      <t xml:space="preserve">Lashi CH - </t>
    </r>
    <r>
      <rPr>
        <sz val="12"/>
        <color rgb="FF000000"/>
        <rFont val="Arial Narrow"/>
        <family val="2"/>
      </rPr>
      <t>Owner will test</t>
    </r>
  </si>
  <si>
    <t>Baum Peltier 2021</t>
  </si>
  <si>
    <t>Twin Oaks SB North</t>
  </si>
  <si>
    <t>LT Exotics VIO North (mz)</t>
  </si>
  <si>
    <t>LT Exotics SY baseline</t>
  </si>
  <si>
    <t>Donald Air CS 1 and 4</t>
  </si>
  <si>
    <t>LT Blacktail remaining</t>
  </si>
  <si>
    <t>LaPrima ME Rows 64-130</t>
  </si>
  <si>
    <t>Don Davis ZN</t>
  </si>
  <si>
    <t>Don Davis CS 1 and 6</t>
  </si>
  <si>
    <t>LT Redtail AN</t>
  </si>
  <si>
    <t>LaPrima PS N/S</t>
  </si>
  <si>
    <t>Ford TO</t>
  </si>
  <si>
    <t xml:space="preserve">Don Air ZN </t>
  </si>
  <si>
    <t>Ford TA</t>
  </si>
  <si>
    <t>LT Twin Oaks S (1-64)</t>
  </si>
  <si>
    <t>Donald Davis B6</t>
  </si>
  <si>
    <t>LT 100 PS South</t>
  </si>
  <si>
    <t>Donald Air Zin</t>
  </si>
  <si>
    <t>Stan Lange B6 ZIN-afternoon!</t>
  </si>
  <si>
    <t>Hilder CS - afternoon</t>
  </si>
  <si>
    <t>Ring CS?</t>
  </si>
  <si>
    <t>LT River CS afternoon</t>
  </si>
  <si>
    <t>LT Blacktail SB</t>
  </si>
  <si>
    <t>Muchmore SB</t>
  </si>
  <si>
    <t>Twin Oaks SB N/S</t>
  </si>
  <si>
    <t>LT Exotics VI 4</t>
  </si>
  <si>
    <t>Baum Peltier CH</t>
  </si>
  <si>
    <r>
      <rPr>
        <strike/>
        <sz val="12"/>
        <color rgb="FF000000"/>
        <rFont val="Arial Narrow"/>
        <family val="2"/>
      </rPr>
      <t>Lashi VI-</t>
    </r>
    <r>
      <rPr>
        <sz val="12"/>
        <color rgb="FF000000"/>
        <rFont val="Arial Narrow"/>
        <family val="2"/>
      </rPr>
      <t>Owner will test</t>
    </r>
  </si>
  <si>
    <t>LT 100 PS</t>
  </si>
  <si>
    <t>LT 80 Clone 70</t>
  </si>
  <si>
    <t>Twin Oaks SB South</t>
  </si>
  <si>
    <t xml:space="preserve">LT 100 PS N/MID/S </t>
  </si>
  <si>
    <t>JW2 TD baseline</t>
  </si>
  <si>
    <t>Twin Oaks SB (north) thx</t>
  </si>
  <si>
    <t>Donald Davis ND</t>
  </si>
  <si>
    <t>Muchmore SB remaining</t>
  </si>
  <si>
    <t>Don Davis ND retest</t>
  </si>
  <si>
    <t>Donald Davis Nero d'Avola</t>
  </si>
  <si>
    <t>LT 100 PS N/S</t>
  </si>
  <si>
    <t>LaPrima ME South</t>
  </si>
  <si>
    <t>LT Redtail AN (quick test)</t>
  </si>
  <si>
    <t>Lt 100 CS</t>
  </si>
  <si>
    <t>La Prima PS North (bucket)</t>
  </si>
  <si>
    <t>JW1 B4 CS</t>
  </si>
  <si>
    <t>LT Twin Oaks N (64-end)</t>
  </si>
  <si>
    <t xml:space="preserve">LT 38 North </t>
  </si>
  <si>
    <t>LT 38 N</t>
  </si>
  <si>
    <t>Ford MA S</t>
  </si>
  <si>
    <t>Lt 100 PS S - afternoon</t>
  </si>
  <si>
    <t>Ford TO?</t>
  </si>
  <si>
    <t>Donald Air (new CS)</t>
  </si>
  <si>
    <t>LaPrima CS South</t>
  </si>
  <si>
    <t xml:space="preserve">LT 80 CH </t>
  </si>
  <si>
    <t>LT 80 Rosa 2020 (Row 24-31)</t>
  </si>
  <si>
    <t>JW3 SB North Half</t>
  </si>
  <si>
    <t>Baum Peltier CH 2020</t>
  </si>
  <si>
    <t>JW2 PR short rows</t>
  </si>
  <si>
    <t>Stanton CH and VI</t>
  </si>
  <si>
    <t xml:space="preserve">LT JW2 PR long rows </t>
  </si>
  <si>
    <t>Donald Davis ZN</t>
  </si>
  <si>
    <t>LT River MP</t>
  </si>
  <si>
    <t>Ford TE</t>
  </si>
  <si>
    <t>Ring CS N/S</t>
  </si>
  <si>
    <t>LaPrima ME</t>
  </si>
  <si>
    <t>Stanton CH retest</t>
  </si>
  <si>
    <t>Exotics Sangio North</t>
  </si>
  <si>
    <t>*prioity to get nero asap</t>
  </si>
  <si>
    <t>Liberty Oaks Temp North half</t>
  </si>
  <si>
    <t>Ford TA baseline</t>
  </si>
  <si>
    <t>Stanton TD</t>
  </si>
  <si>
    <t>LF JW3 Block 1 CS (Juans)</t>
  </si>
  <si>
    <t>Exotics SY</t>
  </si>
  <si>
    <t>JW2 ME (all)</t>
  </si>
  <si>
    <t>La Prima PS South (Field)</t>
  </si>
  <si>
    <t>JW3 CS</t>
  </si>
  <si>
    <t>LT river PV</t>
  </si>
  <si>
    <t>JW2 TD (all)</t>
  </si>
  <si>
    <t xml:space="preserve">LT 38 South </t>
  </si>
  <si>
    <t>LT 38 S</t>
  </si>
  <si>
    <t>LaPrima CS N and S</t>
  </si>
  <si>
    <t>LT Gill Creek CS retest (maria)</t>
  </si>
  <si>
    <t>LT 80 CH Rosa</t>
  </si>
  <si>
    <t>LT 80 Rosa 2021 (Row 33-45)</t>
  </si>
  <si>
    <t>JW3 SB South Half</t>
  </si>
  <si>
    <t>Baum Peltier CH 2021</t>
  </si>
  <si>
    <t>JW2 PR long rows</t>
  </si>
  <si>
    <t>LT Exotics VI B3 and B4</t>
  </si>
  <si>
    <t>LT JW2 PR short rows</t>
  </si>
  <si>
    <t>North River CH Remaining</t>
  </si>
  <si>
    <t>LT 80 Clone 70 CH</t>
  </si>
  <si>
    <t>LT Redtail PR</t>
  </si>
  <si>
    <t>LT Railroad CF</t>
  </si>
  <si>
    <t>If time:</t>
  </si>
  <si>
    <t>LT JW1 PV</t>
  </si>
  <si>
    <t>Donald Davis CS 1,6</t>
  </si>
  <si>
    <t>Davis ND quick test</t>
  </si>
  <si>
    <t>River B2 CS</t>
  </si>
  <si>
    <t>JW2 ME</t>
  </si>
  <si>
    <t>Seibly CS N</t>
  </si>
  <si>
    <t>North River GV</t>
  </si>
  <si>
    <t>LT Exotics SA North</t>
  </si>
  <si>
    <t>LT Twin Oaks SB North</t>
  </si>
  <si>
    <t>North River CH remaining</t>
  </si>
  <si>
    <t>Don Air ZN</t>
  </si>
  <si>
    <t>LT Twin Oaks SB N/S</t>
  </si>
  <si>
    <t>Twin Oaks CS</t>
  </si>
  <si>
    <t>Hilder PS N/S</t>
  </si>
  <si>
    <t>LT River B5 MP</t>
  </si>
  <si>
    <t>River B4 CS</t>
  </si>
  <si>
    <t>Seibly CS S</t>
  </si>
  <si>
    <t xml:space="preserve">Ford TO </t>
  </si>
  <si>
    <t>North River CH N1</t>
  </si>
  <si>
    <t>LT Exotics SA South</t>
  </si>
  <si>
    <t>LT Twin Oaks SB South</t>
  </si>
  <si>
    <t xml:space="preserve">North River GV </t>
  </si>
  <si>
    <t>Stanton 6/8 PR/ZN</t>
  </si>
  <si>
    <t>Seibly CS</t>
  </si>
  <si>
    <t>Ford ME 4 E/W/MID</t>
  </si>
  <si>
    <t>Ford MA N &amp; S</t>
  </si>
  <si>
    <t>LT River B6 AG</t>
  </si>
  <si>
    <t>Maria:</t>
  </si>
  <si>
    <t xml:space="preserve">LT Twin Oaks CS </t>
  </si>
  <si>
    <t>Twin Oaks CS S</t>
  </si>
  <si>
    <t>North River CH N2</t>
  </si>
  <si>
    <t>North River CH south</t>
  </si>
  <si>
    <t>LT 80 B4 (Clone 70)</t>
  </si>
  <si>
    <t>LT JW2 PR (long rows)</t>
  </si>
  <si>
    <t xml:space="preserve">LT Railroad CF </t>
  </si>
  <si>
    <t>LT 100 PS N - afternoon</t>
  </si>
  <si>
    <t>North River CH S1</t>
  </si>
  <si>
    <t xml:space="preserve">Liberty Oaks PG </t>
  </si>
  <si>
    <t>LT 100 CS baseline (trial)</t>
  </si>
  <si>
    <t>LT JW2 PR (NE triangle)</t>
  </si>
  <si>
    <t>Lashi CH</t>
  </si>
  <si>
    <t>Charlie Lewis 100 yr ZN</t>
  </si>
  <si>
    <t>North River CH S2</t>
  </si>
  <si>
    <t>Ring CS baseline (trial)</t>
  </si>
  <si>
    <t>Lewis alpine zin east</t>
  </si>
  <si>
    <t>Charlie Lewis Old (Home ranch)</t>
  </si>
  <si>
    <t xml:space="preserve">Charlie Lewis Alpine West </t>
  </si>
  <si>
    <t>LT River PV (Aaron)</t>
  </si>
  <si>
    <t>LaPrima PS South</t>
  </si>
  <si>
    <t>Baum Peltier 2020 (R1-174)</t>
  </si>
  <si>
    <t>LT River AG retest bucket</t>
  </si>
  <si>
    <t xml:space="preserve">Charlie Lewis West (old vines) </t>
  </si>
  <si>
    <t>Charlie Lewis Home ZN</t>
  </si>
  <si>
    <t>Ford TO (aaron)</t>
  </si>
  <si>
    <t>LT Redtail ND retest (field test)</t>
  </si>
  <si>
    <t xml:space="preserve">LT River MP </t>
  </si>
  <si>
    <t>Donald Davis ND remaining</t>
  </si>
  <si>
    <t>LT Exotics SA remaining (aaron)</t>
  </si>
  <si>
    <t>Davis B5 CH</t>
  </si>
  <si>
    <t>Lots of labs this day! sorry!</t>
  </si>
  <si>
    <t>LT 100 retest</t>
  </si>
  <si>
    <t>Davis PG</t>
  </si>
  <si>
    <t>Foley 3B AL</t>
  </si>
  <si>
    <t>Runyon 1 PN</t>
  </si>
  <si>
    <t>Dutra PN North</t>
  </si>
  <si>
    <t>Wheelhouse AL/PG/(GE (2 sections))</t>
  </si>
  <si>
    <t>Runyon B1 PN</t>
  </si>
  <si>
    <t>Maria PN clones</t>
  </si>
  <si>
    <t>Wheelhouse GW (R1-50)</t>
  </si>
  <si>
    <t>MJ PG North</t>
  </si>
  <si>
    <t>MJ CB</t>
  </si>
  <si>
    <t>MJ CH</t>
  </si>
  <si>
    <t>Dutra PN North (18.8 on 8/29)</t>
  </si>
  <si>
    <t>Dutra VI</t>
  </si>
  <si>
    <t>Wheelhouse PG (remaining)</t>
  </si>
  <si>
    <t>Wheelhouse AL (maria)</t>
  </si>
  <si>
    <t>Wheelhouse GEW 3 splits</t>
  </si>
  <si>
    <t>Prince CH 21</t>
  </si>
  <si>
    <t>Dutra MC old/grafted</t>
  </si>
  <si>
    <t>Dutra VI (24.3 9/19)</t>
  </si>
  <si>
    <t>Foley PN 9</t>
  </si>
  <si>
    <t>Prince CB 15</t>
  </si>
  <si>
    <t>Prince SB</t>
  </si>
  <si>
    <t xml:space="preserve">Prince CB 17, 8 </t>
  </si>
  <si>
    <t>MJ B1 CH bucket</t>
  </si>
  <si>
    <t xml:space="preserve">Prince MA </t>
  </si>
  <si>
    <t>Prince MA</t>
  </si>
  <si>
    <t>Prince 16 CB</t>
  </si>
  <si>
    <t>Prince CB</t>
  </si>
  <si>
    <t xml:space="preserve">MJ PG North </t>
  </si>
  <si>
    <t>Prince 7A/BSB</t>
  </si>
  <si>
    <r>
      <t>Dutra PN South? (</t>
    </r>
    <r>
      <rPr>
        <b/>
        <sz val="12"/>
        <color rgb="FFFF0000"/>
        <rFont val="Arial Narrow"/>
        <family val="2"/>
      </rPr>
      <t>20.6 on 8/29)</t>
    </r>
  </si>
  <si>
    <t>Dutra MC (old/grafted)</t>
  </si>
  <si>
    <t>Prince 18 PS</t>
  </si>
  <si>
    <t>Maria PN 115/667/777</t>
  </si>
  <si>
    <t>Prince CB (5,6?8?11,14,15,16,17,99)</t>
  </si>
  <si>
    <t>MJ B1 CH</t>
  </si>
  <si>
    <t>Foley PN 10</t>
  </si>
  <si>
    <t>Prince CB 16</t>
  </si>
  <si>
    <t>Prince PS</t>
  </si>
  <si>
    <t>Prince MA?</t>
  </si>
  <si>
    <t>Foley old CH (2B,3, 6)</t>
  </si>
  <si>
    <t>Runyon 2 PN</t>
  </si>
  <si>
    <t>Dutra PN South</t>
  </si>
  <si>
    <t>Maria PG</t>
  </si>
  <si>
    <t>Runyon B2 PN</t>
  </si>
  <si>
    <t>Maria PN East</t>
  </si>
  <si>
    <t>Wheelhouse GW (R51-75, 113-127)</t>
  </si>
  <si>
    <t>MJ PG Mid</t>
  </si>
  <si>
    <t>Prince 11 CB</t>
  </si>
  <si>
    <t>Dutra B4 SB</t>
  </si>
  <si>
    <t>Maria PN buckets 667 and 115</t>
  </si>
  <si>
    <t>Prince 99 MA</t>
  </si>
  <si>
    <t>Maria PN 23 W</t>
  </si>
  <si>
    <t>Prince SB (7,99)</t>
  </si>
  <si>
    <t xml:space="preserve">Prince 7 SB </t>
  </si>
  <si>
    <t>Foley PN 2</t>
  </si>
  <si>
    <t>Prince CB 17</t>
  </si>
  <si>
    <t>Prince B18 PS</t>
  </si>
  <si>
    <t>prince 16 cb</t>
  </si>
  <si>
    <t>Dutra PN N and S</t>
  </si>
  <si>
    <t>Wheelhouse AL</t>
  </si>
  <si>
    <t>Dutra MC old</t>
  </si>
  <si>
    <t>Maria PN (115/667/777/23W)</t>
  </si>
  <si>
    <t>Runyon B3 PG</t>
  </si>
  <si>
    <t>Foley B5/6</t>
  </si>
  <si>
    <t>Wheelhouse GW (R75-112)</t>
  </si>
  <si>
    <t>MJ PG South</t>
  </si>
  <si>
    <t>Prince 14 CB</t>
  </si>
  <si>
    <t>Runyon 1/2/3 - row ct B1</t>
  </si>
  <si>
    <t>Dutra B3 SB</t>
  </si>
  <si>
    <t>Prince CB (all) 9 blocks</t>
  </si>
  <si>
    <t>Prince MA 99</t>
  </si>
  <si>
    <t>Foley PN 1</t>
  </si>
  <si>
    <t xml:space="preserve">Dutra MC </t>
  </si>
  <si>
    <t>Wheelhouse PG</t>
  </si>
  <si>
    <t>Dutra MC whip</t>
  </si>
  <si>
    <t>Dutra MC old/graft</t>
  </si>
  <si>
    <t>Prince 15 CB</t>
  </si>
  <si>
    <t>Maria PN 115</t>
  </si>
  <si>
    <t>Prince CH 1 and 21</t>
  </si>
  <si>
    <t>Wheelhouse AL?</t>
  </si>
  <si>
    <t>moved CB to Friday.</t>
  </si>
  <si>
    <t xml:space="preserve">Maria PN clones </t>
  </si>
  <si>
    <t>Prince 3 PN</t>
  </si>
  <si>
    <t>MJ PG</t>
  </si>
  <si>
    <t>Maria PG East</t>
  </si>
  <si>
    <t>Prince Block 3 PN</t>
  </si>
  <si>
    <t>Maria PN 667</t>
  </si>
  <si>
    <t>Prince SB 7A/B</t>
  </si>
  <si>
    <t>Runyon PN 1 and 2</t>
  </si>
  <si>
    <t>Prince B99 MA</t>
  </si>
  <si>
    <t>Prince SB 7A/B/99</t>
  </si>
  <si>
    <t>Maria PG West</t>
  </si>
  <si>
    <t>Wheelhouse GW (R75-112/R1-75)</t>
  </si>
  <si>
    <t>Dutra PN N</t>
  </si>
  <si>
    <t>Prince 17 CB</t>
  </si>
  <si>
    <t>Maria PN 777</t>
  </si>
  <si>
    <t>Dutra PN North remaining</t>
  </si>
  <si>
    <t>Dutra VI/MC</t>
  </si>
  <si>
    <t>Prince CH (1,21)</t>
  </si>
  <si>
    <t>Runyon 1/2/3</t>
  </si>
  <si>
    <t>Maria PG South</t>
  </si>
  <si>
    <t>Prince 1 CH</t>
  </si>
  <si>
    <t>Dutra PN S</t>
  </si>
  <si>
    <t>Prince 5 CB</t>
  </si>
  <si>
    <t xml:space="preserve">Maria PN East </t>
  </si>
  <si>
    <t>Wheelhouse GW 3 splits</t>
  </si>
  <si>
    <t>MJ PG Mid, North</t>
  </si>
  <si>
    <t>Prince 21 CH</t>
  </si>
  <si>
    <t>Prince 6 CB</t>
  </si>
  <si>
    <t>Prince 8 CB</t>
  </si>
  <si>
    <t>Foley VI (MG request)</t>
  </si>
  <si>
    <t xml:space="preserve">MJ PG </t>
  </si>
  <si>
    <t>Prince 7A/B SB</t>
  </si>
  <si>
    <t>Prince 22 CB</t>
  </si>
  <si>
    <t>Foley CH (2 blocks)</t>
  </si>
  <si>
    <t>Prince CB (5, 6, 8, 22, 11)</t>
  </si>
  <si>
    <t>Prince 1 and 21 CH</t>
  </si>
  <si>
    <t>Foley PG B13</t>
  </si>
  <si>
    <t>Clements</t>
  </si>
  <si>
    <t>Rootstock 2 CH N</t>
  </si>
  <si>
    <t>Bear Creek CH</t>
  </si>
  <si>
    <t>Bear Creek VD</t>
  </si>
  <si>
    <t>Rootstock 2 CH NE bucket</t>
  </si>
  <si>
    <t>Webster CH North Half</t>
  </si>
  <si>
    <t>Lane ME</t>
  </si>
  <si>
    <t>Lane ME N</t>
  </si>
  <si>
    <t>Rootstock 2 CH S</t>
  </si>
  <si>
    <t>Betsy Rose PN</t>
  </si>
  <si>
    <t>Cook CH</t>
  </si>
  <si>
    <t>Webster CH N</t>
  </si>
  <si>
    <t>MZ:</t>
  </si>
  <si>
    <t>Sowles PN N/MID/S</t>
  </si>
  <si>
    <t>98 Oaks CS 1, 2, 4, 5</t>
  </si>
  <si>
    <t xml:space="preserve">Craig CH </t>
  </si>
  <si>
    <t>Smith ME</t>
  </si>
  <si>
    <t>Sowles PN N/MID/S (APL?)</t>
  </si>
  <si>
    <t>99 Oaks CS 1,2,4,5</t>
  </si>
  <si>
    <t>Sowles N/MID/South retest</t>
  </si>
  <si>
    <t>Bear Creek CH Remaining</t>
  </si>
  <si>
    <t>Rose 2 CH (all)</t>
  </si>
  <si>
    <t>Smith ME-Priority</t>
  </si>
  <si>
    <t>98 Oaks B9 CS (maria)</t>
  </si>
  <si>
    <t>Baum Victor ZN/PR</t>
  </si>
  <si>
    <t xml:space="preserve">Craig CH- text me asap </t>
  </si>
  <si>
    <t>3 Oaks CS N/S</t>
  </si>
  <si>
    <t xml:space="preserve">Moren PS 4 </t>
  </si>
  <si>
    <t>Liberty Oaks TE N/S</t>
  </si>
  <si>
    <t>Lauchland CS baseline</t>
  </si>
  <si>
    <t>99 Oaks B9 bucket</t>
  </si>
  <si>
    <t>Paddy Creek ZN</t>
  </si>
  <si>
    <t>Bohn Ridge ZN</t>
  </si>
  <si>
    <t>Rose MA</t>
  </si>
  <si>
    <t xml:space="preserve">Cook CS </t>
  </si>
  <si>
    <t>AAA CS</t>
  </si>
  <si>
    <t>Bohn Ridge ZN?</t>
  </si>
  <si>
    <t>Blue Star CS</t>
  </si>
  <si>
    <t>Henretty CS</t>
  </si>
  <si>
    <t>Atkins CS 1</t>
  </si>
  <si>
    <t>98 Oaks MA</t>
  </si>
  <si>
    <t>Cook W</t>
  </si>
  <si>
    <t>AAA 1 PV</t>
  </si>
  <si>
    <t xml:space="preserve">Henretty </t>
  </si>
  <si>
    <t>Patriot Oaks PV</t>
  </si>
  <si>
    <t>Lauchland N mid morning</t>
  </si>
  <si>
    <t>AAA B1 PV</t>
  </si>
  <si>
    <t>99 Oaks B7 ME</t>
  </si>
  <si>
    <t>99 Oaks MA 3</t>
  </si>
  <si>
    <t>Moren PS 3, 4, 5 retest</t>
  </si>
  <si>
    <t>Craig CH</t>
  </si>
  <si>
    <t>98 oaks zin</t>
  </si>
  <si>
    <t xml:space="preserve">Lane ME North </t>
  </si>
  <si>
    <t>98 Oaks 1,2,4,5 CS</t>
  </si>
  <si>
    <t>Bohn Ridge ZN and TD</t>
  </si>
  <si>
    <t>Moren PS 3 (this good indicator)</t>
  </si>
  <si>
    <t>Rose I ME</t>
  </si>
  <si>
    <t>98 Oaks phase 1 CS (1,2,4,5)</t>
  </si>
  <si>
    <t xml:space="preserve">Moren SY E </t>
  </si>
  <si>
    <t>Baum Victor ZN</t>
  </si>
  <si>
    <t xml:space="preserve">Rose 1 ME </t>
  </si>
  <si>
    <t>AAA ZN</t>
  </si>
  <si>
    <t>98 Oaks B4</t>
  </si>
  <si>
    <t>3 Oaks CS North</t>
  </si>
  <si>
    <t>Liberty Oaks TE N/S?</t>
  </si>
  <si>
    <t>Craig CS</t>
  </si>
  <si>
    <t>Paddy Creek BA North?</t>
  </si>
  <si>
    <t>Cook CS West</t>
  </si>
  <si>
    <t>Atkins CS 5</t>
  </si>
  <si>
    <t>98 Oaks B1</t>
  </si>
  <si>
    <t>Moren PV</t>
  </si>
  <si>
    <t>Cook E</t>
  </si>
  <si>
    <t>AAA 4 PV</t>
  </si>
  <si>
    <t xml:space="preserve">3 Oaks CS </t>
  </si>
  <si>
    <t>Craig ME Main block N</t>
  </si>
  <si>
    <t>Lauchland S mid morning</t>
  </si>
  <si>
    <t>Atkins 1 CS?</t>
  </si>
  <si>
    <t>Paddy Creek CH</t>
  </si>
  <si>
    <t>Rootstock 2 CH NE</t>
  </si>
  <si>
    <t xml:space="preserve">Rootstock 2 CH South </t>
  </si>
  <si>
    <t>Webster CH South Half</t>
  </si>
  <si>
    <t>Lane ME S</t>
  </si>
  <si>
    <t>Rootstock 2 CH NW</t>
  </si>
  <si>
    <t>Betsy Rose CH</t>
  </si>
  <si>
    <t>Sowles PN (N/MID/S)</t>
  </si>
  <si>
    <t>Webster CH S</t>
  </si>
  <si>
    <t>98 Oaks ME</t>
  </si>
  <si>
    <t>Lane ME N/S</t>
  </si>
  <si>
    <t>98 Oaks 3 MA</t>
  </si>
  <si>
    <t>Moren PS 3, 4, 5</t>
  </si>
  <si>
    <t>99 Oaks B11 CF</t>
  </si>
  <si>
    <t>98 Oaks B8 PS?</t>
  </si>
  <si>
    <t>Moren 1 SY retest</t>
  </si>
  <si>
    <t>98 oaks ps</t>
  </si>
  <si>
    <t>Paddy Creek BA N/S</t>
  </si>
  <si>
    <t>Mohr Barbera</t>
  </si>
  <si>
    <t>Paddy Creek ZN South/North Side</t>
  </si>
  <si>
    <t>Moren B5 PS</t>
  </si>
  <si>
    <t>Moren SY W</t>
  </si>
  <si>
    <t>Baum Victor PR</t>
  </si>
  <si>
    <t>98 Oaks B2</t>
  </si>
  <si>
    <t>98 Oaks B5</t>
  </si>
  <si>
    <t>3 Oaks CS South</t>
  </si>
  <si>
    <t>Atkins B1 CS</t>
  </si>
  <si>
    <t>Paddy Creek B7 CS</t>
  </si>
  <si>
    <t>Rootstock 2 CS</t>
  </si>
  <si>
    <t>Cook CS East (short rows and NW corner)</t>
  </si>
  <si>
    <t>Craig ME</t>
  </si>
  <si>
    <t>Rootstock CS</t>
  </si>
  <si>
    <t>3 Oaks CS N - afternoon</t>
  </si>
  <si>
    <t>Paddy Creek CS N/S</t>
  </si>
  <si>
    <t>Craig ME Main block S</t>
  </si>
  <si>
    <t>Cobble Top 1,7,11,13,3</t>
  </si>
  <si>
    <t>Atkins 5 CS?</t>
  </si>
  <si>
    <t>Paddy Creek CH?</t>
  </si>
  <si>
    <t>Rootstock 2 CH S and NW</t>
  </si>
  <si>
    <t>Paddy Creek BA N</t>
  </si>
  <si>
    <t>Rootstock 2 CH NE remaining</t>
  </si>
  <si>
    <t>Rose 2 CH</t>
  </si>
  <si>
    <t>Lewis Zins--All</t>
  </si>
  <si>
    <t xml:space="preserve">98 Oaks PS </t>
  </si>
  <si>
    <t>Clements Atkins B3</t>
  </si>
  <si>
    <t>Bohn Ridge TD</t>
  </si>
  <si>
    <t>98 Oaks PS</t>
  </si>
  <si>
    <t>AAA ZN North / South</t>
  </si>
  <si>
    <t>Moren 1 SY</t>
  </si>
  <si>
    <t>99 Oaks B6 CS</t>
  </si>
  <si>
    <t>98 Oaks B10 ZN?</t>
  </si>
  <si>
    <t>Moren 2 PV retest</t>
  </si>
  <si>
    <t>Paddy Creek ZN N/S</t>
  </si>
  <si>
    <t>98 oaks cf</t>
  </si>
  <si>
    <t>Paddy Creek ME-harney lane side only</t>
  </si>
  <si>
    <t>Rose 2 MA</t>
  </si>
  <si>
    <t>Paddy Creek ZN South</t>
  </si>
  <si>
    <t>AAA North and South of vine</t>
  </si>
  <si>
    <t>Betsy Rose CH (all)</t>
  </si>
  <si>
    <t>Paddy Creek BA North only</t>
  </si>
  <si>
    <t xml:space="preserve">AARON: 98 Oaks 9,4,5 </t>
  </si>
  <si>
    <t>Paddy Creek ME Block 1</t>
  </si>
  <si>
    <t>Peters CS</t>
  </si>
  <si>
    <t xml:space="preserve">98 Oaks B2 </t>
  </si>
  <si>
    <t>Paddy Creek BA North</t>
  </si>
  <si>
    <t>Baum Victor 1</t>
  </si>
  <si>
    <t>Atkins B5 CS</t>
  </si>
  <si>
    <t>Moren PV-field test ok</t>
  </si>
  <si>
    <t>AAA PV 1</t>
  </si>
  <si>
    <t>Lane ME remaining</t>
  </si>
  <si>
    <t>Lauchland</t>
  </si>
  <si>
    <t xml:space="preserve">Craig ME NE </t>
  </si>
  <si>
    <t>Bear Creek PG</t>
  </si>
  <si>
    <t>Paddy Creek BA S</t>
  </si>
  <si>
    <t xml:space="preserve">Rootstock 1 CH </t>
  </si>
  <si>
    <t xml:space="preserve">Webster CH North </t>
  </si>
  <si>
    <t>MZ: Lewis zin?</t>
  </si>
  <si>
    <t xml:space="preserve">Mohr BA </t>
  </si>
  <si>
    <t>Rose 2 CH N/S</t>
  </si>
  <si>
    <t>98 Oaks ZN</t>
  </si>
  <si>
    <t>Lewis ZN east (trellis)</t>
  </si>
  <si>
    <t>AAA SB</t>
  </si>
  <si>
    <t>Moren 2 PV</t>
  </si>
  <si>
    <t>99 Oaks B8 PS</t>
  </si>
  <si>
    <t>98 oaks merlot</t>
  </si>
  <si>
    <t xml:space="preserve">AAA ZN North </t>
  </si>
  <si>
    <t xml:space="preserve">Sowles PN N/MID/SOUTH </t>
  </si>
  <si>
    <t>3 oaks Merlot</t>
  </si>
  <si>
    <t>Betsy Rose PN (all)</t>
  </si>
  <si>
    <t xml:space="preserve">AAA B3 CS </t>
  </si>
  <si>
    <t>Paddy Creek ME Block 3</t>
  </si>
  <si>
    <t>Paddy Creek BA South</t>
  </si>
  <si>
    <t>Baum Victor 2</t>
  </si>
  <si>
    <t>MRP CS</t>
  </si>
  <si>
    <t>Norgaard</t>
  </si>
  <si>
    <t>Cobble top (7,8,9,10)</t>
  </si>
  <si>
    <t>3 Oaks CS S - afternoon</t>
  </si>
  <si>
    <t>AAA PV 4</t>
  </si>
  <si>
    <t>Ring N</t>
  </si>
  <si>
    <t>Liberty Oaks PG</t>
  </si>
  <si>
    <t>Atkins CH?</t>
  </si>
  <si>
    <t xml:space="preserve">Bear Creek PG </t>
  </si>
  <si>
    <t>Webster CH South</t>
  </si>
  <si>
    <t xml:space="preserve">Paddy Creek BA N </t>
  </si>
  <si>
    <t>Betsy Rose CH?</t>
  </si>
  <si>
    <t>Bear Creek CH - mid</t>
  </si>
  <si>
    <t>98 Oaks B6,9 CS (phase 2)</t>
  </si>
  <si>
    <t>Lewis ZN west (all)</t>
  </si>
  <si>
    <t>Mohr BA</t>
  </si>
  <si>
    <t>99 Oaks B9 CS</t>
  </si>
  <si>
    <t>AAA ZN N/S</t>
  </si>
  <si>
    <t xml:space="preserve">AAA ZN South </t>
  </si>
  <si>
    <t xml:space="preserve">Henretty CS </t>
  </si>
  <si>
    <t>AAA CS retest (maria)</t>
  </si>
  <si>
    <t>Norgaard CS</t>
  </si>
  <si>
    <t>AAA PV 1/4</t>
  </si>
  <si>
    <t>Rose 2 MA bucket</t>
  </si>
  <si>
    <t>Cobble top (11,12,13)</t>
  </si>
  <si>
    <t>Ring S</t>
  </si>
  <si>
    <t>Rootstock 1 CH</t>
  </si>
  <si>
    <t>Betsey Rose CH - Snakes!</t>
  </si>
  <si>
    <t>Rose 2 CH N/MID/S</t>
  </si>
  <si>
    <t>Sowles PN baseline</t>
  </si>
  <si>
    <t>Betsy Rose PN E/W</t>
  </si>
  <si>
    <t>Lewis ZN Home</t>
  </si>
  <si>
    <t>99 Oaks B10 ZN</t>
  </si>
  <si>
    <t>Betsy Rose PN (1 test not split) ok?</t>
  </si>
  <si>
    <t xml:space="preserve">Rootstock 2 CS </t>
  </si>
  <si>
    <t>Cobble top (5,6)</t>
  </si>
  <si>
    <t>Webster CH</t>
  </si>
  <si>
    <t>Craig CH - Snakes!</t>
  </si>
  <si>
    <t>AAA SB?</t>
  </si>
  <si>
    <t>Betsy Rose PN baseline</t>
  </si>
  <si>
    <t>Clem Atkins CH Block 3</t>
  </si>
  <si>
    <t>Lane ME South</t>
  </si>
  <si>
    <t>Moren B5 PS (furthest ahead)</t>
  </si>
  <si>
    <t>Paddy Creek 4B CH?</t>
  </si>
  <si>
    <t>Rose 2 MA baseline</t>
  </si>
  <si>
    <t>Atkins B3 CH</t>
  </si>
  <si>
    <t>Betsy Rose CH (1 test not split) ok?</t>
  </si>
  <si>
    <t>Cobble top (1,2,3,4)</t>
  </si>
  <si>
    <t>Baum Victor ZN and PR</t>
  </si>
  <si>
    <t xml:space="preserve">Rootstock 1 B3 CH </t>
  </si>
  <si>
    <r>
      <rPr>
        <strike/>
        <sz val="12"/>
        <color rgb="FF000000"/>
        <rFont val="Arial Narrow"/>
        <family val="2"/>
      </rPr>
      <t xml:space="preserve">AAA SB  </t>
    </r>
    <r>
      <rPr>
        <sz val="12"/>
        <color rgb="FF000000"/>
        <rFont val="Arial Narrow"/>
        <family val="2"/>
      </rPr>
      <t>Moren B1 SY</t>
    </r>
  </si>
  <si>
    <t>Webster CH N/S</t>
  </si>
  <si>
    <t xml:space="preserve">Baum Victor ZN/PR </t>
  </si>
  <si>
    <t>Liberty Oaks TE North and South</t>
  </si>
  <si>
    <t>Bear Creek VD- don't need to</t>
  </si>
  <si>
    <t>Lane Merlot North</t>
  </si>
  <si>
    <t>Lewis ZN - 3 splits</t>
  </si>
  <si>
    <t>CLEMENTS REMAINING ACREAGE</t>
  </si>
  <si>
    <t>DELTA REMAINING ACREAGE</t>
  </si>
  <si>
    <t>LODI REMAINING ACREAGE</t>
  </si>
  <si>
    <t>Vineyard Name</t>
  </si>
  <si>
    <t>Remaining Acres</t>
  </si>
  <si>
    <t>Last Sample Date</t>
  </si>
  <si>
    <t xml:space="preserve">Brix </t>
  </si>
  <si>
    <t>Notes</t>
  </si>
  <si>
    <t>Remaining Acreage</t>
  </si>
  <si>
    <t>LT 38 CS</t>
  </si>
  <si>
    <t>Paddy Creek BA</t>
  </si>
  <si>
    <t xml:space="preserve">Donald Davis B1 CS </t>
  </si>
  <si>
    <t xml:space="preserve">98 Oaks B4 </t>
  </si>
  <si>
    <t>Rose 1 ME</t>
  </si>
  <si>
    <t>Ford MA</t>
  </si>
  <si>
    <t>LaPrima B5 CS</t>
  </si>
  <si>
    <t>Seibly Jahant CS</t>
  </si>
  <si>
    <t>Liberty Oaks TE</t>
  </si>
  <si>
    <t xml:space="preserve">MRP </t>
  </si>
  <si>
    <t>LT RIVER AGLIANICO</t>
  </si>
  <si>
    <t>LANE MERLOT</t>
  </si>
  <si>
    <t>Date</t>
  </si>
  <si>
    <t>Brix</t>
  </si>
  <si>
    <t>Assuming linearity:</t>
  </si>
  <si>
    <t>R squared:</t>
  </si>
  <si>
    <t>Brix/Day:</t>
  </si>
  <si>
    <t>Intercept:</t>
  </si>
  <si>
    <t>HARVEST FORECAST:</t>
  </si>
  <si>
    <t>(All)</t>
  </si>
  <si>
    <t>Column Labels</t>
  </si>
  <si>
    <t>Values</t>
  </si>
  <si>
    <t>Jul-28</t>
  </si>
  <si>
    <t>Jul-29</t>
  </si>
  <si>
    <t>Jul-30</t>
  </si>
  <si>
    <t>Jul-31</t>
  </si>
  <si>
    <t>Aug-1</t>
  </si>
  <si>
    <t>Aug-2</t>
  </si>
  <si>
    <t>Aug-3</t>
  </si>
  <si>
    <t>Aug-4</t>
  </si>
  <si>
    <t>Aug-5</t>
  </si>
  <si>
    <t>Aug-6</t>
  </si>
  <si>
    <t>Aug-7</t>
  </si>
  <si>
    <t>Aug-8</t>
  </si>
  <si>
    <t>Aug-9</t>
  </si>
  <si>
    <t>Aug-10</t>
  </si>
  <si>
    <t>Aug-11</t>
  </si>
  <si>
    <t>Aug-12</t>
  </si>
  <si>
    <t>Aug-13</t>
  </si>
  <si>
    <t>Aug-14</t>
  </si>
  <si>
    <t>Aug-15</t>
  </si>
  <si>
    <t>Aug-16</t>
  </si>
  <si>
    <t>Aug-17</t>
  </si>
  <si>
    <t>Aug-18</t>
  </si>
  <si>
    <t>Aug-19</t>
  </si>
  <si>
    <t>Aug-20</t>
  </si>
  <si>
    <t>Aug-21</t>
  </si>
  <si>
    <t>Aug-22</t>
  </si>
  <si>
    <t>Aug-23</t>
  </si>
  <si>
    <t>Aug-24</t>
  </si>
  <si>
    <t>Aug-25</t>
  </si>
  <si>
    <t>Aug-26</t>
  </si>
  <si>
    <t>Aug-27</t>
  </si>
  <si>
    <t>Aug-28</t>
  </si>
  <si>
    <t>Aug-29</t>
  </si>
  <si>
    <t>Aug-30</t>
  </si>
  <si>
    <t>Aug-31</t>
  </si>
  <si>
    <t>Sept-1</t>
  </si>
  <si>
    <t>Sept-2</t>
  </si>
  <si>
    <t>Sept-3</t>
  </si>
  <si>
    <t>Sept-4</t>
  </si>
  <si>
    <t>Sept-5</t>
  </si>
  <si>
    <t>Sept-6</t>
  </si>
  <si>
    <t>Sept-7</t>
  </si>
  <si>
    <t>Sept-8</t>
  </si>
  <si>
    <t>Sept-9</t>
  </si>
  <si>
    <t>Sept-10</t>
  </si>
  <si>
    <t>Sept-11</t>
  </si>
  <si>
    <t>Sept-12</t>
  </si>
  <si>
    <t>Sept-13</t>
  </si>
  <si>
    <t>Sept-14</t>
  </si>
  <si>
    <t>Sept-15</t>
  </si>
  <si>
    <t>Sept-16</t>
  </si>
  <si>
    <t>Sept-17</t>
  </si>
  <si>
    <t>Sept-18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</si>
</sst>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
    <numFmt numFmtId="165" formatCode="m/d;@"/>
    <numFmt numFmtId="166" formatCode="_(* #,##0.0_);_(* \(#,##0.0\);_(* &quot;-&quot;??_);_(@_)"/>
    <numFmt numFmtId="167" formatCode="[$-F800]dddd\,\ mmmm\ dd\,\ yyyy"/>
    <numFmt numFmtId="168" formatCode="[$-409]d\-mmm;@"/>
    <numFmt numFmtId="169" formatCode="ddd\ m/d/yy"/>
  </numFmts>
  <fonts count="75" x14ac:knownFonts="1">
    <font>
      <sz val="12"/>
      <color theme="1"/>
      <name val="Arial Narrow"/>
      <family val="2"/>
    </font>
    <font>
      <sz val="12"/>
      <color theme="1"/>
      <name val="Arial Narrow"/>
      <family val="2"/>
    </font>
    <font>
      <sz val="8"/>
      <name val="Arial Narrow"/>
      <family val="2"/>
    </font>
    <font>
      <sz val="10"/>
      <name val="Arial Narrow"/>
      <family val="2"/>
    </font>
    <font>
      <sz val="9.5"/>
      <name val="Arial Narrow"/>
      <family val="2"/>
    </font>
    <font>
      <sz val="12"/>
      <name val="Arial Narrow"/>
      <family val="2"/>
    </font>
    <font>
      <b/>
      <sz val="16"/>
      <name val="Arial Narrow"/>
      <family val="2"/>
    </font>
    <font>
      <b/>
      <sz val="8"/>
      <name val="Arial Narrow"/>
      <family val="2"/>
    </font>
    <font>
      <b/>
      <sz val="10"/>
      <name val="Arial Narrow"/>
      <family val="2"/>
    </font>
    <font>
      <sz val="10"/>
      <color rgb="FF000000"/>
      <name val="Arial Narrow"/>
      <family val="2"/>
    </font>
    <font>
      <i/>
      <u/>
      <sz val="10"/>
      <name val="Arial Narrow"/>
      <family val="2"/>
    </font>
    <font>
      <i/>
      <u/>
      <sz val="12"/>
      <name val="Arial Narrow"/>
      <family val="2"/>
    </font>
    <font>
      <b/>
      <sz val="12"/>
      <color rgb="FFFF0000"/>
      <name val="Arial Narrow"/>
      <family val="2"/>
    </font>
    <font>
      <i/>
      <sz val="10"/>
      <name val="Arial Narrow"/>
      <family val="2"/>
    </font>
    <font>
      <b/>
      <sz val="11"/>
      <color rgb="FF000000"/>
      <name val="Arial Narrow"/>
      <family val="2"/>
    </font>
    <font>
      <sz val="11"/>
      <color rgb="FF000000"/>
      <name val="Arial Narrow"/>
      <family val="2"/>
    </font>
    <font>
      <sz val="10"/>
      <color theme="0"/>
      <name val="Arial Narrow"/>
      <family val="2"/>
    </font>
    <font>
      <sz val="8"/>
      <color theme="0"/>
      <name val="Arial Narrow"/>
      <family val="2"/>
    </font>
    <font>
      <b/>
      <sz val="8"/>
      <color theme="0"/>
      <name val="Arial Narrow"/>
      <family val="2"/>
    </font>
    <font>
      <b/>
      <sz val="10"/>
      <color theme="0"/>
      <name val="Arial Narrow"/>
      <family val="2"/>
    </font>
    <font>
      <sz val="12"/>
      <color theme="0"/>
      <name val="Arial Narrow"/>
      <family val="2"/>
    </font>
    <font>
      <b/>
      <sz val="9.5"/>
      <color theme="0"/>
      <name val="Arial Narrow"/>
      <family val="2"/>
    </font>
    <font>
      <b/>
      <i/>
      <u/>
      <sz val="9.5"/>
      <color theme="0"/>
      <name val="Arial Narrow"/>
      <family val="2"/>
    </font>
    <font>
      <b/>
      <sz val="12"/>
      <color theme="0"/>
      <name val="Arial Narrow"/>
      <family val="2"/>
    </font>
    <font>
      <i/>
      <u/>
      <sz val="10"/>
      <color theme="0"/>
      <name val="Arial Narrow"/>
      <family val="2"/>
    </font>
    <font>
      <b/>
      <sz val="12"/>
      <color theme="1"/>
      <name val="Arial Narrow"/>
      <family val="2"/>
    </font>
    <font>
      <b/>
      <sz val="11"/>
      <color theme="0"/>
      <name val="Arial Narrow"/>
      <family val="2"/>
    </font>
    <font>
      <b/>
      <sz val="18"/>
      <color theme="1"/>
      <name val="Arial Narrow"/>
      <family val="2"/>
    </font>
    <font>
      <i/>
      <sz val="12"/>
      <color theme="1"/>
      <name val="Arial Narrow"/>
      <family val="2"/>
    </font>
    <font>
      <sz val="10"/>
      <color rgb="FFFF0000"/>
      <name val="Arial Narrow"/>
      <family val="2"/>
    </font>
    <font>
      <sz val="8"/>
      <color rgb="FFFF0000"/>
      <name val="Arial Narrow"/>
      <family val="2"/>
    </font>
    <font>
      <b/>
      <i/>
      <u/>
      <sz val="10"/>
      <color theme="0"/>
      <name val="Arial Narrow"/>
      <family val="2"/>
    </font>
    <font>
      <sz val="10"/>
      <color theme="1" tint="0.499984740745262"/>
      <name val="Arial Narrow"/>
      <family val="2"/>
    </font>
    <font>
      <u/>
      <sz val="10"/>
      <name val="Arial Narrow"/>
      <family val="2"/>
    </font>
    <font>
      <sz val="10"/>
      <color rgb="FF808080"/>
      <name val="Arial Narrow"/>
      <family val="2"/>
    </font>
    <font>
      <sz val="10"/>
      <color rgb="FF757171"/>
      <name val="Arial Narrow"/>
      <family val="2"/>
    </font>
    <font>
      <sz val="10"/>
      <color theme="2" tint="-0.499984740745262"/>
      <name val="Arial Narrow"/>
      <family val="2"/>
    </font>
    <font>
      <i/>
      <u/>
      <sz val="10"/>
      <color rgb="FF000000"/>
      <name val="Arial Narrow"/>
      <family val="2"/>
    </font>
    <font>
      <b/>
      <sz val="18"/>
      <name val="Arial Narrow"/>
      <family val="2"/>
    </font>
    <font>
      <sz val="10"/>
      <color theme="4" tint="-0.249977111117893"/>
      <name val="Arial Narrow"/>
      <family val="2"/>
    </font>
    <font>
      <b/>
      <sz val="12"/>
      <name val="Arial Narrow"/>
      <family val="2"/>
    </font>
    <font>
      <b/>
      <sz val="11"/>
      <color rgb="FFFF0000"/>
      <name val="Arial Narrow"/>
      <family val="2"/>
    </font>
    <font>
      <b/>
      <sz val="20"/>
      <color rgb="FF000000"/>
      <name val="Arial Narrow"/>
      <family val="2"/>
    </font>
    <font>
      <b/>
      <i/>
      <sz val="12"/>
      <color theme="1"/>
      <name val="Arial Narrow"/>
      <family val="2"/>
    </font>
    <font>
      <sz val="12"/>
      <color rgb="FFFF0000"/>
      <name val="Arial Narrow"/>
      <family val="2"/>
    </font>
    <font>
      <b/>
      <i/>
      <sz val="12"/>
      <color rgb="FFFF0000"/>
      <name val="Arial Narrow"/>
      <family val="2"/>
    </font>
    <font>
      <sz val="12"/>
      <color rgb="FF000000"/>
      <name val="Arial Narrow"/>
      <family val="2"/>
    </font>
    <font>
      <strike/>
      <sz val="12"/>
      <color theme="1"/>
      <name val="Arial Narrow"/>
      <family val="2"/>
    </font>
    <font>
      <b/>
      <i/>
      <u/>
      <sz val="10"/>
      <name val="Arial Narrow"/>
      <family val="2"/>
    </font>
    <font>
      <b/>
      <sz val="10"/>
      <color rgb="FFFF0000"/>
      <name val="Arial Narrow"/>
      <family val="2"/>
    </font>
    <font>
      <sz val="10"/>
      <name val="Arial"/>
      <family val="2"/>
    </font>
    <font>
      <sz val="10"/>
      <color indexed="39"/>
      <name val="Arial Narrow"/>
      <family val="2"/>
    </font>
    <font>
      <b/>
      <sz val="10"/>
      <color indexed="39"/>
      <name val="Arial Narrow"/>
      <family val="2"/>
    </font>
    <font>
      <b/>
      <sz val="10"/>
      <color indexed="10"/>
      <name val="Arial Narrow"/>
      <family val="2"/>
    </font>
    <font>
      <b/>
      <sz val="10"/>
      <color rgb="FF0000FF"/>
      <name val="Arial Narrow"/>
      <family val="2"/>
    </font>
    <font>
      <b/>
      <sz val="14"/>
      <color theme="0"/>
      <name val="Arial Narrow"/>
      <family val="2"/>
    </font>
    <font>
      <strike/>
      <sz val="12"/>
      <color rgb="FF000000"/>
      <name val="Arial Narrow"/>
      <family val="2"/>
    </font>
    <font>
      <b/>
      <sz val="9"/>
      <color theme="4" tint="-0.249977111117893"/>
      <name val="Arial Narrow"/>
      <family val="2"/>
    </font>
    <font>
      <sz val="9"/>
      <name val="Arial Narrow"/>
      <family val="2"/>
    </font>
    <font>
      <sz val="9"/>
      <color rgb="FF000000"/>
      <name val="Arial Narrow"/>
      <family val="2"/>
    </font>
    <font>
      <sz val="9"/>
      <color theme="4" tint="-0.249977111117893"/>
      <name val="Arial Narrow"/>
      <family val="2"/>
    </font>
    <font>
      <sz val="11"/>
      <name val="Arial Narrow"/>
      <family val="2"/>
    </font>
    <font>
      <i/>
      <sz val="11"/>
      <color theme="1"/>
      <name val="Arial Narrow"/>
      <family val="2"/>
    </font>
    <font>
      <sz val="10"/>
      <color theme="1"/>
      <name val="Arial Narrow"/>
      <family val="2"/>
    </font>
    <font>
      <b/>
      <sz val="12"/>
      <color rgb="FF000000"/>
      <name val="Arial Narrow"/>
      <family val="2"/>
    </font>
    <font>
      <sz val="12"/>
      <color theme="0" tint="-0.249977111117893"/>
      <name val="Arial Narrow"/>
      <family val="2"/>
    </font>
    <font>
      <strike/>
      <sz val="12"/>
      <name val="Arial Narrow"/>
      <family val="2"/>
    </font>
    <font>
      <b/>
      <i/>
      <sz val="12"/>
      <color rgb="FF000000"/>
      <name val="Arial Narrow"/>
      <family val="2"/>
    </font>
    <font>
      <b/>
      <sz val="11"/>
      <color rgb="FFFFFF00"/>
      <name val="Arial Narrow"/>
      <family val="2"/>
    </font>
    <font>
      <b/>
      <sz val="11"/>
      <color rgb="FFFFFFFF"/>
      <name val="Arial Narrow"/>
      <family val="2"/>
    </font>
    <font>
      <sz val="12"/>
      <color rgb="FF0000FF"/>
      <name val="Arial Narrow"/>
      <family val="2"/>
    </font>
    <font>
      <sz val="10"/>
      <color rgb="FF0000FF"/>
      <name val="Arial Narrow"/>
      <family val="2"/>
    </font>
    <font>
      <b/>
      <i/>
      <sz val="12"/>
      <name val="Arial Narrow"/>
      <family val="2"/>
    </font>
    <font>
      <strike/>
      <sz val="12"/>
      <color rgb="FF0000FF"/>
      <name val="Arial Narrow"/>
      <family val="2"/>
    </font>
    <font>
      <b/>
      <i/>
      <strike/>
      <sz val="12"/>
      <color rgb="FFFF0000"/>
      <name val="Arial Narrow"/>
      <family val="2"/>
    </font>
  </fonts>
  <fills count="2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FF"/>
        <bgColor indexed="64"/>
      </patternFill>
    </fill>
    <fill>
      <patternFill patternType="solid">
        <fgColor theme="2"/>
        <bgColor indexed="64"/>
      </patternFill>
    </fill>
    <fill>
      <patternFill patternType="solid">
        <fgColor rgb="FFFFFF00"/>
        <bgColor indexed="64"/>
      </patternFill>
    </fill>
    <fill>
      <patternFill patternType="solid">
        <fgColor theme="0" tint="-0.14999847407452621"/>
        <bgColor rgb="FF000000"/>
      </patternFill>
    </fill>
    <fill>
      <patternFill patternType="solid">
        <fgColor theme="0" tint="-4.9989318521683403E-2"/>
        <bgColor rgb="FF000000"/>
      </patternFill>
    </fill>
    <fill>
      <patternFill patternType="solid">
        <fgColor theme="0" tint="-4.9989318521683403E-2"/>
        <bgColor indexed="64"/>
      </patternFill>
    </fill>
    <fill>
      <patternFill patternType="solid">
        <fgColor theme="1" tint="0.499984740745262"/>
        <bgColor indexed="64"/>
      </patternFill>
    </fill>
    <fill>
      <patternFill patternType="solid">
        <fgColor theme="4" tint="-0.249977111117893"/>
        <bgColor indexed="64"/>
      </patternFill>
    </fill>
    <fill>
      <patternFill patternType="solid">
        <fgColor theme="4" tint="-0.249977111117893"/>
        <bgColor rgb="FF000000"/>
      </patternFill>
    </fill>
    <fill>
      <patternFill patternType="solid">
        <fgColor theme="1" tint="0.499984740745262"/>
        <bgColor rgb="FF000000"/>
      </patternFill>
    </fill>
    <fill>
      <patternFill patternType="solid">
        <fgColor rgb="FF00B0F0"/>
        <bgColor indexed="64"/>
      </patternFill>
    </fill>
    <fill>
      <patternFill patternType="solid">
        <fgColor theme="6" tint="0.79998168889431442"/>
        <bgColor rgb="FF000000"/>
      </patternFill>
    </fill>
    <fill>
      <patternFill patternType="solid">
        <fgColor rgb="FFFF0000"/>
        <bgColor indexed="64"/>
      </patternFill>
    </fill>
    <fill>
      <patternFill patternType="solid">
        <fgColor indexed="9"/>
        <bgColor indexed="64"/>
      </patternFill>
    </fill>
    <fill>
      <patternFill patternType="solid">
        <fgColor theme="2" tint="-0.499984740745262"/>
        <bgColor indexed="64"/>
      </patternFill>
    </fill>
    <fill>
      <patternFill patternType="solid">
        <fgColor rgb="FFFFC000"/>
        <bgColor indexed="64"/>
      </patternFill>
    </fill>
    <fill>
      <patternFill patternType="solid">
        <fgColor rgb="FFD9D9D9"/>
        <bgColor rgb="FF000000"/>
      </patternFill>
    </fill>
  </fills>
  <borders count="28">
    <border>
      <left/>
      <right/>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rgb="FF000000"/>
      </right>
      <top/>
      <bottom style="thin">
        <color rgb="FF000000"/>
      </bottom>
      <diagonal/>
    </border>
    <border>
      <left style="thin">
        <color rgb="FF000000"/>
      </left>
      <right style="thin">
        <color indexed="64"/>
      </right>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top style="thin">
        <color rgb="FF000000"/>
      </top>
      <bottom/>
      <diagonal/>
    </border>
    <border>
      <left/>
      <right/>
      <top style="thin">
        <color rgb="FF000000"/>
      </top>
      <bottom/>
      <diagonal/>
    </border>
    <border>
      <left/>
      <right style="thin">
        <color indexed="64"/>
      </right>
      <top style="thin">
        <color rgb="FF000000"/>
      </top>
      <bottom/>
      <diagonal/>
    </border>
  </borders>
  <cellStyleXfs count="4">
    <xf numFmtId="0" fontId="0" fillId="0" borderId="0"/>
    <xf numFmtId="43" fontId="1" fillId="0" borderId="0" applyFont="0" applyFill="0" applyBorder="0" applyAlignment="0" applyProtection="0"/>
    <xf numFmtId="0" fontId="50" fillId="0" borderId="0"/>
    <xf numFmtId="0" fontId="50" fillId="0" borderId="0"/>
  </cellStyleXfs>
  <cellXfs count="467">
    <xf numFmtId="0" fontId="0" fillId="0" borderId="0" xfId="0"/>
    <xf numFmtId="0" fontId="5" fillId="0" borderId="5" xfId="0" applyFont="1" applyBorder="1"/>
    <xf numFmtId="0" fontId="3" fillId="0" borderId="5" xfId="0" applyFont="1" applyBorder="1" applyAlignment="1">
      <alignment horizontal="center" vertical="center"/>
    </xf>
    <xf numFmtId="0" fontId="3" fillId="0" borderId="5" xfId="0" applyFont="1" applyBorder="1" applyAlignment="1">
      <alignment vertical="center"/>
    </xf>
    <xf numFmtId="0" fontId="2" fillId="0" borderId="5" xfId="0" applyFont="1" applyBorder="1" applyAlignment="1">
      <alignment horizontal="center" vertical="center"/>
    </xf>
    <xf numFmtId="0" fontId="5" fillId="2" borderId="5" xfId="0" applyFont="1" applyFill="1" applyBorder="1"/>
    <xf numFmtId="0" fontId="3" fillId="2" borderId="5" xfId="0" applyFont="1" applyFill="1" applyBorder="1" applyAlignment="1">
      <alignment horizontal="center" vertical="center"/>
    </xf>
    <xf numFmtId="0" fontId="3" fillId="5" borderId="5" xfId="0" applyFont="1" applyFill="1" applyBorder="1" applyAlignment="1">
      <alignment horizontal="center" vertical="center"/>
    </xf>
    <xf numFmtId="0" fontId="2" fillId="5" borderId="5" xfId="0" applyFont="1" applyFill="1" applyBorder="1" applyAlignment="1">
      <alignment horizontal="center" vertical="center"/>
    </xf>
    <xf numFmtId="0" fontId="3" fillId="5" borderId="5" xfId="0" applyFont="1" applyFill="1" applyBorder="1" applyAlignment="1">
      <alignment vertical="center"/>
    </xf>
    <xf numFmtId="0" fontId="5" fillId="5" borderId="5" xfId="0" applyFont="1" applyFill="1" applyBorder="1"/>
    <xf numFmtId="0" fontId="3" fillId="2" borderId="5" xfId="0" applyFont="1" applyFill="1" applyBorder="1" applyAlignment="1">
      <alignment vertical="center"/>
    </xf>
    <xf numFmtId="0" fontId="11" fillId="0" borderId="5" xfId="0" applyFont="1" applyBorder="1" applyAlignment="1">
      <alignment horizontal="center" vertical="top"/>
    </xf>
    <xf numFmtId="0" fontId="15" fillId="7" borderId="5" xfId="0" applyFont="1" applyFill="1" applyBorder="1" applyAlignment="1">
      <alignment vertical="center" wrapText="1"/>
    </xf>
    <xf numFmtId="0" fontId="15" fillId="8" borderId="5" xfId="0" applyFont="1" applyFill="1" applyBorder="1" applyAlignment="1">
      <alignment vertical="center" wrapText="1"/>
    </xf>
    <xf numFmtId="0" fontId="9" fillId="8" borderId="5" xfId="0" applyFont="1" applyFill="1" applyBorder="1" applyAlignment="1">
      <alignment vertical="center" wrapText="1"/>
    </xf>
    <xf numFmtId="0" fontId="0" fillId="9" borderId="5" xfId="0" applyFill="1" applyBorder="1"/>
    <xf numFmtId="0" fontId="0" fillId="3" borderId="5" xfId="0" applyFill="1" applyBorder="1"/>
    <xf numFmtId="0" fontId="0" fillId="9" borderId="1" xfId="0" applyFill="1" applyBorder="1"/>
    <xf numFmtId="0" fontId="0" fillId="9" borderId="9" xfId="0" applyFill="1" applyBorder="1"/>
    <xf numFmtId="0" fontId="0" fillId="10" borderId="7" xfId="0" applyFill="1" applyBorder="1"/>
    <xf numFmtId="0" fontId="3" fillId="0" borderId="5" xfId="0" applyFont="1" applyBorder="1" applyAlignment="1">
      <alignment horizontal="center" vertical="top"/>
    </xf>
    <xf numFmtId="0" fontId="3" fillId="0" borderId="5" xfId="0" applyFont="1" applyBorder="1"/>
    <xf numFmtId="0" fontId="10" fillId="0" borderId="5" xfId="0" applyFont="1" applyBorder="1" applyAlignment="1">
      <alignment horizontal="center" vertical="top"/>
    </xf>
    <xf numFmtId="0" fontId="3" fillId="5" borderId="5" xfId="0" applyFont="1" applyFill="1" applyBorder="1" applyAlignment="1">
      <alignment horizontal="left" vertical="center"/>
    </xf>
    <xf numFmtId="0" fontId="9" fillId="5" borderId="5" xfId="0" applyFont="1" applyFill="1" applyBorder="1" applyAlignment="1">
      <alignment horizontal="center" vertical="center"/>
    </xf>
    <xf numFmtId="0" fontId="10" fillId="5" borderId="5" xfId="0" applyFont="1" applyFill="1" applyBorder="1" applyAlignment="1">
      <alignment horizontal="center" vertical="center"/>
    </xf>
    <xf numFmtId="164" fontId="3" fillId="5" borderId="5" xfId="0" applyNumberFormat="1" applyFont="1" applyFill="1" applyBorder="1" applyAlignment="1">
      <alignment horizontal="center" vertical="center"/>
    </xf>
    <xf numFmtId="0" fontId="5" fillId="5" borderId="5" xfId="0" applyFont="1" applyFill="1" applyBorder="1" applyAlignment="1">
      <alignment horizontal="left" vertical="center"/>
    </xf>
    <xf numFmtId="0" fontId="3" fillId="5" borderId="5" xfId="0" applyFont="1" applyFill="1" applyBorder="1" applyAlignment="1">
      <alignment horizontal="center" vertical="top"/>
    </xf>
    <xf numFmtId="0" fontId="3" fillId="5" borderId="5" xfId="0" applyFont="1" applyFill="1" applyBorder="1" applyAlignment="1">
      <alignment horizontal="left" vertical="top"/>
    </xf>
    <xf numFmtId="43" fontId="2" fillId="5" borderId="5" xfId="0" applyNumberFormat="1" applyFont="1" applyFill="1" applyBorder="1" applyAlignment="1">
      <alignment horizontal="center" vertical="top"/>
    </xf>
    <xf numFmtId="0" fontId="2" fillId="5" borderId="5" xfId="0" applyFont="1" applyFill="1" applyBorder="1" applyAlignment="1">
      <alignment horizontal="center" vertical="top"/>
    </xf>
    <xf numFmtId="2" fontId="4" fillId="0" borderId="5" xfId="0" applyNumberFormat="1" applyFont="1" applyBorder="1" applyAlignment="1">
      <alignment horizontal="center" vertical="center"/>
    </xf>
    <xf numFmtId="0" fontId="0" fillId="2" borderId="0" xfId="0" applyFill="1"/>
    <xf numFmtId="0" fontId="0" fillId="9" borderId="3" xfId="0" applyFill="1" applyBorder="1"/>
    <xf numFmtId="0" fontId="0" fillId="9" borderId="10" xfId="0" applyFill="1" applyBorder="1"/>
    <xf numFmtId="0" fontId="15" fillId="8" borderId="6" xfId="0" applyFont="1" applyFill="1" applyBorder="1" applyAlignment="1">
      <alignment vertical="center" wrapText="1"/>
    </xf>
    <xf numFmtId="0" fontId="0" fillId="9" borderId="6" xfId="0" applyFill="1" applyBorder="1"/>
    <xf numFmtId="0" fontId="0" fillId="9" borderId="8" xfId="0" applyFill="1" applyBorder="1"/>
    <xf numFmtId="0" fontId="0" fillId="9" borderId="11" xfId="0" applyFill="1" applyBorder="1"/>
    <xf numFmtId="0" fontId="15" fillId="8" borderId="4" xfId="0" applyFont="1" applyFill="1" applyBorder="1" applyAlignment="1">
      <alignment vertical="center" wrapText="1"/>
    </xf>
    <xf numFmtId="0" fontId="0" fillId="9" borderId="4" xfId="0" applyFill="1" applyBorder="1"/>
    <xf numFmtId="0" fontId="0" fillId="10" borderId="5" xfId="0" applyFill="1" applyBorder="1"/>
    <xf numFmtId="0" fontId="0" fillId="0" borderId="0" xfId="0" pivotButton="1"/>
    <xf numFmtId="164" fontId="3" fillId="5" borderId="5" xfId="1" applyNumberFormat="1" applyFont="1" applyFill="1" applyBorder="1" applyAlignment="1">
      <alignment horizontal="center" vertical="center"/>
    </xf>
    <xf numFmtId="164" fontId="3" fillId="0" borderId="5" xfId="1" applyNumberFormat="1" applyFont="1" applyFill="1" applyBorder="1" applyAlignment="1">
      <alignment horizontal="center" vertical="center"/>
    </xf>
    <xf numFmtId="164" fontId="2" fillId="5" borderId="5" xfId="1" applyNumberFormat="1" applyFont="1" applyFill="1" applyBorder="1" applyAlignment="1">
      <alignment horizontal="center" vertical="center"/>
    </xf>
    <xf numFmtId="164" fontId="3" fillId="6" borderId="5" xfId="1" applyNumberFormat="1" applyFont="1" applyFill="1" applyBorder="1" applyAlignment="1">
      <alignment horizontal="center" vertical="center"/>
    </xf>
    <xf numFmtId="164" fontId="3" fillId="2" borderId="5" xfId="1" applyNumberFormat="1" applyFont="1" applyFill="1" applyBorder="1" applyAlignment="1">
      <alignment horizontal="center" vertical="center"/>
    </xf>
    <xf numFmtId="0" fontId="2" fillId="2" borderId="5" xfId="0" applyFont="1" applyFill="1" applyBorder="1" applyAlignment="1">
      <alignment horizontal="center" vertical="center"/>
    </xf>
    <xf numFmtId="164" fontId="3" fillId="2" borderId="5" xfId="0" applyNumberFormat="1" applyFont="1" applyFill="1" applyBorder="1" applyAlignment="1">
      <alignment horizontal="center" vertical="center"/>
    </xf>
    <xf numFmtId="0" fontId="29" fillId="5" borderId="5" xfId="0" applyFont="1" applyFill="1" applyBorder="1" applyAlignment="1">
      <alignment vertical="center"/>
    </xf>
    <xf numFmtId="0" fontId="29" fillId="5" borderId="5" xfId="0" applyFont="1" applyFill="1" applyBorder="1" applyAlignment="1">
      <alignment horizontal="center" vertical="center"/>
    </xf>
    <xf numFmtId="0" fontId="30" fillId="5" borderId="5" xfId="0" applyFont="1" applyFill="1" applyBorder="1" applyAlignment="1">
      <alignment horizontal="center" vertical="center"/>
    </xf>
    <xf numFmtId="164" fontId="3" fillId="0" borderId="5" xfId="0" applyNumberFormat="1" applyFont="1" applyBorder="1" applyAlignment="1">
      <alignment horizontal="center" vertical="top"/>
    </xf>
    <xf numFmtId="164" fontId="10" fillId="0" borderId="5" xfId="0" applyNumberFormat="1" applyFont="1" applyBorder="1" applyAlignment="1">
      <alignment horizontal="center" vertical="top"/>
    </xf>
    <xf numFmtId="164" fontId="3" fillId="5" borderId="5" xfId="0" applyNumberFormat="1" applyFont="1" applyFill="1" applyBorder="1" applyAlignment="1">
      <alignment horizontal="center" vertical="top"/>
    </xf>
    <xf numFmtId="164" fontId="10" fillId="5" borderId="5" xfId="0" applyNumberFormat="1" applyFont="1" applyFill="1" applyBorder="1" applyAlignment="1">
      <alignment horizontal="center" vertical="top"/>
    </xf>
    <xf numFmtId="0" fontId="3" fillId="5" borderId="5" xfId="0" applyFont="1" applyFill="1" applyBorder="1"/>
    <xf numFmtId="164" fontId="10" fillId="0" borderId="5" xfId="0" applyNumberFormat="1" applyFont="1" applyBorder="1" applyAlignment="1">
      <alignment horizontal="center" vertical="center"/>
    </xf>
    <xf numFmtId="164" fontId="3" fillId="5" borderId="5" xfId="0" applyNumberFormat="1" applyFont="1" applyFill="1" applyBorder="1" applyAlignment="1">
      <alignment horizontal="center"/>
    </xf>
    <xf numFmtId="164" fontId="3" fillId="2" borderId="5" xfId="0" applyNumberFormat="1" applyFont="1" applyFill="1" applyBorder="1" applyAlignment="1">
      <alignment horizontal="center" vertical="top"/>
    </xf>
    <xf numFmtId="164" fontId="3" fillId="2" borderId="5" xfId="0" applyNumberFormat="1" applyFont="1" applyFill="1" applyBorder="1" applyAlignment="1">
      <alignment horizontal="center"/>
    </xf>
    <xf numFmtId="164" fontId="10" fillId="2" borderId="5" xfId="0" applyNumberFormat="1" applyFont="1" applyFill="1" applyBorder="1" applyAlignment="1">
      <alignment horizontal="center" vertical="top"/>
    </xf>
    <xf numFmtId="0" fontId="3" fillId="2" borderId="5" xfId="0" applyFont="1" applyFill="1" applyBorder="1"/>
    <xf numFmtId="164" fontId="13" fillId="2" borderId="5" xfId="0" applyNumberFormat="1" applyFont="1" applyFill="1" applyBorder="1" applyAlignment="1">
      <alignment horizontal="center" vertical="top"/>
    </xf>
    <xf numFmtId="164" fontId="13" fillId="5" borderId="5" xfId="0" applyNumberFormat="1" applyFont="1" applyFill="1" applyBorder="1" applyAlignment="1">
      <alignment horizontal="center" vertical="top"/>
    </xf>
    <xf numFmtId="165" fontId="3" fillId="5" borderId="5" xfId="0" applyNumberFormat="1" applyFont="1" applyFill="1" applyBorder="1" applyAlignment="1">
      <alignment horizontal="center" vertical="top"/>
    </xf>
    <xf numFmtId="165" fontId="10" fillId="5" borderId="5" xfId="0" applyNumberFormat="1" applyFont="1" applyFill="1" applyBorder="1" applyAlignment="1">
      <alignment horizontal="center" vertical="top"/>
    </xf>
    <xf numFmtId="164" fontId="32" fillId="5" borderId="5" xfId="0" applyNumberFormat="1" applyFont="1" applyFill="1" applyBorder="1" applyAlignment="1">
      <alignment horizontal="center" vertical="top"/>
    </xf>
    <xf numFmtId="164" fontId="9" fillId="0" borderId="5" xfId="0" applyNumberFormat="1" applyFont="1" applyBorder="1" applyAlignment="1">
      <alignment horizontal="center" vertical="top"/>
    </xf>
    <xf numFmtId="164" fontId="32" fillId="0" borderId="5" xfId="0" applyNumberFormat="1" applyFont="1" applyBorder="1" applyAlignment="1">
      <alignment horizontal="center" vertical="top"/>
    </xf>
    <xf numFmtId="164" fontId="34" fillId="0" borderId="5" xfId="0" applyNumberFormat="1" applyFont="1" applyBorder="1" applyAlignment="1">
      <alignment horizontal="center" vertical="top"/>
    </xf>
    <xf numFmtId="164" fontId="34" fillId="5" borderId="5" xfId="0" applyNumberFormat="1" applyFont="1" applyFill="1" applyBorder="1" applyAlignment="1">
      <alignment horizontal="center" vertical="top"/>
    </xf>
    <xf numFmtId="164" fontId="36" fillId="0" borderId="5" xfId="0" applyNumberFormat="1" applyFont="1" applyBorder="1" applyAlignment="1">
      <alignment horizontal="center" vertical="top"/>
    </xf>
    <xf numFmtId="164" fontId="16" fillId="5" borderId="5" xfId="0" applyNumberFormat="1" applyFont="1" applyFill="1" applyBorder="1" applyAlignment="1">
      <alignment horizontal="center" vertical="top"/>
    </xf>
    <xf numFmtId="164" fontId="33" fillId="5" borderId="5" xfId="0" applyNumberFormat="1" applyFont="1" applyFill="1" applyBorder="1" applyAlignment="1">
      <alignment horizontal="center" vertical="top"/>
    </xf>
    <xf numFmtId="0" fontId="10" fillId="5" borderId="5" xfId="0" applyFont="1" applyFill="1" applyBorder="1" applyAlignment="1">
      <alignment horizontal="center" vertical="top"/>
    </xf>
    <xf numFmtId="0" fontId="33" fillId="0" borderId="5" xfId="0" applyFont="1" applyBorder="1" applyAlignment="1">
      <alignment horizontal="center" vertical="top"/>
    </xf>
    <xf numFmtId="14" fontId="8" fillId="0" borderId="5" xfId="0" applyNumberFormat="1" applyFont="1" applyBorder="1" applyAlignment="1">
      <alignment horizontal="center" vertical="center" textRotation="90" wrapText="1"/>
    </xf>
    <xf numFmtId="0" fontId="19" fillId="11" borderId="5" xfId="0" applyFont="1" applyFill="1" applyBorder="1" applyAlignment="1">
      <alignment horizontal="center" vertical="center"/>
    </xf>
    <xf numFmtId="0" fontId="18" fillId="11" borderId="5" xfId="0" applyFont="1" applyFill="1" applyBorder="1" applyAlignment="1">
      <alignment horizontal="center" vertical="center"/>
    </xf>
    <xf numFmtId="0" fontId="16" fillId="11" borderId="5" xfId="0" applyFont="1" applyFill="1" applyBorder="1" applyAlignment="1">
      <alignment horizontal="center" vertical="center"/>
    </xf>
    <xf numFmtId="0" fontId="19" fillId="11" borderId="5" xfId="0" applyFont="1" applyFill="1" applyBorder="1" applyAlignment="1">
      <alignment vertical="center"/>
    </xf>
    <xf numFmtId="164" fontId="19" fillId="11" borderId="5" xfId="1" applyNumberFormat="1" applyFont="1" applyFill="1" applyBorder="1" applyAlignment="1">
      <alignment horizontal="center" vertical="center"/>
    </xf>
    <xf numFmtId="0" fontId="23" fillId="11" borderId="5" xfId="0" applyFont="1" applyFill="1" applyBorder="1"/>
    <xf numFmtId="164" fontId="19" fillId="11" borderId="5" xfId="0" applyNumberFormat="1" applyFont="1" applyFill="1" applyBorder="1" applyAlignment="1">
      <alignment horizontal="center" vertical="top"/>
    </xf>
    <xf numFmtId="164" fontId="31" fillId="11" borderId="5" xfId="0" applyNumberFormat="1" applyFont="1" applyFill="1" applyBorder="1" applyAlignment="1">
      <alignment horizontal="center" vertical="top"/>
    </xf>
    <xf numFmtId="0" fontId="19" fillId="11" borderId="5" xfId="0" applyFont="1" applyFill="1" applyBorder="1"/>
    <xf numFmtId="164" fontId="19" fillId="11" borderId="5" xfId="0" applyNumberFormat="1" applyFont="1" applyFill="1" applyBorder="1" applyAlignment="1">
      <alignment horizontal="center"/>
    </xf>
    <xf numFmtId="0" fontId="17" fillId="11" borderId="5" xfId="0" applyFont="1" applyFill="1" applyBorder="1" applyAlignment="1">
      <alignment horizontal="center" vertical="center"/>
    </xf>
    <xf numFmtId="164" fontId="16" fillId="11" borderId="5" xfId="1" applyNumberFormat="1" applyFont="1" applyFill="1" applyBorder="1" applyAlignment="1">
      <alignment horizontal="center" vertical="center"/>
    </xf>
    <xf numFmtId="164" fontId="16" fillId="11" borderId="5" xfId="0" applyNumberFormat="1" applyFont="1" applyFill="1" applyBorder="1" applyAlignment="1">
      <alignment horizontal="center" vertical="center"/>
    </xf>
    <xf numFmtId="164" fontId="16" fillId="11" borderId="5" xfId="0" applyNumberFormat="1" applyFont="1" applyFill="1" applyBorder="1" applyAlignment="1">
      <alignment horizontal="center" vertical="top"/>
    </xf>
    <xf numFmtId="164" fontId="24" fillId="11" borderId="5" xfId="0" applyNumberFormat="1" applyFont="1" applyFill="1" applyBorder="1" applyAlignment="1">
      <alignment horizontal="center" vertical="top"/>
    </xf>
    <xf numFmtId="0" fontId="16" fillId="11" borderId="5" xfId="0" applyFont="1" applyFill="1" applyBorder="1"/>
    <xf numFmtId="0" fontId="20" fillId="11" borderId="5" xfId="0" applyFont="1" applyFill="1" applyBorder="1"/>
    <xf numFmtId="165" fontId="16" fillId="11" borderId="5" xfId="0" applyNumberFormat="1" applyFont="1" applyFill="1" applyBorder="1" applyAlignment="1">
      <alignment horizontal="center" vertical="top"/>
    </xf>
    <xf numFmtId="165" fontId="24" fillId="11" borderId="5" xfId="0" applyNumberFormat="1" applyFont="1" applyFill="1" applyBorder="1" applyAlignment="1">
      <alignment horizontal="center" vertical="top"/>
    </xf>
    <xf numFmtId="0" fontId="5" fillId="11" borderId="5" xfId="0" applyFont="1" applyFill="1" applyBorder="1"/>
    <xf numFmtId="164" fontId="16" fillId="11" borderId="5" xfId="0" applyNumberFormat="1" applyFont="1" applyFill="1" applyBorder="1" applyAlignment="1">
      <alignment horizontal="center"/>
    </xf>
    <xf numFmtId="0" fontId="19" fillId="11" borderId="5" xfId="0" applyFont="1" applyFill="1" applyBorder="1" applyAlignment="1">
      <alignment horizontal="center" vertical="top"/>
    </xf>
    <xf numFmtId="0" fontId="16" fillId="11" borderId="5" xfId="0" applyFont="1" applyFill="1" applyBorder="1" applyAlignment="1">
      <alignment horizontal="center" vertical="top"/>
    </xf>
    <xf numFmtId="0" fontId="24" fillId="11" borderId="5" xfId="0" applyFont="1" applyFill="1" applyBorder="1" applyAlignment="1">
      <alignment horizontal="center" vertical="top"/>
    </xf>
    <xf numFmtId="43" fontId="16" fillId="11" borderId="5" xfId="0" applyNumberFormat="1" applyFont="1" applyFill="1" applyBorder="1" applyAlignment="1">
      <alignment horizontal="center" vertical="center"/>
    </xf>
    <xf numFmtId="167" fontId="26" fillId="12" borderId="5" xfId="0" applyNumberFormat="1" applyFont="1" applyFill="1" applyBorder="1" applyAlignment="1">
      <alignment horizontal="center" vertical="center" wrapText="1"/>
    </xf>
    <xf numFmtId="0" fontId="3" fillId="2" borderId="5" xfId="0" applyFont="1" applyFill="1" applyBorder="1" applyAlignment="1">
      <alignment horizontal="left" vertical="center"/>
    </xf>
    <xf numFmtId="164" fontId="32" fillId="2" borderId="5" xfId="0" applyNumberFormat="1" applyFont="1" applyFill="1" applyBorder="1" applyAlignment="1">
      <alignment horizontal="center" vertical="top"/>
    </xf>
    <xf numFmtId="164" fontId="34" fillId="2" borderId="5" xfId="0" applyNumberFormat="1" applyFont="1" applyFill="1" applyBorder="1" applyAlignment="1">
      <alignment horizontal="center" vertical="top"/>
    </xf>
    <xf numFmtId="164" fontId="33" fillId="2" borderId="5" xfId="0" applyNumberFormat="1" applyFont="1" applyFill="1" applyBorder="1" applyAlignment="1">
      <alignment horizontal="center" vertical="top"/>
    </xf>
    <xf numFmtId="0" fontId="3" fillId="2" borderId="5" xfId="0" applyFont="1" applyFill="1" applyBorder="1" applyAlignment="1">
      <alignment horizontal="center" vertical="top"/>
    </xf>
    <xf numFmtId="0" fontId="10" fillId="2" borderId="5" xfId="0" applyFont="1" applyFill="1" applyBorder="1" applyAlignment="1">
      <alignment horizontal="center" vertical="top"/>
    </xf>
    <xf numFmtId="164" fontId="9" fillId="2" borderId="5" xfId="0" applyNumberFormat="1" applyFont="1" applyFill="1" applyBorder="1" applyAlignment="1">
      <alignment horizontal="center" vertical="top"/>
    </xf>
    <xf numFmtId="0" fontId="5" fillId="2" borderId="5" xfId="0" applyFont="1" applyFill="1" applyBorder="1" applyAlignment="1">
      <alignment horizontal="left" vertical="center"/>
    </xf>
    <xf numFmtId="164" fontId="36" fillId="5" borderId="5" xfId="0" applyNumberFormat="1" applyFont="1" applyFill="1" applyBorder="1" applyAlignment="1">
      <alignment horizontal="center" vertical="top"/>
    </xf>
    <xf numFmtId="0" fontId="5" fillId="0" borderId="0" xfId="0" applyFont="1"/>
    <xf numFmtId="0" fontId="5" fillId="4" borderId="0" xfId="0" applyFont="1" applyFill="1"/>
    <xf numFmtId="0" fontId="2" fillId="0" borderId="0" xfId="0" applyFont="1" applyAlignment="1">
      <alignment horizontal="center" vertical="center"/>
    </xf>
    <xf numFmtId="0" fontId="3" fillId="0" borderId="0" xfId="0" applyFont="1"/>
    <xf numFmtId="0" fontId="3" fillId="0" borderId="0" xfId="0" applyFont="1" applyAlignment="1">
      <alignment horizontal="center" vertical="top"/>
    </xf>
    <xf numFmtId="0" fontId="5" fillId="0" borderId="0" xfId="0" applyFont="1" applyAlignment="1">
      <alignment horizontal="center" vertical="center"/>
    </xf>
    <xf numFmtId="164" fontId="5" fillId="0" borderId="0" xfId="1" applyNumberFormat="1" applyFont="1" applyBorder="1" applyAlignment="1">
      <alignment horizontal="center" vertical="center"/>
    </xf>
    <xf numFmtId="0" fontId="5" fillId="0" borderId="0" xfId="0" applyFont="1" applyAlignment="1">
      <alignment horizontal="center"/>
    </xf>
    <xf numFmtId="0" fontId="10" fillId="0" borderId="0" xfId="0" applyFont="1" applyAlignment="1">
      <alignment horizontal="center" vertical="top"/>
    </xf>
    <xf numFmtId="0" fontId="5" fillId="0" borderId="0" xfId="0" applyFont="1" applyAlignment="1">
      <alignment horizontal="left" vertical="top"/>
    </xf>
    <xf numFmtId="0" fontId="5" fillId="0" borderId="0" xfId="0" applyFont="1" applyAlignment="1">
      <alignment horizontal="center" vertical="top"/>
    </xf>
    <xf numFmtId="0" fontId="3" fillId="0" borderId="0" xfId="0" applyFont="1" applyAlignment="1">
      <alignment horizontal="center"/>
    </xf>
    <xf numFmtId="164" fontId="3" fillId="5" borderId="5" xfId="0" applyNumberFormat="1" applyFont="1" applyFill="1" applyBorder="1" applyAlignment="1">
      <alignment horizontal="center" vertical="top" wrapText="1"/>
    </xf>
    <xf numFmtId="0" fontId="30" fillId="2" borderId="5" xfId="0" applyFont="1" applyFill="1" applyBorder="1" applyAlignment="1">
      <alignment horizontal="center" vertical="center"/>
    </xf>
    <xf numFmtId="0" fontId="29" fillId="2" borderId="5" xfId="0" applyFont="1" applyFill="1" applyBorder="1" applyAlignment="1">
      <alignment horizontal="center" vertical="center"/>
    </xf>
    <xf numFmtId="0" fontId="29" fillId="2" borderId="5" xfId="0" applyFont="1" applyFill="1" applyBorder="1" applyAlignment="1">
      <alignment vertical="center"/>
    </xf>
    <xf numFmtId="0" fontId="6" fillId="2" borderId="12" xfId="0" applyFont="1" applyFill="1" applyBorder="1" applyAlignment="1">
      <alignment vertical="center"/>
    </xf>
    <xf numFmtId="0" fontId="6" fillId="2" borderId="2" xfId="0" applyFont="1" applyFill="1" applyBorder="1" applyAlignment="1">
      <alignment vertical="center"/>
    </xf>
    <xf numFmtId="164" fontId="35" fillId="5" borderId="5" xfId="0" applyNumberFormat="1" applyFont="1" applyFill="1" applyBorder="1" applyAlignment="1">
      <alignment horizontal="center" vertical="top"/>
    </xf>
    <xf numFmtId="0" fontId="20" fillId="5" borderId="5" xfId="0" applyFont="1" applyFill="1" applyBorder="1"/>
    <xf numFmtId="0" fontId="9" fillId="5" borderId="5" xfId="0" applyFont="1" applyFill="1" applyBorder="1" applyAlignment="1">
      <alignment vertical="center"/>
    </xf>
    <xf numFmtId="0" fontId="16" fillId="5" borderId="5" xfId="0" applyFont="1" applyFill="1" applyBorder="1"/>
    <xf numFmtId="0" fontId="3" fillId="11" borderId="5" xfId="0" applyFont="1" applyFill="1" applyBorder="1"/>
    <xf numFmtId="0" fontId="39" fillId="11" borderId="5"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5" xfId="0" applyFont="1" applyFill="1" applyBorder="1" applyAlignment="1">
      <alignment horizontal="center"/>
    </xf>
    <xf numFmtId="164" fontId="2" fillId="2" borderId="5" xfId="1" applyNumberFormat="1" applyFont="1" applyFill="1" applyBorder="1" applyAlignment="1">
      <alignment horizontal="center" vertical="center"/>
    </xf>
    <xf numFmtId="164" fontId="9" fillId="5" borderId="5" xfId="0" applyNumberFormat="1" applyFont="1" applyFill="1" applyBorder="1" applyAlignment="1">
      <alignment horizontal="center" vertical="top"/>
    </xf>
    <xf numFmtId="164" fontId="37" fillId="5" borderId="5" xfId="0" applyNumberFormat="1" applyFont="1" applyFill="1" applyBorder="1" applyAlignment="1">
      <alignment horizontal="center" vertical="top"/>
    </xf>
    <xf numFmtId="43" fontId="2" fillId="0" borderId="5" xfId="0" applyNumberFormat="1" applyFont="1" applyBorder="1" applyAlignment="1">
      <alignment horizontal="center" vertical="center"/>
    </xf>
    <xf numFmtId="43" fontId="2" fillId="5" borderId="5" xfId="0" applyNumberFormat="1" applyFont="1" applyFill="1" applyBorder="1" applyAlignment="1">
      <alignment horizontal="center" vertical="center"/>
    </xf>
    <xf numFmtId="43" fontId="2" fillId="2" borderId="5" xfId="0" applyNumberFormat="1" applyFont="1" applyFill="1" applyBorder="1" applyAlignment="1">
      <alignment horizontal="center" vertical="center"/>
    </xf>
    <xf numFmtId="43" fontId="30" fillId="5" borderId="5" xfId="0" applyNumberFormat="1" applyFont="1" applyFill="1" applyBorder="1" applyAlignment="1">
      <alignment horizontal="center" vertical="center"/>
    </xf>
    <xf numFmtId="43" fontId="30" fillId="2" borderId="5" xfId="0" applyNumberFormat="1" applyFont="1" applyFill="1" applyBorder="1" applyAlignment="1">
      <alignment horizontal="center" vertical="center"/>
    </xf>
    <xf numFmtId="0" fontId="7" fillId="5" borderId="5" xfId="0" applyFont="1" applyFill="1" applyBorder="1" applyAlignment="1">
      <alignment horizontal="center" vertical="center"/>
    </xf>
    <xf numFmtId="0" fontId="25" fillId="9" borderId="4" xfId="0" applyFont="1" applyFill="1" applyBorder="1"/>
    <xf numFmtId="0" fontId="25" fillId="9" borderId="5" xfId="0" applyFont="1" applyFill="1" applyBorder="1"/>
    <xf numFmtId="164" fontId="3" fillId="0" borderId="5" xfId="0" applyNumberFormat="1" applyFont="1" applyBorder="1" applyAlignment="1">
      <alignment horizontal="center"/>
    </xf>
    <xf numFmtId="0" fontId="3" fillId="0" borderId="5" xfId="0" applyFont="1" applyBorder="1" applyAlignment="1">
      <alignment horizontal="center"/>
    </xf>
    <xf numFmtId="0" fontId="19" fillId="11" borderId="5" xfId="0" applyFont="1" applyFill="1" applyBorder="1" applyAlignment="1">
      <alignment horizontal="center"/>
    </xf>
    <xf numFmtId="0" fontId="3" fillId="5" borderId="5" xfId="0" applyFont="1" applyFill="1" applyBorder="1" applyAlignment="1">
      <alignment horizontal="center"/>
    </xf>
    <xf numFmtId="164" fontId="10" fillId="0" borderId="5" xfId="0" applyNumberFormat="1" applyFont="1" applyBorder="1" applyAlignment="1">
      <alignment horizontal="center"/>
    </xf>
    <xf numFmtId="0" fontId="3" fillId="2" borderId="5" xfId="0" applyFont="1" applyFill="1" applyBorder="1" applyAlignment="1">
      <alignment horizontal="center"/>
    </xf>
    <xf numFmtId="164" fontId="10" fillId="2" borderId="5" xfId="0" applyNumberFormat="1" applyFont="1" applyFill="1" applyBorder="1" applyAlignment="1">
      <alignment horizontal="center"/>
    </xf>
    <xf numFmtId="164" fontId="10" fillId="5" borderId="5" xfId="0" applyNumberFormat="1" applyFont="1" applyFill="1" applyBorder="1" applyAlignment="1">
      <alignment horizontal="center"/>
    </xf>
    <xf numFmtId="0" fontId="16" fillId="11" borderId="5" xfId="0" applyFont="1" applyFill="1" applyBorder="1" applyAlignment="1">
      <alignment horizontal="center"/>
    </xf>
    <xf numFmtId="165" fontId="16" fillId="11" borderId="5" xfId="0" applyNumberFormat="1" applyFont="1" applyFill="1" applyBorder="1" applyAlignment="1">
      <alignment horizontal="center"/>
    </xf>
    <xf numFmtId="165" fontId="3" fillId="5" borderId="5" xfId="0" applyNumberFormat="1" applyFont="1" applyFill="1" applyBorder="1" applyAlignment="1">
      <alignment horizontal="center"/>
    </xf>
    <xf numFmtId="164" fontId="33" fillId="5" borderId="5" xfId="0" applyNumberFormat="1" applyFont="1" applyFill="1" applyBorder="1" applyAlignment="1">
      <alignment horizontal="center"/>
    </xf>
    <xf numFmtId="164" fontId="33" fillId="2" borderId="5" xfId="0" applyNumberFormat="1" applyFont="1" applyFill="1" applyBorder="1" applyAlignment="1">
      <alignment horizontal="center"/>
    </xf>
    <xf numFmtId="0" fontId="33" fillId="5" borderId="5" xfId="0" applyFont="1" applyFill="1" applyBorder="1" applyAlignment="1">
      <alignment horizontal="center"/>
    </xf>
    <xf numFmtId="164" fontId="8" fillId="11" borderId="5" xfId="0" applyNumberFormat="1" applyFont="1" applyFill="1" applyBorder="1" applyAlignment="1">
      <alignment horizontal="center" vertical="center"/>
    </xf>
    <xf numFmtId="164" fontId="8" fillId="0" borderId="5" xfId="0" applyNumberFormat="1" applyFont="1" applyBorder="1" applyAlignment="1">
      <alignment horizontal="center" vertical="center"/>
    </xf>
    <xf numFmtId="164" fontId="8" fillId="5" borderId="5" xfId="0" applyNumberFormat="1" applyFont="1" applyFill="1" applyBorder="1" applyAlignment="1">
      <alignment horizontal="center" vertical="center"/>
    </xf>
    <xf numFmtId="164" fontId="8" fillId="2" borderId="5" xfId="0" applyNumberFormat="1" applyFont="1" applyFill="1" applyBorder="1" applyAlignment="1">
      <alignment horizontal="center" vertical="center"/>
    </xf>
    <xf numFmtId="164" fontId="3" fillId="14" borderId="5" xfId="0" applyNumberFormat="1" applyFont="1" applyFill="1" applyBorder="1" applyAlignment="1">
      <alignment horizontal="center" vertical="top"/>
    </xf>
    <xf numFmtId="0" fontId="40" fillId="0" borderId="0" xfId="0" applyFont="1" applyAlignment="1">
      <alignment horizontal="center" vertical="center"/>
    </xf>
    <xf numFmtId="0" fontId="14" fillId="15" borderId="5" xfId="0" applyFont="1" applyFill="1" applyBorder="1" applyAlignment="1">
      <alignment horizontal="center" vertical="center"/>
    </xf>
    <xf numFmtId="0" fontId="14" fillId="15" borderId="5" xfId="0" applyFont="1" applyFill="1" applyBorder="1" applyAlignment="1">
      <alignment horizontal="center" vertical="center" wrapText="1"/>
    </xf>
    <xf numFmtId="0" fontId="0" fillId="0" borderId="5" xfId="0" applyBorder="1"/>
    <xf numFmtId="14" fontId="0" fillId="0" borderId="5" xfId="0" applyNumberFormat="1" applyBorder="1"/>
    <xf numFmtId="0" fontId="28" fillId="9" borderId="4" xfId="0" applyFont="1" applyFill="1" applyBorder="1"/>
    <xf numFmtId="0" fontId="14" fillId="8" borderId="5" xfId="0" applyFont="1" applyFill="1" applyBorder="1" applyAlignment="1">
      <alignment horizontal="center" vertical="center"/>
    </xf>
    <xf numFmtId="0" fontId="27" fillId="2" borderId="0" xfId="0" applyFont="1" applyFill="1" applyAlignment="1">
      <alignment vertical="center"/>
    </xf>
    <xf numFmtId="0" fontId="25" fillId="2" borderId="0" xfId="0" applyFont="1" applyFill="1" applyAlignment="1">
      <alignment horizontal="right" vertical="center"/>
    </xf>
    <xf numFmtId="0" fontId="27" fillId="2" borderId="0" xfId="0" applyFont="1" applyFill="1" applyAlignment="1">
      <alignment horizontal="left" vertical="top"/>
    </xf>
    <xf numFmtId="0" fontId="25" fillId="2" borderId="5" xfId="0" applyFont="1" applyFill="1" applyBorder="1" applyAlignment="1">
      <alignment horizontal="right" vertical="center"/>
    </xf>
    <xf numFmtId="0" fontId="43" fillId="0" borderId="5" xfId="0" applyFont="1" applyBorder="1" applyAlignment="1">
      <alignment horizontal="center" vertical="center"/>
    </xf>
    <xf numFmtId="0" fontId="12" fillId="2" borderId="5" xfId="0" applyFont="1" applyFill="1" applyBorder="1" applyAlignment="1">
      <alignment horizontal="center" vertical="center"/>
    </xf>
    <xf numFmtId="0" fontId="43" fillId="9" borderId="4" xfId="0" applyFont="1" applyFill="1" applyBorder="1"/>
    <xf numFmtId="0" fontId="43" fillId="9" borderId="5" xfId="0" applyFont="1" applyFill="1" applyBorder="1"/>
    <xf numFmtId="0" fontId="5" fillId="2" borderId="0" xfId="0" applyFont="1" applyFill="1" applyAlignment="1">
      <alignment horizontal="center" vertical="center"/>
    </xf>
    <xf numFmtId="0" fontId="5" fillId="2" borderId="0" xfId="0" applyFont="1" applyFill="1"/>
    <xf numFmtId="164" fontId="3" fillId="5" borderId="5" xfId="1" applyNumberFormat="1" applyFont="1" applyFill="1" applyBorder="1" applyAlignment="1">
      <alignment horizontal="center" vertical="top"/>
    </xf>
    <xf numFmtId="14" fontId="0" fillId="9" borderId="5" xfId="0" applyNumberFormat="1" applyFill="1" applyBorder="1"/>
    <xf numFmtId="164" fontId="0" fillId="9" borderId="5" xfId="0" applyNumberFormat="1" applyFill="1" applyBorder="1"/>
    <xf numFmtId="2" fontId="0" fillId="9" borderId="5" xfId="0" applyNumberFormat="1" applyFill="1" applyBorder="1"/>
    <xf numFmtId="0" fontId="41" fillId="8" borderId="5" xfId="0" applyFont="1" applyFill="1" applyBorder="1" applyAlignment="1">
      <alignment horizontal="center" wrapText="1"/>
    </xf>
    <xf numFmtId="0" fontId="45" fillId="9" borderId="5" xfId="0" applyFont="1" applyFill="1" applyBorder="1"/>
    <xf numFmtId="0" fontId="44" fillId="9" borderId="5" xfId="0" applyFont="1" applyFill="1" applyBorder="1"/>
    <xf numFmtId="0" fontId="5" fillId="9" borderId="5" xfId="0" applyFont="1" applyFill="1" applyBorder="1"/>
    <xf numFmtId="0" fontId="12" fillId="9" borderId="5" xfId="0" applyFont="1" applyFill="1" applyBorder="1"/>
    <xf numFmtId="164" fontId="0" fillId="0" borderId="5" xfId="0" applyNumberFormat="1" applyBorder="1"/>
    <xf numFmtId="0" fontId="46" fillId="9" borderId="5" xfId="0" applyFont="1" applyFill="1" applyBorder="1"/>
    <xf numFmtId="0" fontId="44" fillId="2" borderId="5" xfId="0" applyFont="1" applyFill="1" applyBorder="1" applyAlignment="1">
      <alignment horizontal="center" vertical="center"/>
    </xf>
    <xf numFmtId="0" fontId="47" fillId="9" borderId="4" xfId="0" applyFont="1" applyFill="1" applyBorder="1"/>
    <xf numFmtId="168" fontId="8" fillId="0" borderId="5" xfId="0" applyNumberFormat="1" applyFont="1" applyBorder="1" applyAlignment="1">
      <alignment horizontal="center" vertical="center"/>
    </xf>
    <xf numFmtId="168" fontId="8" fillId="11" borderId="5" xfId="0" applyNumberFormat="1" applyFont="1" applyFill="1" applyBorder="1" applyAlignment="1">
      <alignment horizontal="center" vertical="center"/>
    </xf>
    <xf numFmtId="168" fontId="8" fillId="5" borderId="5" xfId="0" applyNumberFormat="1" applyFont="1" applyFill="1" applyBorder="1" applyAlignment="1">
      <alignment horizontal="center" vertical="center"/>
    </xf>
    <xf numFmtId="168" fontId="8" fillId="2" borderId="5" xfId="0" applyNumberFormat="1" applyFont="1" applyFill="1" applyBorder="1" applyAlignment="1">
      <alignment horizontal="center" vertical="center"/>
    </xf>
    <xf numFmtId="168" fontId="40" fillId="0" borderId="0" xfId="0" applyNumberFormat="1" applyFont="1" applyAlignment="1">
      <alignment horizontal="center" vertical="center"/>
    </xf>
    <xf numFmtId="0" fontId="47" fillId="9" borderId="5" xfId="0" applyFont="1" applyFill="1" applyBorder="1"/>
    <xf numFmtId="0" fontId="45" fillId="9" borderId="4" xfId="0" applyFont="1" applyFill="1" applyBorder="1"/>
    <xf numFmtId="0" fontId="44" fillId="3" borderId="5" xfId="0" applyFont="1" applyFill="1" applyBorder="1"/>
    <xf numFmtId="0" fontId="0" fillId="6" borderId="5" xfId="0" applyFill="1" applyBorder="1"/>
    <xf numFmtId="0" fontId="3" fillId="14" borderId="5" xfId="0" applyFont="1" applyFill="1" applyBorder="1" applyAlignment="1">
      <alignment horizontal="center" vertical="top"/>
    </xf>
    <xf numFmtId="0" fontId="3" fillId="2" borderId="12" xfId="0" applyFont="1" applyFill="1" applyBorder="1" applyAlignment="1">
      <alignment horizontal="center" vertical="top"/>
    </xf>
    <xf numFmtId="0" fontId="3" fillId="2" borderId="12" xfId="0" applyFont="1" applyFill="1" applyBorder="1" applyAlignment="1">
      <alignment vertical="top"/>
    </xf>
    <xf numFmtId="0" fontId="3" fillId="2" borderId="11" xfId="0" applyFont="1" applyFill="1" applyBorder="1" applyAlignment="1">
      <alignment vertical="top"/>
    </xf>
    <xf numFmtId="16" fontId="8" fillId="0" borderId="4" xfId="0" applyNumberFormat="1" applyFont="1" applyBorder="1" applyAlignment="1">
      <alignment horizontal="center" vertical="center" textRotation="90" wrapText="1"/>
    </xf>
    <xf numFmtId="0" fontId="8" fillId="0" borderId="4" xfId="0" applyFont="1" applyBorder="1" applyAlignment="1">
      <alignment horizontal="center" vertical="center" textRotation="90" wrapText="1"/>
    </xf>
    <xf numFmtId="164" fontId="8" fillId="0" borderId="4" xfId="0" applyNumberFormat="1" applyFont="1" applyBorder="1" applyAlignment="1">
      <alignment horizontal="center" vertical="center" textRotation="90" wrapText="1"/>
    </xf>
    <xf numFmtId="164" fontId="8" fillId="16" borderId="5" xfId="0" applyNumberFormat="1" applyFont="1" applyFill="1" applyBorder="1" applyAlignment="1">
      <alignment horizontal="center" vertical="center"/>
    </xf>
    <xf numFmtId="164" fontId="8" fillId="11" borderId="5" xfId="1" applyNumberFormat="1" applyFont="1" applyFill="1" applyBorder="1" applyAlignment="1">
      <alignment horizontal="center" vertical="center"/>
    </xf>
    <xf numFmtId="164" fontId="3" fillId="11" borderId="5" xfId="1" applyNumberFormat="1" applyFont="1" applyFill="1" applyBorder="1" applyAlignment="1">
      <alignment horizontal="center" vertical="center"/>
    </xf>
    <xf numFmtId="164" fontId="3" fillId="11" borderId="5" xfId="0" applyNumberFormat="1" applyFont="1" applyFill="1" applyBorder="1" applyAlignment="1">
      <alignment horizontal="center" vertical="center"/>
    </xf>
    <xf numFmtId="0" fontId="28" fillId="0" borderId="7" xfId="0" applyFont="1" applyBorder="1" applyAlignment="1">
      <alignment horizontal="center" vertical="center"/>
    </xf>
    <xf numFmtId="0" fontId="25" fillId="2" borderId="7" xfId="0" applyFont="1" applyFill="1" applyBorder="1" applyAlignment="1">
      <alignment horizontal="center" vertical="center"/>
    </xf>
    <xf numFmtId="0" fontId="44" fillId="9" borderId="4" xfId="0" applyFont="1" applyFill="1" applyBorder="1"/>
    <xf numFmtId="0" fontId="26" fillId="12" borderId="5" xfId="0" applyFont="1" applyFill="1" applyBorder="1" applyAlignment="1">
      <alignment horizontal="center" vertical="center"/>
    </xf>
    <xf numFmtId="167" fontId="26" fillId="13" borderId="5" xfId="0" applyNumberFormat="1" applyFont="1" applyFill="1" applyBorder="1" applyAlignment="1">
      <alignment horizontal="center" vertical="center" wrapText="1"/>
    </xf>
    <xf numFmtId="164" fontId="48" fillId="16" borderId="5" xfId="0" applyNumberFormat="1" applyFont="1" applyFill="1" applyBorder="1" applyAlignment="1">
      <alignment horizontal="center" vertical="center"/>
    </xf>
    <xf numFmtId="0" fontId="9" fillId="14" borderId="5" xfId="0" applyFont="1" applyFill="1" applyBorder="1" applyAlignment="1">
      <alignment horizontal="center" vertical="top"/>
    </xf>
    <xf numFmtId="168" fontId="0" fillId="0" borderId="0" xfId="0" applyNumberFormat="1" applyAlignment="1">
      <alignment horizontal="left"/>
    </xf>
    <xf numFmtId="0" fontId="51" fillId="17" borderId="0" xfId="2" applyFont="1" applyFill="1"/>
    <xf numFmtId="164" fontId="51" fillId="17" borderId="0" xfId="2" applyNumberFormat="1" applyFont="1" applyFill="1"/>
    <xf numFmtId="2" fontId="51" fillId="17" borderId="0" xfId="2" applyNumberFormat="1" applyFont="1" applyFill="1"/>
    <xf numFmtId="169" fontId="51" fillId="17" borderId="0" xfId="2" applyNumberFormat="1" applyFont="1" applyFill="1"/>
    <xf numFmtId="0" fontId="54" fillId="17" borderId="0" xfId="3" applyFont="1" applyFill="1" applyAlignment="1">
      <alignment vertical="center"/>
    </xf>
    <xf numFmtId="1" fontId="52" fillId="17" borderId="0" xfId="3" applyNumberFormat="1" applyFont="1" applyFill="1"/>
    <xf numFmtId="2" fontId="53" fillId="2" borderId="0" xfId="3" applyNumberFormat="1" applyFont="1" applyFill="1"/>
    <xf numFmtId="2" fontId="49" fillId="2" borderId="0" xfId="3" applyNumberFormat="1" applyFont="1" applyFill="1"/>
    <xf numFmtId="2" fontId="54" fillId="2" borderId="0" xfId="3" applyNumberFormat="1" applyFont="1" applyFill="1"/>
    <xf numFmtId="2" fontId="51" fillId="2" borderId="0" xfId="2" applyNumberFormat="1" applyFont="1" applyFill="1"/>
    <xf numFmtId="2" fontId="18" fillId="2" borderId="0" xfId="2" applyNumberFormat="1" applyFont="1" applyFill="1" applyAlignment="1">
      <alignment horizontal="center"/>
    </xf>
    <xf numFmtId="0" fontId="54" fillId="2" borderId="0" xfId="3" applyFont="1" applyFill="1" applyAlignment="1">
      <alignment vertical="center"/>
    </xf>
    <xf numFmtId="169" fontId="51" fillId="2" borderId="0" xfId="3" applyNumberFormat="1" applyFont="1" applyFill="1" applyAlignment="1">
      <alignment horizontal="left"/>
    </xf>
    <xf numFmtId="1" fontId="52" fillId="2" borderId="0" xfId="3" applyNumberFormat="1" applyFont="1" applyFill="1" applyAlignment="1">
      <alignment horizontal="center"/>
    </xf>
    <xf numFmtId="1" fontId="52" fillId="2" borderId="0" xfId="3" applyNumberFormat="1" applyFont="1" applyFill="1"/>
    <xf numFmtId="164" fontId="49" fillId="2" borderId="5" xfId="3" applyNumberFormat="1" applyFont="1" applyFill="1" applyBorder="1" applyAlignment="1">
      <alignment horizontal="center"/>
    </xf>
    <xf numFmtId="2" fontId="49" fillId="2" borderId="5" xfId="3" applyNumberFormat="1" applyFont="1" applyFill="1" applyBorder="1" applyAlignment="1">
      <alignment horizontal="center"/>
    </xf>
    <xf numFmtId="169" fontId="3" fillId="2" borderId="5" xfId="3" applyNumberFormat="1" applyFont="1" applyFill="1" applyBorder="1" applyAlignment="1">
      <alignment horizontal="left"/>
    </xf>
    <xf numFmtId="169" fontId="8" fillId="2" borderId="5" xfId="3" applyNumberFormat="1" applyFont="1" applyFill="1" applyBorder="1" applyAlignment="1">
      <alignment horizontal="left"/>
    </xf>
    <xf numFmtId="169" fontId="3" fillId="17" borderId="5" xfId="2" applyNumberFormat="1" applyFont="1" applyFill="1" applyBorder="1"/>
    <xf numFmtId="169" fontId="3" fillId="17" borderId="0" xfId="2" applyNumberFormat="1" applyFont="1" applyFill="1"/>
    <xf numFmtId="164" fontId="51" fillId="17" borderId="0" xfId="2" applyNumberFormat="1" applyFont="1" applyFill="1" applyAlignment="1">
      <alignment horizontal="center"/>
    </xf>
    <xf numFmtId="2" fontId="51" fillId="17" borderId="0" xfId="2" applyNumberFormat="1" applyFont="1" applyFill="1" applyAlignment="1">
      <alignment horizontal="center"/>
    </xf>
    <xf numFmtId="0" fontId="38" fillId="2" borderId="0" xfId="0" applyFont="1" applyFill="1" applyAlignment="1">
      <alignment vertical="center"/>
    </xf>
    <xf numFmtId="0" fontId="45" fillId="3" borderId="5" xfId="0" applyFont="1" applyFill="1" applyBorder="1"/>
    <xf numFmtId="0" fontId="56" fillId="9" borderId="5" xfId="0" applyFont="1" applyFill="1" applyBorder="1"/>
    <xf numFmtId="169" fontId="40" fillId="17" borderId="5" xfId="2" applyNumberFormat="1" applyFont="1" applyFill="1" applyBorder="1"/>
    <xf numFmtId="169" fontId="40" fillId="18" borderId="13" xfId="2" applyNumberFormat="1" applyFont="1" applyFill="1" applyBorder="1"/>
    <xf numFmtId="169" fontId="40" fillId="18" borderId="9" xfId="2" applyNumberFormat="1" applyFont="1" applyFill="1" applyBorder="1"/>
    <xf numFmtId="164" fontId="29" fillId="17" borderId="5" xfId="2" applyNumberFormat="1" applyFont="1" applyFill="1" applyBorder="1" applyAlignment="1">
      <alignment horizontal="center"/>
    </xf>
    <xf numFmtId="2" fontId="29" fillId="17" borderId="5" xfId="2" applyNumberFormat="1" applyFont="1" applyFill="1" applyBorder="1" applyAlignment="1">
      <alignment horizontal="center"/>
    </xf>
    <xf numFmtId="169" fontId="28" fillId="17" borderId="0" xfId="2" applyNumberFormat="1" applyFont="1" applyFill="1"/>
    <xf numFmtId="164" fontId="28" fillId="17" borderId="0" xfId="2" applyNumberFormat="1" applyFont="1" applyFill="1" applyAlignment="1">
      <alignment horizontal="center"/>
    </xf>
    <xf numFmtId="169" fontId="26" fillId="18" borderId="5" xfId="2" applyNumberFormat="1" applyFont="1" applyFill="1" applyBorder="1" applyAlignment="1">
      <alignment horizontal="center" vertical="center"/>
    </xf>
    <xf numFmtId="164" fontId="26" fillId="18" borderId="5" xfId="2" applyNumberFormat="1" applyFont="1" applyFill="1" applyBorder="1" applyAlignment="1">
      <alignment horizontal="center" vertical="center"/>
    </xf>
    <xf numFmtId="2" fontId="26" fillId="18" borderId="5" xfId="2" applyNumberFormat="1" applyFont="1" applyFill="1" applyBorder="1" applyAlignment="1">
      <alignment horizontal="center" vertical="center"/>
    </xf>
    <xf numFmtId="164" fontId="48" fillId="5" borderId="5" xfId="0" applyNumberFormat="1" applyFont="1" applyFill="1" applyBorder="1" applyAlignment="1">
      <alignment horizontal="center" vertical="center"/>
    </xf>
    <xf numFmtId="0" fontId="47" fillId="9" borderId="6" xfId="0" applyFont="1" applyFill="1" applyBorder="1"/>
    <xf numFmtId="0" fontId="25" fillId="9" borderId="6" xfId="0" applyFont="1" applyFill="1" applyBorder="1"/>
    <xf numFmtId="2" fontId="0" fillId="0" borderId="5" xfId="0" applyNumberFormat="1" applyBorder="1"/>
    <xf numFmtId="164" fontId="10" fillId="2" borderId="5" xfId="0" applyNumberFormat="1" applyFont="1" applyFill="1" applyBorder="1" applyAlignment="1">
      <alignment horizontal="center" vertical="top" wrapText="1"/>
    </xf>
    <xf numFmtId="164" fontId="48" fillId="2" borderId="5" xfId="0" applyNumberFormat="1" applyFont="1" applyFill="1" applyBorder="1" applyAlignment="1">
      <alignment horizontal="center" vertical="center"/>
    </xf>
    <xf numFmtId="0" fontId="0" fillId="0" borderId="0" xfId="0" applyAlignment="1">
      <alignment horizontal="left"/>
    </xf>
    <xf numFmtId="168" fontId="0" fillId="0" borderId="0" xfId="0" applyNumberFormat="1"/>
    <xf numFmtId="0" fontId="5" fillId="3" borderId="5" xfId="0" applyFont="1" applyFill="1" applyBorder="1"/>
    <xf numFmtId="0" fontId="10" fillId="5" borderId="5" xfId="0" applyFont="1" applyFill="1" applyBorder="1" applyAlignment="1">
      <alignment horizontal="center"/>
    </xf>
    <xf numFmtId="0" fontId="43" fillId="3" borderId="5" xfId="0" applyFont="1" applyFill="1" applyBorder="1"/>
    <xf numFmtId="164" fontId="3" fillId="16" borderId="5" xfId="1" applyNumberFormat="1" applyFont="1" applyFill="1" applyBorder="1" applyAlignment="1">
      <alignment horizontal="center" vertical="center"/>
    </xf>
    <xf numFmtId="0" fontId="38" fillId="2" borderId="0" xfId="0" applyFont="1" applyFill="1" applyAlignment="1">
      <alignment horizontal="right" vertical="center"/>
    </xf>
    <xf numFmtId="0" fontId="38" fillId="2" borderId="2" xfId="0" applyFont="1" applyFill="1" applyBorder="1" applyAlignment="1">
      <alignment horizontal="right" vertical="center"/>
    </xf>
    <xf numFmtId="0" fontId="57" fillId="11" borderId="5" xfId="0" applyFont="1" applyFill="1" applyBorder="1" applyAlignment="1">
      <alignment horizontal="center" vertical="center"/>
    </xf>
    <xf numFmtId="0" fontId="58" fillId="0" borderId="5" xfId="0" applyFont="1" applyBorder="1" applyAlignment="1">
      <alignment horizontal="center" vertical="center"/>
    </xf>
    <xf numFmtId="0" fontId="58" fillId="5" borderId="5" xfId="0" applyFont="1" applyFill="1" applyBorder="1" applyAlignment="1">
      <alignment horizontal="center" vertical="center"/>
    </xf>
    <xf numFmtId="0" fontId="59" fillId="0" borderId="5" xfId="0" applyFont="1" applyBorder="1" applyAlignment="1">
      <alignment horizontal="center" vertical="center"/>
    </xf>
    <xf numFmtId="0" fontId="58" fillId="2" borderId="5" xfId="0" applyFont="1" applyFill="1" applyBorder="1" applyAlignment="1">
      <alignment horizontal="center" vertical="center"/>
    </xf>
    <xf numFmtId="0" fontId="59" fillId="5" borderId="5" xfId="0" applyFont="1" applyFill="1" applyBorder="1" applyAlignment="1">
      <alignment horizontal="center" vertical="center"/>
    </xf>
    <xf numFmtId="0" fontId="58" fillId="5" borderId="5" xfId="0" applyFont="1" applyFill="1" applyBorder="1" applyAlignment="1">
      <alignment horizontal="center" vertical="top" wrapText="1"/>
    </xf>
    <xf numFmtId="0" fontId="59" fillId="2" borderId="5" xfId="0" applyFont="1" applyFill="1" applyBorder="1" applyAlignment="1">
      <alignment horizontal="center" vertical="center"/>
    </xf>
    <xf numFmtId="0" fontId="60" fillId="11" borderId="5" xfId="0" applyFont="1" applyFill="1" applyBorder="1" applyAlignment="1">
      <alignment horizontal="center" vertical="center"/>
    </xf>
    <xf numFmtId="169" fontId="61" fillId="17" borderId="5" xfId="2" applyNumberFormat="1" applyFont="1" applyFill="1" applyBorder="1"/>
    <xf numFmtId="169" fontId="62" fillId="17" borderId="5" xfId="2" applyNumberFormat="1" applyFont="1" applyFill="1" applyBorder="1"/>
    <xf numFmtId="14" fontId="12" fillId="2" borderId="0" xfId="0" applyNumberFormat="1" applyFont="1" applyFill="1" applyAlignment="1">
      <alignment vertical="center"/>
    </xf>
    <xf numFmtId="0" fontId="3" fillId="2" borderId="0" xfId="0" applyFont="1" applyFill="1" applyAlignment="1">
      <alignment horizontal="center" vertical="top"/>
    </xf>
    <xf numFmtId="0" fontId="3" fillId="2" borderId="0" xfId="0" applyFont="1" applyFill="1" applyAlignment="1">
      <alignment vertical="center"/>
    </xf>
    <xf numFmtId="166" fontId="3" fillId="2" borderId="0" xfId="1" applyNumberFormat="1" applyFont="1" applyFill="1" applyBorder="1" applyAlignment="1">
      <alignment vertical="center"/>
    </xf>
    <xf numFmtId="0" fontId="29" fillId="2" borderId="0" xfId="0" applyFont="1" applyFill="1" applyAlignment="1">
      <alignment vertical="center"/>
    </xf>
    <xf numFmtId="0" fontId="3" fillId="2" borderId="0" xfId="0" applyFont="1" applyFill="1" applyAlignment="1">
      <alignment horizontal="center" vertical="center"/>
    </xf>
    <xf numFmtId="166" fontId="3" fillId="2" borderId="0" xfId="1" applyNumberFormat="1" applyFont="1" applyFill="1" applyBorder="1" applyAlignment="1">
      <alignment horizontal="center" vertical="center"/>
    </xf>
    <xf numFmtId="0" fontId="29" fillId="2" borderId="0" xfId="0" applyFont="1" applyFill="1" applyAlignment="1">
      <alignment horizontal="center" vertical="center"/>
    </xf>
    <xf numFmtId="0" fontId="3" fillId="2" borderId="0" xfId="0" applyFont="1" applyFill="1"/>
    <xf numFmtId="0" fontId="6" fillId="2" borderId="14" xfId="0" applyFont="1" applyFill="1" applyBorder="1" applyAlignment="1">
      <alignment vertical="center"/>
    </xf>
    <xf numFmtId="0" fontId="3" fillId="2" borderId="0" xfId="0" applyFont="1" applyFill="1" applyAlignment="1">
      <alignment vertical="top"/>
    </xf>
    <xf numFmtId="0" fontId="3" fillId="2" borderId="15" xfId="0" applyFont="1" applyFill="1" applyBorder="1" applyAlignment="1">
      <alignment vertical="top"/>
    </xf>
    <xf numFmtId="0" fontId="3" fillId="4" borderId="0" xfId="0" applyFont="1" applyFill="1"/>
    <xf numFmtId="16" fontId="8" fillId="0" borderId="13" xfId="0" applyNumberFormat="1" applyFont="1" applyBorder="1" applyAlignment="1">
      <alignment horizontal="center" vertical="center" textRotation="90" wrapText="1"/>
    </xf>
    <xf numFmtId="0" fontId="8" fillId="0" borderId="13" xfId="0" applyFont="1" applyBorder="1" applyAlignment="1">
      <alignment horizontal="center" vertical="center" textRotation="90" wrapText="1"/>
    </xf>
    <xf numFmtId="0" fontId="23" fillId="11" borderId="4" xfId="0" applyFont="1" applyFill="1" applyBorder="1"/>
    <xf numFmtId="0" fontId="8" fillId="2" borderId="9" xfId="0" applyFont="1" applyFill="1" applyBorder="1" applyAlignment="1">
      <alignment horizontal="right" vertical="center"/>
    </xf>
    <xf numFmtId="0" fontId="3" fillId="2" borderId="10" xfId="0" applyFont="1" applyFill="1" applyBorder="1" applyAlignment="1">
      <alignment horizontal="center" vertical="center"/>
    </xf>
    <xf numFmtId="0" fontId="29" fillId="2" borderId="4" xfId="0" applyFont="1" applyFill="1" applyBorder="1" applyAlignment="1">
      <alignment horizontal="center" vertical="center"/>
    </xf>
    <xf numFmtId="0" fontId="8" fillId="2" borderId="13" xfId="0" applyFont="1" applyFill="1" applyBorder="1" applyAlignment="1">
      <alignment horizontal="center" vertical="center"/>
    </xf>
    <xf numFmtId="0" fontId="49" fillId="2" borderId="1" xfId="0" applyFont="1" applyFill="1" applyBorder="1" applyAlignment="1">
      <alignment horizontal="left" vertical="center"/>
    </xf>
    <xf numFmtId="0" fontId="0" fillId="9" borderId="16" xfId="0" applyFill="1" applyBorder="1"/>
    <xf numFmtId="169" fontId="26" fillId="18" borderId="1" xfId="2" applyNumberFormat="1" applyFont="1" applyFill="1" applyBorder="1" applyAlignment="1">
      <alignment vertical="center"/>
    </xf>
    <xf numFmtId="0" fontId="46" fillId="3" borderId="5" xfId="0" applyFont="1" applyFill="1" applyBorder="1"/>
    <xf numFmtId="164" fontId="48" fillId="0" borderId="5" xfId="0" applyNumberFormat="1" applyFont="1" applyBorder="1" applyAlignment="1">
      <alignment horizontal="center" vertical="center"/>
    </xf>
    <xf numFmtId="0" fontId="5" fillId="9" borderId="4" xfId="0" applyFont="1" applyFill="1" applyBorder="1"/>
    <xf numFmtId="168" fontId="8" fillId="19" borderId="5" xfId="0" applyNumberFormat="1" applyFont="1" applyFill="1" applyBorder="1" applyAlignment="1">
      <alignment horizontal="center" vertical="center"/>
    </xf>
    <xf numFmtId="164" fontId="3" fillId="14" borderId="5" xfId="0" applyNumberFormat="1" applyFont="1" applyFill="1" applyBorder="1" applyAlignment="1">
      <alignment horizontal="center"/>
    </xf>
    <xf numFmtId="0" fontId="43" fillId="0" borderId="0" xfId="0" applyFont="1" applyAlignment="1">
      <alignment horizontal="center" vertical="center"/>
    </xf>
    <xf numFmtId="0" fontId="44" fillId="2" borderId="0" xfId="0" applyFont="1" applyFill="1" applyAlignment="1">
      <alignment horizontal="center" vertical="center"/>
    </xf>
    <xf numFmtId="0" fontId="64" fillId="20" borderId="5" xfId="0" applyFont="1" applyFill="1" applyBorder="1" applyAlignment="1">
      <alignment horizontal="center" vertical="center" wrapText="1"/>
    </xf>
    <xf numFmtId="0" fontId="46" fillId="0" borderId="16" xfId="0" applyFont="1" applyBorder="1"/>
    <xf numFmtId="0" fontId="46" fillId="0" borderId="16" xfId="0" applyFont="1" applyBorder="1" applyAlignment="1">
      <alignment horizontal="left"/>
    </xf>
    <xf numFmtId="0" fontId="46" fillId="0" borderId="17" xfId="0" applyFont="1" applyBorder="1"/>
    <xf numFmtId="0" fontId="46" fillId="0" borderId="5" xfId="0" applyFont="1" applyBorder="1"/>
    <xf numFmtId="0" fontId="46" fillId="0" borderId="5" xfId="0" applyFont="1" applyBorder="1" applyAlignment="1">
      <alignment horizontal="left"/>
    </xf>
    <xf numFmtId="0" fontId="46" fillId="0" borderId="5" xfId="0" applyFont="1" applyBorder="1" applyAlignment="1">
      <alignment horizontal="center"/>
    </xf>
    <xf numFmtId="0" fontId="46" fillId="0" borderId="16" xfId="0" applyFont="1" applyBorder="1" applyAlignment="1">
      <alignment horizontal="center"/>
    </xf>
    <xf numFmtId="0" fontId="46" fillId="0" borderId="17" xfId="0" applyFont="1" applyBorder="1" applyAlignment="1">
      <alignment horizontal="center"/>
    </xf>
    <xf numFmtId="164" fontId="46" fillId="0" borderId="16" xfId="0" applyNumberFormat="1" applyFont="1" applyBorder="1" applyAlignment="1">
      <alignment horizontal="center"/>
    </xf>
    <xf numFmtId="164" fontId="46" fillId="0" borderId="17" xfId="0" applyNumberFormat="1" applyFont="1" applyBorder="1" applyAlignment="1">
      <alignment horizontal="center"/>
    </xf>
    <xf numFmtId="164" fontId="46" fillId="0" borderId="5" xfId="0" applyNumberFormat="1" applyFont="1" applyBorder="1" applyAlignment="1">
      <alignment horizontal="center"/>
    </xf>
    <xf numFmtId="16" fontId="46" fillId="0" borderId="5" xfId="0" applyNumberFormat="1" applyFont="1" applyBorder="1" applyAlignment="1">
      <alignment horizontal="center"/>
    </xf>
    <xf numFmtId="0" fontId="0" fillId="0" borderId="0" xfId="0" applyAlignment="1">
      <alignment wrapText="1"/>
    </xf>
    <xf numFmtId="0" fontId="45" fillId="9" borderId="5" xfId="0" applyFont="1" applyFill="1" applyBorder="1" applyAlignment="1">
      <alignment wrapText="1"/>
    </xf>
    <xf numFmtId="164" fontId="48" fillId="19" borderId="5" xfId="0" applyNumberFormat="1" applyFont="1" applyFill="1" applyBorder="1" applyAlignment="1">
      <alignment horizontal="center" vertical="center"/>
    </xf>
    <xf numFmtId="0" fontId="3" fillId="5" borderId="4" xfId="0" applyFont="1" applyFill="1" applyBorder="1"/>
    <xf numFmtId="0" fontId="19" fillId="11" borderId="4" xfId="0" applyFont="1" applyFill="1" applyBorder="1" applyAlignment="1">
      <alignment horizontal="center" vertical="center"/>
    </xf>
    <xf numFmtId="0" fontId="18" fillId="11" borderId="4" xfId="0" applyFont="1" applyFill="1" applyBorder="1" applyAlignment="1">
      <alignment horizontal="center" vertical="center"/>
    </xf>
    <xf numFmtId="0" fontId="16" fillId="11" borderId="4" xfId="0" applyFont="1" applyFill="1" applyBorder="1" applyAlignment="1">
      <alignment horizontal="center" vertical="center"/>
    </xf>
    <xf numFmtId="0" fontId="19" fillId="11" borderId="4" xfId="0" applyFont="1" applyFill="1" applyBorder="1" applyAlignment="1">
      <alignment vertical="center"/>
    </xf>
    <xf numFmtId="168" fontId="8" fillId="11" borderId="4" xfId="0" applyNumberFormat="1" applyFont="1" applyFill="1" applyBorder="1" applyAlignment="1">
      <alignment horizontal="center" vertical="center"/>
    </xf>
    <xf numFmtId="0" fontId="8" fillId="11" borderId="4" xfId="0" applyFont="1" applyFill="1" applyBorder="1" applyAlignment="1">
      <alignment horizontal="center" vertical="center"/>
    </xf>
    <xf numFmtId="164" fontId="8" fillId="11" borderId="4" xfId="1" applyNumberFormat="1" applyFont="1" applyFill="1" applyBorder="1" applyAlignment="1">
      <alignment horizontal="center" vertical="center"/>
    </xf>
    <xf numFmtId="164" fontId="19" fillId="11" borderId="4" xfId="1" applyNumberFormat="1" applyFont="1" applyFill="1" applyBorder="1" applyAlignment="1">
      <alignment horizontal="center" vertical="center"/>
    </xf>
    <xf numFmtId="0" fontId="57" fillId="11" borderId="4" xfId="0" applyFont="1" applyFill="1" applyBorder="1" applyAlignment="1">
      <alignment horizontal="center" vertical="center"/>
    </xf>
    <xf numFmtId="164" fontId="21" fillId="11" borderId="4" xfId="0" applyNumberFormat="1" applyFont="1" applyFill="1" applyBorder="1" applyAlignment="1">
      <alignment horizontal="center" vertical="top"/>
    </xf>
    <xf numFmtId="164" fontId="21" fillId="11" borderId="4" xfId="0" applyNumberFormat="1" applyFont="1" applyFill="1" applyBorder="1" applyAlignment="1">
      <alignment horizontal="center"/>
    </xf>
    <xf numFmtId="164" fontId="22" fillId="11" borderId="4" xfId="0" applyNumberFormat="1" applyFont="1" applyFill="1" applyBorder="1" applyAlignment="1">
      <alignment horizontal="center" vertical="top"/>
    </xf>
    <xf numFmtId="0" fontId="23" fillId="11" borderId="4" xfId="0" applyFont="1" applyFill="1" applyBorder="1" applyAlignment="1">
      <alignment horizontal="center"/>
    </xf>
    <xf numFmtId="0" fontId="16" fillId="2" borderId="5" xfId="0" applyFont="1" applyFill="1" applyBorder="1"/>
    <xf numFmtId="2" fontId="4" fillId="5" borderId="5" xfId="0" applyNumberFormat="1" applyFont="1" applyFill="1" applyBorder="1" applyAlignment="1">
      <alignment horizontal="center" vertical="center"/>
    </xf>
    <xf numFmtId="2" fontId="2" fillId="5" borderId="5" xfId="0" applyNumberFormat="1" applyFont="1" applyFill="1" applyBorder="1" applyAlignment="1">
      <alignment horizontal="center" vertical="center"/>
    </xf>
    <xf numFmtId="164" fontId="4" fillId="5" borderId="5" xfId="1" applyNumberFormat="1" applyFont="1" applyFill="1" applyBorder="1" applyAlignment="1">
      <alignment horizontal="center" vertical="center"/>
    </xf>
    <xf numFmtId="2" fontId="3" fillId="5" borderId="5" xfId="0" applyNumberFormat="1" applyFont="1" applyFill="1" applyBorder="1" applyAlignment="1">
      <alignment horizontal="center" vertical="top"/>
    </xf>
    <xf numFmtId="2" fontId="3" fillId="5" borderId="5" xfId="0" applyNumberFormat="1" applyFont="1" applyFill="1" applyBorder="1" applyAlignment="1">
      <alignment horizontal="center"/>
    </xf>
    <xf numFmtId="2" fontId="10" fillId="5" borderId="5" xfId="0" applyNumberFormat="1" applyFont="1" applyFill="1" applyBorder="1" applyAlignment="1">
      <alignment horizontal="center" vertical="top"/>
    </xf>
    <xf numFmtId="0" fontId="44" fillId="0" borderId="5" xfId="0" applyFont="1" applyBorder="1"/>
    <xf numFmtId="0" fontId="46" fillId="0" borderId="5" xfId="0" applyFont="1" applyBorder="1" applyAlignment="1">
      <alignment horizontal="left" vertical="center"/>
    </xf>
    <xf numFmtId="164" fontId="46" fillId="0" borderId="5" xfId="0" applyNumberFormat="1" applyFont="1" applyBorder="1" applyAlignment="1">
      <alignment horizontal="center" vertical="center"/>
    </xf>
    <xf numFmtId="16" fontId="46" fillId="0" borderId="5" xfId="0" applyNumberFormat="1" applyFont="1" applyBorder="1" applyAlignment="1">
      <alignment horizontal="center" vertical="center"/>
    </xf>
    <xf numFmtId="0" fontId="56" fillId="0" borderId="5" xfId="0" applyFont="1" applyBorder="1" applyAlignment="1">
      <alignment horizontal="center" vertical="center"/>
    </xf>
    <xf numFmtId="0" fontId="46" fillId="0" borderId="5" xfId="0" applyFont="1" applyBorder="1" applyAlignment="1">
      <alignment horizontal="center" vertical="center"/>
    </xf>
    <xf numFmtId="0" fontId="65" fillId="9" borderId="5" xfId="0" applyFont="1" applyFill="1" applyBorder="1"/>
    <xf numFmtId="0" fontId="65" fillId="9" borderId="4" xfId="0" applyFont="1" applyFill="1" applyBorder="1"/>
    <xf numFmtId="0" fontId="0" fillId="0" borderId="5" xfId="0" applyBorder="1" applyAlignment="1">
      <alignment horizontal="center"/>
    </xf>
    <xf numFmtId="164" fontId="16" fillId="5" borderId="5" xfId="0" applyNumberFormat="1" applyFont="1" applyFill="1" applyBorder="1" applyAlignment="1">
      <alignment horizontal="center"/>
    </xf>
    <xf numFmtId="0" fontId="16" fillId="5" borderId="5" xfId="0" applyFont="1" applyFill="1" applyBorder="1" applyAlignment="1">
      <alignment horizontal="center"/>
    </xf>
    <xf numFmtId="0" fontId="66" fillId="9" borderId="5" xfId="0" applyFont="1" applyFill="1" applyBorder="1"/>
    <xf numFmtId="0" fontId="67" fillId="3" borderId="5" xfId="0" applyFont="1" applyFill="1" applyBorder="1"/>
    <xf numFmtId="0" fontId="43" fillId="3" borderId="5" xfId="0" applyFont="1" applyFill="1" applyBorder="1" applyAlignment="1">
      <alignment horizontal="left" vertical="top"/>
    </xf>
    <xf numFmtId="0" fontId="10" fillId="2" borderId="5" xfId="0" applyFont="1" applyFill="1" applyBorder="1" applyAlignment="1">
      <alignment horizontal="center"/>
    </xf>
    <xf numFmtId="0" fontId="45" fillId="9" borderId="6" xfId="0" applyFont="1" applyFill="1" applyBorder="1"/>
    <xf numFmtId="0" fontId="46" fillId="0" borderId="18" xfId="0" applyFont="1" applyBorder="1"/>
    <xf numFmtId="0" fontId="46" fillId="0" borderId="19" xfId="0" applyFont="1" applyBorder="1" applyAlignment="1">
      <alignment horizontal="left"/>
    </xf>
    <xf numFmtId="0" fontId="46" fillId="0" borderId="20" xfId="0" applyFont="1" applyBorder="1"/>
    <xf numFmtId="0" fontId="46" fillId="0" borderId="21" xfId="0" applyFont="1" applyBorder="1" applyAlignment="1">
      <alignment horizontal="left"/>
    </xf>
    <xf numFmtId="0" fontId="0" fillId="0" borderId="5" xfId="0" applyBorder="1" applyAlignment="1">
      <alignment horizontal="left"/>
    </xf>
    <xf numFmtId="0" fontId="46" fillId="0" borderId="22" xfId="0" applyFont="1" applyBorder="1"/>
    <xf numFmtId="164" fontId="46" fillId="0" borderId="23" xfId="0" applyNumberFormat="1" applyFont="1" applyBorder="1" applyAlignment="1">
      <alignment horizontal="center"/>
    </xf>
    <xf numFmtId="16" fontId="46" fillId="0" borderId="23" xfId="0" applyNumberFormat="1" applyFont="1" applyBorder="1" applyAlignment="1">
      <alignment horizontal="center"/>
    </xf>
    <xf numFmtId="0" fontId="46" fillId="0" borderId="24" xfId="0" applyFont="1" applyBorder="1" applyAlignment="1">
      <alignment horizontal="left"/>
    </xf>
    <xf numFmtId="16" fontId="0" fillId="0" borderId="5" xfId="0" applyNumberFormat="1" applyBorder="1" applyAlignment="1">
      <alignment horizontal="center"/>
    </xf>
    <xf numFmtId="0" fontId="47" fillId="0" borderId="5" xfId="0" applyFont="1" applyBorder="1" applyAlignment="1">
      <alignment horizontal="center"/>
    </xf>
    <xf numFmtId="16" fontId="56" fillId="0" borderId="5" xfId="0" applyNumberFormat="1" applyFont="1" applyBorder="1" applyAlignment="1">
      <alignment horizontal="center"/>
    </xf>
    <xf numFmtId="164" fontId="56" fillId="0" borderId="5" xfId="0" applyNumberFormat="1" applyFont="1" applyBorder="1" applyAlignment="1">
      <alignment horizontal="center"/>
    </xf>
    <xf numFmtId="164" fontId="63" fillId="5" borderId="5" xfId="0" applyNumberFormat="1" applyFont="1" applyFill="1" applyBorder="1" applyAlignment="1">
      <alignment horizontal="center" vertical="top"/>
    </xf>
    <xf numFmtId="16" fontId="8" fillId="0" borderId="5" xfId="0" applyNumberFormat="1" applyFont="1" applyBorder="1" applyAlignment="1">
      <alignment horizontal="center" vertical="center" textRotation="90" wrapText="1"/>
    </xf>
    <xf numFmtId="0" fontId="67" fillId="9" borderId="5" xfId="0" applyFont="1" applyFill="1" applyBorder="1"/>
    <xf numFmtId="0" fontId="3" fillId="5" borderId="5" xfId="0" applyFont="1" applyFill="1" applyBorder="1" applyAlignment="1">
      <alignment vertical="top"/>
    </xf>
    <xf numFmtId="0" fontId="70" fillId="9" borderId="5" xfId="0" applyFont="1" applyFill="1" applyBorder="1"/>
    <xf numFmtId="0" fontId="70" fillId="9" borderId="4" xfId="0" applyFont="1" applyFill="1" applyBorder="1"/>
    <xf numFmtId="0" fontId="44" fillId="2" borderId="13" xfId="0" applyFont="1" applyFill="1" applyBorder="1" applyAlignment="1">
      <alignment horizontal="center" vertical="center"/>
    </xf>
    <xf numFmtId="0" fontId="67" fillId="6" borderId="6" xfId="0" applyFont="1" applyFill="1" applyBorder="1"/>
    <xf numFmtId="0" fontId="0" fillId="9" borderId="5" xfId="0" applyFill="1" applyBorder="1" applyAlignment="1">
      <alignment horizontal="right"/>
    </xf>
    <xf numFmtId="164" fontId="71" fillId="5" borderId="5" xfId="0" applyNumberFormat="1" applyFont="1" applyFill="1" applyBorder="1" applyAlignment="1">
      <alignment horizontal="center" vertical="top"/>
    </xf>
    <xf numFmtId="0" fontId="70" fillId="2" borderId="16" xfId="0" applyFont="1" applyFill="1" applyBorder="1" applyAlignment="1">
      <alignment horizontal="center" vertical="center"/>
    </xf>
    <xf numFmtId="0" fontId="0" fillId="0" borderId="16" xfId="0" applyBorder="1"/>
    <xf numFmtId="0" fontId="3" fillId="2" borderId="12" xfId="0" applyFont="1" applyFill="1" applyBorder="1" applyAlignment="1">
      <alignment vertical="center"/>
    </xf>
    <xf numFmtId="164" fontId="21" fillId="11" borderId="4" xfId="0" applyNumberFormat="1" applyFont="1" applyFill="1" applyBorder="1" applyAlignment="1">
      <alignment horizontal="center" vertical="center"/>
    </xf>
    <xf numFmtId="164" fontId="3" fillId="0" borderId="5" xfId="0" applyNumberFormat="1" applyFont="1" applyBorder="1" applyAlignment="1">
      <alignment horizontal="center" vertical="center"/>
    </xf>
    <xf numFmtId="164" fontId="19" fillId="11" borderId="5" xfId="0" applyNumberFormat="1" applyFont="1" applyFill="1" applyBorder="1" applyAlignment="1">
      <alignment horizontal="center" vertical="center"/>
    </xf>
    <xf numFmtId="164" fontId="10" fillId="2" borderId="5" xfId="0" applyNumberFormat="1" applyFont="1" applyFill="1" applyBorder="1" applyAlignment="1">
      <alignment horizontal="center" vertical="center"/>
    </xf>
    <xf numFmtId="164" fontId="16" fillId="5" borderId="5" xfId="0" applyNumberFormat="1" applyFont="1" applyFill="1" applyBorder="1" applyAlignment="1">
      <alignment horizontal="center" vertical="center"/>
    </xf>
    <xf numFmtId="164" fontId="10" fillId="5" borderId="5" xfId="0" applyNumberFormat="1" applyFont="1" applyFill="1" applyBorder="1" applyAlignment="1">
      <alignment horizontal="center" vertical="center"/>
    </xf>
    <xf numFmtId="165" fontId="16" fillId="11" borderId="5" xfId="0" applyNumberFormat="1" applyFont="1" applyFill="1" applyBorder="1" applyAlignment="1">
      <alignment horizontal="center" vertical="center"/>
    </xf>
    <xf numFmtId="164" fontId="37" fillId="5" borderId="5" xfId="0" applyNumberFormat="1" applyFont="1" applyFill="1" applyBorder="1" applyAlignment="1">
      <alignment horizontal="center" vertical="center"/>
    </xf>
    <xf numFmtId="0" fontId="3" fillId="0" borderId="0" xfId="0" applyFont="1" applyAlignment="1">
      <alignment horizontal="center" vertical="center"/>
    </xf>
    <xf numFmtId="0" fontId="47" fillId="3" borderId="5" xfId="0" applyFont="1" applyFill="1" applyBorder="1"/>
    <xf numFmtId="0" fontId="72" fillId="9" borderId="4" xfId="0" applyFont="1" applyFill="1" applyBorder="1"/>
    <xf numFmtId="16" fontId="0" fillId="0" borderId="5" xfId="0" applyNumberFormat="1" applyBorder="1"/>
    <xf numFmtId="0" fontId="73" fillId="9" borderId="5" xfId="0" applyFont="1" applyFill="1" applyBorder="1"/>
    <xf numFmtId="14" fontId="0" fillId="0" borderId="5" xfId="0" applyNumberFormat="1" applyBorder="1" applyAlignment="1">
      <alignment horizontal="right"/>
    </xf>
    <xf numFmtId="0" fontId="30" fillId="0" borderId="5" xfId="0" applyFont="1" applyBorder="1" applyAlignment="1">
      <alignment horizontal="center" vertical="center"/>
    </xf>
    <xf numFmtId="0" fontId="29" fillId="0" borderId="5" xfId="0" applyFont="1" applyBorder="1" applyAlignment="1">
      <alignment horizontal="center" vertical="center"/>
    </xf>
    <xf numFmtId="0" fontId="29" fillId="0" borderId="5" xfId="0" applyFont="1" applyBorder="1" applyAlignment="1">
      <alignment vertical="center"/>
    </xf>
    <xf numFmtId="0" fontId="74" fillId="9" borderId="5" xfId="0" applyFont="1" applyFill="1" applyBorder="1"/>
    <xf numFmtId="0" fontId="0" fillId="9" borderId="7" xfId="0" applyFill="1" applyBorder="1"/>
    <xf numFmtId="0" fontId="10" fillId="0" borderId="5" xfId="0" applyFont="1" applyBorder="1" applyAlignment="1">
      <alignment horizontal="center"/>
    </xf>
    <xf numFmtId="0" fontId="56" fillId="0" borderId="5" xfId="0" applyFont="1" applyBorder="1" applyAlignment="1">
      <alignment horizontal="center"/>
    </xf>
    <xf numFmtId="0" fontId="56" fillId="0" borderId="5" xfId="0" applyFont="1" applyBorder="1" applyAlignment="1">
      <alignment horizontal="left"/>
    </xf>
    <xf numFmtId="0" fontId="46" fillId="0" borderId="6" xfId="0" applyFont="1" applyBorder="1"/>
    <xf numFmtId="0" fontId="46" fillId="0" borderId="6" xfId="0" applyFont="1" applyBorder="1" applyAlignment="1">
      <alignment horizontal="center"/>
    </xf>
    <xf numFmtId="0" fontId="46" fillId="0" borderId="9" xfId="0" applyFont="1" applyBorder="1" applyAlignment="1">
      <alignment horizontal="center"/>
    </xf>
    <xf numFmtId="0" fontId="46" fillId="0" borderId="11" xfId="0" applyFont="1" applyBorder="1" applyAlignment="1">
      <alignment horizontal="center"/>
    </xf>
    <xf numFmtId="0" fontId="0" fillId="0" borderId="9" xfId="0" applyBorder="1"/>
    <xf numFmtId="164" fontId="46" fillId="0" borderId="6" xfId="0" applyNumberFormat="1" applyFont="1" applyBorder="1" applyAlignment="1">
      <alignment horizontal="center"/>
    </xf>
    <xf numFmtId="16" fontId="56" fillId="0" borderId="6" xfId="0" applyNumberFormat="1" applyFont="1" applyBorder="1" applyAlignment="1">
      <alignment horizontal="center"/>
    </xf>
    <xf numFmtId="0" fontId="0" fillId="0" borderId="4" xfId="0" applyBorder="1"/>
    <xf numFmtId="0" fontId="0" fillId="0" borderId="4" xfId="0" applyBorder="1" applyAlignment="1">
      <alignment horizontal="center"/>
    </xf>
    <xf numFmtId="0" fontId="0" fillId="0" borderId="14" xfId="0" applyBorder="1"/>
    <xf numFmtId="0" fontId="3" fillId="14" borderId="4" xfId="0" applyFont="1" applyFill="1" applyBorder="1" applyAlignment="1">
      <alignment horizontal="center" vertical="center"/>
    </xf>
    <xf numFmtId="0" fontId="63" fillId="6" borderId="4" xfId="0" applyFont="1" applyFill="1" applyBorder="1" applyAlignment="1">
      <alignment horizontal="center" vertical="center"/>
    </xf>
    <xf numFmtId="14" fontId="49" fillId="2" borderId="13" xfId="0" applyNumberFormat="1" applyFont="1" applyFill="1" applyBorder="1" applyAlignment="1">
      <alignment horizontal="center" vertical="center"/>
    </xf>
    <xf numFmtId="0" fontId="8" fillId="2" borderId="13" xfId="0" applyFont="1" applyFill="1" applyBorder="1" applyAlignment="1">
      <alignment horizontal="center" vertical="center"/>
    </xf>
    <xf numFmtId="0" fontId="12" fillId="2" borderId="0" xfId="0" applyFont="1" applyFill="1" applyAlignment="1">
      <alignment horizontal="center" vertical="center"/>
    </xf>
    <xf numFmtId="14" fontId="12" fillId="2" borderId="0" xfId="0" applyNumberFormat="1" applyFont="1" applyFill="1" applyAlignment="1">
      <alignment horizontal="left" vertical="center"/>
    </xf>
    <xf numFmtId="0" fontId="38" fillId="2" borderId="12" xfId="0" applyFont="1" applyFill="1" applyBorder="1" applyAlignment="1">
      <alignment horizontal="center" vertical="center"/>
    </xf>
    <xf numFmtId="0" fontId="38" fillId="2" borderId="12" xfId="0" applyFont="1" applyFill="1" applyBorder="1" applyAlignment="1">
      <alignment vertical="center"/>
    </xf>
    <xf numFmtId="0" fontId="38" fillId="2" borderId="11" xfId="0" applyFont="1" applyFill="1" applyBorder="1" applyAlignment="1">
      <alignment horizontal="center" vertical="center"/>
    </xf>
    <xf numFmtId="0" fontId="38" fillId="2" borderId="2" xfId="0" applyFont="1" applyFill="1" applyBorder="1" applyAlignment="1">
      <alignment horizontal="center" vertical="center"/>
    </xf>
    <xf numFmtId="0" fontId="38" fillId="2" borderId="2" xfId="0" applyFont="1" applyFill="1" applyBorder="1" applyAlignment="1">
      <alignment vertical="center"/>
    </xf>
    <xf numFmtId="0" fontId="38" fillId="2" borderId="10" xfId="0" applyFont="1" applyFill="1" applyBorder="1" applyAlignment="1">
      <alignment horizontal="center" vertical="center"/>
    </xf>
    <xf numFmtId="0" fontId="42" fillId="0" borderId="5" xfId="0" applyFont="1" applyBorder="1" applyAlignment="1">
      <alignment horizontal="center"/>
    </xf>
    <xf numFmtId="0" fontId="14" fillId="7" borderId="5" xfId="0" applyFont="1" applyFill="1" applyBorder="1" applyAlignment="1">
      <alignment horizontal="center" vertical="center"/>
    </xf>
    <xf numFmtId="0" fontId="14" fillId="8" borderId="6" xfId="0" applyFont="1" applyFill="1" applyBorder="1" applyAlignment="1">
      <alignment horizontal="center" vertical="center"/>
    </xf>
    <xf numFmtId="0" fontId="14" fillId="8" borderId="7" xfId="0" applyFont="1" applyFill="1" applyBorder="1" applyAlignment="1">
      <alignment horizontal="center" vertical="center"/>
    </xf>
    <xf numFmtId="0" fontId="14" fillId="8" borderId="4" xfId="0" applyFont="1" applyFill="1" applyBorder="1" applyAlignment="1">
      <alignment horizontal="center" vertical="center"/>
    </xf>
    <xf numFmtId="0" fontId="23" fillId="12" borderId="25" xfId="0" applyFont="1" applyFill="1" applyBorder="1" applyAlignment="1">
      <alignment horizontal="center" vertical="center"/>
    </xf>
    <xf numFmtId="0" fontId="23" fillId="12" borderId="26" xfId="0" applyFont="1" applyFill="1" applyBorder="1" applyAlignment="1">
      <alignment horizontal="center" vertical="center"/>
    </xf>
    <xf numFmtId="0" fontId="23" fillId="12" borderId="27" xfId="0" applyFont="1" applyFill="1" applyBorder="1" applyAlignment="1">
      <alignment horizontal="center" vertical="center"/>
    </xf>
    <xf numFmtId="0" fontId="23" fillId="12" borderId="1" xfId="0" applyFont="1" applyFill="1" applyBorder="1" applyAlignment="1">
      <alignment horizontal="center" vertical="center"/>
    </xf>
    <xf numFmtId="0" fontId="23" fillId="12" borderId="13" xfId="0" applyFont="1" applyFill="1" applyBorder="1" applyAlignment="1">
      <alignment horizontal="center" vertical="center"/>
    </xf>
    <xf numFmtId="0" fontId="23" fillId="12" borderId="9" xfId="0" applyFont="1" applyFill="1" applyBorder="1" applyAlignment="1">
      <alignment horizontal="center" vertical="center"/>
    </xf>
    <xf numFmtId="0" fontId="23" fillId="12" borderId="1" xfId="0" applyFont="1" applyFill="1" applyBorder="1" applyAlignment="1">
      <alignment horizontal="center"/>
    </xf>
    <xf numFmtId="0" fontId="23" fillId="12" borderId="13" xfId="0" applyFont="1" applyFill="1" applyBorder="1" applyAlignment="1">
      <alignment horizontal="center"/>
    </xf>
    <xf numFmtId="0" fontId="23" fillId="12" borderId="9" xfId="0" applyFont="1" applyFill="1" applyBorder="1" applyAlignment="1">
      <alignment horizontal="center"/>
    </xf>
    <xf numFmtId="1" fontId="52" fillId="17" borderId="0" xfId="3" applyNumberFormat="1" applyFont="1" applyFill="1" applyAlignment="1">
      <alignment horizontal="center"/>
    </xf>
    <xf numFmtId="0" fontId="55" fillId="11" borderId="0" xfId="3" applyFont="1" applyFill="1" applyAlignment="1">
      <alignment horizontal="center" vertical="center"/>
    </xf>
    <xf numFmtId="169" fontId="51" fillId="17" borderId="0" xfId="3" applyNumberFormat="1" applyFont="1" applyFill="1" applyAlignment="1">
      <alignment horizontal="left"/>
    </xf>
    <xf numFmtId="169" fontId="23" fillId="18" borderId="4" xfId="2" applyNumberFormat="1" applyFont="1" applyFill="1" applyBorder="1" applyAlignment="1">
      <alignment horizontal="center"/>
    </xf>
    <xf numFmtId="164" fontId="5" fillId="17" borderId="5" xfId="2" applyNumberFormat="1" applyFont="1" applyFill="1" applyBorder="1" applyAlignment="1">
      <alignment horizontal="center"/>
    </xf>
    <xf numFmtId="164" fontId="62" fillId="17" borderId="5" xfId="2" applyNumberFormat="1" applyFont="1" applyFill="1" applyBorder="1" applyAlignment="1">
      <alignment horizontal="center"/>
    </xf>
    <xf numFmtId="2" fontId="61" fillId="17" borderId="1" xfId="2" applyNumberFormat="1" applyFont="1" applyFill="1" applyBorder="1" applyAlignment="1">
      <alignment horizontal="center"/>
    </xf>
    <xf numFmtId="2" fontId="61" fillId="17" borderId="13" xfId="2" applyNumberFormat="1" applyFont="1" applyFill="1" applyBorder="1" applyAlignment="1">
      <alignment horizontal="center"/>
    </xf>
    <xf numFmtId="2" fontId="61" fillId="17" borderId="9" xfId="2" applyNumberFormat="1" applyFont="1" applyFill="1" applyBorder="1" applyAlignment="1">
      <alignment horizontal="center"/>
    </xf>
  </cellXfs>
  <cellStyles count="4">
    <cellStyle name="Comma" xfId="1" builtinId="3"/>
    <cellStyle name="Normal" xfId="0" builtinId="0"/>
    <cellStyle name="Normal 2" xfId="2" xr:uid="{E1C9158B-2743-45A1-B298-59AA5177BB22}"/>
    <cellStyle name="Normal_ParagonHarvestGraph 2" xfId="3" xr:uid="{24FE5D4E-5D9A-4853-BEBD-A9FC6AE84CC4}"/>
  </cellStyles>
  <dxfs count="4">
    <dxf>
      <font>
        <color rgb="FF9C0006"/>
      </font>
      <fill>
        <patternFill>
          <bgColor rgb="FFFFC7CE"/>
        </patternFill>
      </fill>
    </dxf>
    <dxf>
      <font>
        <color rgb="FFFF0000"/>
      </font>
    </dxf>
    <dxf>
      <numFmt numFmtId="168" formatCode="[$-409]d\-mmm;@"/>
    </dxf>
    <dxf>
      <numFmt numFmtId="168" formatCode="[$-409]d\-mmm;@"/>
    </dxf>
  </dxfs>
  <tableStyles count="0" defaultTableStyle="TableStyleMedium2" defaultPivotStyle="PivotStyleLight16"/>
  <colors>
    <mruColors>
      <color rgb="FF0000FF"/>
      <color rgb="FF85DFFF"/>
      <color rgb="FF339933"/>
      <color rgb="FFCC99FF"/>
      <color rgb="FFFAB972"/>
      <color rgb="FFBC8FDD"/>
      <color rgb="FFFF9999"/>
      <color rgb="FFCCCCFF"/>
      <color rgb="FFA0D565"/>
      <color rgb="FFCF9E1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[2023 SUGARS.xlsx]Brix Pivot Table!PivotTable36</c:name>
    <c:fmtId val="4"/>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Arial Narrow" panose="020B0606020202030204" pitchFamily="34" charset="0"/>
                <a:ea typeface="+mn-ea"/>
                <a:cs typeface="+mn-cs"/>
              </a:defRPr>
            </a:pPr>
            <a:r>
              <a:rPr lang="en-US" sz="1800" b="1"/>
              <a:t>2023 BRIX</a:t>
            </a:r>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circle"/>
          <c:size val="5"/>
          <c:spPr>
            <a:solidFill>
              <a:schemeClr val="accent1">
                <a:lumMod val="70000"/>
              </a:schemeClr>
            </a:solidFill>
            <a:ln w="9525">
              <a:solidFill>
                <a:schemeClr val="accent1">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circle"/>
          <c:size val="5"/>
          <c:spPr>
            <a:solidFill>
              <a:schemeClr val="accent2">
                <a:lumMod val="70000"/>
              </a:schemeClr>
            </a:solidFill>
            <a:ln w="9525">
              <a:solidFill>
                <a:schemeClr val="accent2">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circle"/>
          <c:size val="5"/>
          <c:spPr>
            <a:solidFill>
              <a:schemeClr val="accent3">
                <a:lumMod val="70000"/>
              </a:schemeClr>
            </a:solidFill>
            <a:ln w="9525">
              <a:solidFill>
                <a:schemeClr val="accent3">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circle"/>
          <c:size val="5"/>
          <c:spPr>
            <a:solidFill>
              <a:schemeClr val="accent4">
                <a:lumMod val="70000"/>
              </a:schemeClr>
            </a:solidFill>
            <a:ln w="9525">
              <a:solidFill>
                <a:schemeClr val="accent4">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circle"/>
          <c:size val="5"/>
          <c:spPr>
            <a:solidFill>
              <a:schemeClr val="accent5">
                <a:lumMod val="70000"/>
              </a:schemeClr>
            </a:solidFill>
            <a:ln w="9525">
              <a:solidFill>
                <a:schemeClr val="accent5">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circle"/>
          <c:size val="5"/>
          <c:spPr>
            <a:solidFill>
              <a:schemeClr val="accent6">
                <a:lumMod val="70000"/>
              </a:schemeClr>
            </a:solidFill>
            <a:ln w="9525">
              <a:solidFill>
                <a:schemeClr val="accent6">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circle"/>
          <c:size val="5"/>
          <c:spPr>
            <a:solidFill>
              <a:schemeClr val="accent1">
                <a:lumMod val="50000"/>
                <a:lumOff val="50000"/>
              </a:schemeClr>
            </a:solidFill>
            <a:ln w="9525">
              <a:solidFill>
                <a:schemeClr val="accent1">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circle"/>
          <c:size val="5"/>
          <c:spPr>
            <a:solidFill>
              <a:schemeClr val="accent2">
                <a:lumMod val="50000"/>
                <a:lumOff val="50000"/>
              </a:schemeClr>
            </a:solidFill>
            <a:ln w="9525">
              <a:solidFill>
                <a:schemeClr val="accent2">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circle"/>
          <c:size val="5"/>
          <c:spPr>
            <a:solidFill>
              <a:schemeClr val="accent3">
                <a:lumMod val="50000"/>
                <a:lumOff val="50000"/>
              </a:schemeClr>
            </a:solidFill>
            <a:ln w="9525">
              <a:solidFill>
                <a:schemeClr val="accent3">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circle"/>
          <c:size val="5"/>
          <c:spPr>
            <a:solidFill>
              <a:schemeClr val="accent4">
                <a:lumMod val="50000"/>
                <a:lumOff val="50000"/>
              </a:schemeClr>
            </a:solidFill>
            <a:ln w="9525">
              <a:solidFill>
                <a:schemeClr val="accent4">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circle"/>
          <c:size val="5"/>
          <c:spPr>
            <a:solidFill>
              <a:schemeClr val="accent5">
                <a:lumMod val="50000"/>
                <a:lumOff val="50000"/>
              </a:schemeClr>
            </a:solidFill>
            <a:ln w="9525">
              <a:solidFill>
                <a:schemeClr val="accent5">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circle"/>
          <c:size val="5"/>
          <c:spPr>
            <a:solidFill>
              <a:schemeClr val="accent6">
                <a:lumMod val="50000"/>
                <a:lumOff val="50000"/>
              </a:schemeClr>
            </a:solidFill>
            <a:ln w="9525">
              <a:solidFill>
                <a:schemeClr val="accent6">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4"/>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5"/>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6"/>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7"/>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8"/>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9"/>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0"/>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8"/>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9"/>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0"/>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1"/>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2"/>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3"/>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4"/>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5"/>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6"/>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8"/>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9"/>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4"/>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5"/>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6"/>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7"/>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8"/>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9"/>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0"/>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1"/>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2"/>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3"/>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4"/>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3"/>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1"/>
          <c:showPercent val="0"/>
          <c:showBubbleSize val="0"/>
          <c:extLst>
            <c:ext xmlns:c15="http://schemas.microsoft.com/office/drawing/2012/chart" uri="{CE6537A1-D6FC-4f65-9D91-7224C49458BB}"/>
          </c:extLst>
        </c:dLbl>
      </c:pivotFmt>
      <c:pivotFmt>
        <c:idx val="4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1"/>
          <c:showPercent val="0"/>
          <c:showBubbleSize val="0"/>
          <c:extLst>
            <c:ext xmlns:c15="http://schemas.microsoft.com/office/drawing/2012/chart" uri="{CE6537A1-D6FC-4f65-9D91-7224C49458BB}"/>
          </c:extLst>
        </c:dLbl>
      </c:pivotFmt>
      <c:pivotFmt>
        <c:idx val="4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6"/>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0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'Brix Pivot Table'!$B$4:$B$5</c:f>
              <c:strCache>
                <c:ptCount val="1"/>
                <c:pt idx="0">
                  <c:v>LFRR06AG</c:v>
                </c:pt>
              </c:strCache>
            </c:strRef>
          </c:tx>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'Brix Pivot Table'!$A$6:$A$58</c:f>
              <c:strCache>
                <c:ptCount val="53"/>
                <c:pt idx="0">
                  <c:v>Jul-28</c:v>
                </c:pt>
                <c:pt idx="1">
                  <c:v>Jul-29</c:v>
                </c:pt>
                <c:pt idx="2">
                  <c:v>Jul-30</c:v>
                </c:pt>
                <c:pt idx="3">
                  <c:v>Jul-31</c:v>
                </c:pt>
                <c:pt idx="4">
                  <c:v>Aug-1</c:v>
                </c:pt>
                <c:pt idx="5">
                  <c:v>Aug-2</c:v>
                </c:pt>
                <c:pt idx="6">
                  <c:v>Aug-3</c:v>
                </c:pt>
                <c:pt idx="7">
                  <c:v>Aug-4</c:v>
                </c:pt>
                <c:pt idx="8">
                  <c:v>Aug-5</c:v>
                </c:pt>
                <c:pt idx="9">
                  <c:v>Aug-6</c:v>
                </c:pt>
                <c:pt idx="10">
                  <c:v>Aug-7</c:v>
                </c:pt>
                <c:pt idx="11">
                  <c:v>Aug-8</c:v>
                </c:pt>
                <c:pt idx="12">
                  <c:v>Aug-9</c:v>
                </c:pt>
                <c:pt idx="13">
                  <c:v>Aug-10</c:v>
                </c:pt>
                <c:pt idx="14">
                  <c:v>Aug-11</c:v>
                </c:pt>
                <c:pt idx="15">
                  <c:v>Aug-12</c:v>
                </c:pt>
                <c:pt idx="16">
                  <c:v>Aug-13</c:v>
                </c:pt>
                <c:pt idx="17">
                  <c:v>Aug-14</c:v>
                </c:pt>
                <c:pt idx="18">
                  <c:v>Aug-15</c:v>
                </c:pt>
                <c:pt idx="19">
                  <c:v>Aug-16</c:v>
                </c:pt>
                <c:pt idx="20">
                  <c:v>Aug-17</c:v>
                </c:pt>
                <c:pt idx="21">
                  <c:v>Aug-18</c:v>
                </c:pt>
                <c:pt idx="22">
                  <c:v>Aug-19</c:v>
                </c:pt>
                <c:pt idx="23">
                  <c:v>Aug-20</c:v>
                </c:pt>
                <c:pt idx="24">
                  <c:v>Aug-21</c:v>
                </c:pt>
                <c:pt idx="25">
                  <c:v>Aug-22</c:v>
                </c:pt>
                <c:pt idx="26">
                  <c:v>Aug-23</c:v>
                </c:pt>
                <c:pt idx="27">
                  <c:v>Aug-24</c:v>
                </c:pt>
                <c:pt idx="28">
                  <c:v>Aug-25</c:v>
                </c:pt>
                <c:pt idx="29">
                  <c:v>Aug-26</c:v>
                </c:pt>
                <c:pt idx="30">
                  <c:v>Aug-27</c:v>
                </c:pt>
                <c:pt idx="31">
                  <c:v>Aug-28</c:v>
                </c:pt>
                <c:pt idx="32">
                  <c:v>Aug-29</c:v>
                </c:pt>
                <c:pt idx="33">
                  <c:v>Aug-30</c:v>
                </c:pt>
                <c:pt idx="34">
                  <c:v>Aug-31</c:v>
                </c:pt>
                <c:pt idx="35">
                  <c:v>Sept-1</c:v>
                </c:pt>
                <c:pt idx="36">
                  <c:v>Sept-2</c:v>
                </c:pt>
                <c:pt idx="37">
                  <c:v>Sept-3</c:v>
                </c:pt>
                <c:pt idx="38">
                  <c:v>Sept-4</c:v>
                </c:pt>
                <c:pt idx="39">
                  <c:v>Sept-5</c:v>
                </c:pt>
                <c:pt idx="40">
                  <c:v>Sept-6</c:v>
                </c:pt>
                <c:pt idx="41">
                  <c:v>Sept-7</c:v>
                </c:pt>
                <c:pt idx="42">
                  <c:v>Sept-8</c:v>
                </c:pt>
                <c:pt idx="43">
                  <c:v>Sept-9</c:v>
                </c:pt>
                <c:pt idx="44">
                  <c:v>Sept-10</c:v>
                </c:pt>
                <c:pt idx="45">
                  <c:v>Sept-11</c:v>
                </c:pt>
                <c:pt idx="46">
                  <c:v>Sept-12</c:v>
                </c:pt>
                <c:pt idx="47">
                  <c:v>Sept-13</c:v>
                </c:pt>
                <c:pt idx="48">
                  <c:v>Sept-14</c:v>
                </c:pt>
                <c:pt idx="49">
                  <c:v>Sept-15</c:v>
                </c:pt>
                <c:pt idx="50">
                  <c:v>Sept-16</c:v>
                </c:pt>
                <c:pt idx="51">
                  <c:v>Sept-17</c:v>
                </c:pt>
                <c:pt idx="52">
                  <c:v>Sept-18</c:v>
                </c:pt>
              </c:strCache>
            </c:strRef>
          </c:cat>
          <c:val>
            <c:numRef>
              <c:f>'Brix Pivot Table'!$B$6:$B$58</c:f>
              <c:numCache>
                <c:formatCode>General</c:formatCode>
                <c:ptCount val="53"/>
                <c:pt idx="35">
                  <c:v>17</c:v>
                </c:pt>
                <c:pt idx="43">
                  <c:v>18.2</c:v>
                </c:pt>
              </c:numCache>
            </c:numRef>
          </c:val>
          <c:smooth val="0"/>
          <c:extLst>
            <c:ext xmlns:c16="http://schemas.microsoft.com/office/drawing/2014/chart" uri="{C3380CC4-5D6E-409C-BE32-E72D297353CC}">
              <c16:uniqueId val="{00000003-1693-BB43-94EF-2F3BD0C23383}"/>
            </c:ext>
          </c:extLst>
        </c:ser>
        <c:dLbls>
          <c:dLblPos val="t"/>
          <c:showLegendKey val="0"/>
          <c:showVal val="1"/>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503161728"/>
        <c:axId val="503168448"/>
      </c:lineChart>
      <c:catAx>
        <c:axId val="50316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503168448"/>
        <c:crosses val="autoZero"/>
        <c:auto val="1"/>
        <c:lblAlgn val="ctr"/>
        <c:lblOffset val="100"/>
        <c:noMultiLvlLbl val="0"/>
      </c:catAx>
      <c:valAx>
        <c:axId val="503168448"/>
        <c:scaling>
          <c:orientation val="minMax"/>
          <c:max val="26"/>
          <c:min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Narrow" panose="020B0606020202030204" pitchFamily="34" charset="0"/>
                    <a:ea typeface="+mn-ea"/>
                    <a:cs typeface="+mn-cs"/>
                  </a:defRPr>
                </a:pPr>
                <a:r>
                  <a:rPr lang="en-US"/>
                  <a:t>BRIX</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Narrow" panose="020B060602020203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503161728"/>
        <c:crosses val="autoZero"/>
        <c:crossBetween val="between"/>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legend>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Arial Narrow" panose="020B0606020202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7366383671314834E-2"/>
          <c:y val="2.5295538057742786E-2"/>
          <c:w val="0.88697502895936886"/>
          <c:h val="0.84814968128983881"/>
        </c:manualLayout>
      </c:layout>
      <c:scatterChart>
        <c:scatterStyle val="lineMarker"/>
        <c:varyColors val="0"/>
        <c:ser>
          <c:idx val="0"/>
          <c:order val="0"/>
          <c:tx>
            <c:strRef>
              <c:f>'LTW Harvest Forecast'!$O$2</c:f>
              <c:strCache>
                <c:ptCount val="1"/>
                <c:pt idx="0">
                  <c:v>Brix</c:v>
                </c:pt>
              </c:strCache>
            </c:strRef>
          </c:tx>
          <c:spPr>
            <a:ln w="25400">
              <a:solidFill>
                <a:srgbClr val="0000FF"/>
              </a:solidFill>
              <a:prstDash val="solid"/>
            </a:ln>
          </c:spPr>
          <c:marker>
            <c:symbol val="circle"/>
            <c:size val="5"/>
            <c:spPr>
              <a:solidFill>
                <a:srgbClr val="0000FF"/>
              </a:solidFill>
              <a:ln>
                <a:solidFill>
                  <a:srgbClr val="0000FF"/>
                </a:solidFill>
                <a:prstDash val="solid"/>
              </a:ln>
            </c:spPr>
          </c:marker>
          <c:dLbls>
            <c:dLbl>
              <c:idx val="0"/>
              <c:layout>
                <c:manualLayout>
                  <c:x val="-3.8254079971847092E-2"/>
                  <c:y val="-2.70636670416198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2D3-4FEB-B7CC-CCF3D0AE6F84}"/>
                </c:ext>
              </c:extLst>
            </c:dLbl>
            <c:dLbl>
              <c:idx val="1"/>
              <c:layout>
                <c:manualLayout>
                  <c:x val="-4.2763823516473849E-2"/>
                  <c:y val="-2.51589051368578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D3-4FEB-B7CC-CCF3D0AE6F84}"/>
                </c:ext>
              </c:extLst>
            </c:dLbl>
            <c:dLbl>
              <c:idx val="2"/>
              <c:layout>
                <c:manualLayout>
                  <c:x val="-7.3366618278860388E-2"/>
                  <c:y val="-4.407499062617190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2D3-4FEB-B7CC-CCF3D0AE6F84}"/>
                </c:ext>
              </c:extLst>
            </c:dLbl>
            <c:dLbl>
              <c:idx val="3"/>
              <c:layout>
                <c:manualLayout>
                  <c:x val="2.9834748310092521E-3"/>
                  <c:y val="-5.809673790776153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D3-4FEB-B7CC-CCF3D0AE6F84}"/>
                </c:ext>
              </c:extLst>
            </c:dLbl>
            <c:dLbl>
              <c:idx val="4"/>
              <c:layout>
                <c:manualLayout>
                  <c:x val="-3.0266825965750695E-2"/>
                  <c:y val="-2.52593594948128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2D3-4FEB-B7CC-CCF3D0AE6F84}"/>
                </c:ext>
              </c:extLst>
            </c:dLbl>
            <c:dLbl>
              <c:idx val="5"/>
              <c:layout>
                <c:manualLayout>
                  <c:x val="-3.3452807646356032E-2"/>
                  <c:y val="-2.88678394226432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2D3-4FEB-B7CC-CCF3D0AE6F84}"/>
                </c:ext>
              </c:extLst>
            </c:dLbl>
            <c:dLbl>
              <c:idx val="6"/>
              <c:layout>
                <c:manualLayout>
                  <c:x val="-3.1859816806053362E-2"/>
                  <c:y val="-2.88678394226432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2D3-4FEB-B7CC-CCF3D0AE6F84}"/>
                </c:ext>
              </c:extLst>
            </c:dLbl>
            <c:dLbl>
              <c:idx val="8"/>
              <c:layout>
                <c:manualLayout>
                  <c:x val="-3.3519553072625698E-2"/>
                  <c:y val="-2.2857142857142861E-2"/>
                </c:manualLayout>
              </c:layout>
              <c:spPr>
                <a:solidFill>
                  <a:schemeClr val="accent5">
                    <a:lumMod val="20000"/>
                    <a:lumOff val="80000"/>
                  </a:schemeClr>
                </a:solidFill>
                <a:ln w="6350">
                  <a:solidFill>
                    <a:sysClr val="windowText" lastClr="000000"/>
                  </a:solidFill>
                </a:ln>
              </c:spPr>
              <c:txPr>
                <a:bodyPr/>
                <a:lstStyle/>
                <a:p>
                  <a:pPr algn="ctr" rtl="1">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2D3-4FEB-B7CC-CCF3D0AE6F84}"/>
                </c:ext>
              </c:extLst>
            </c:dLbl>
            <c:spPr>
              <a:solidFill>
                <a:schemeClr val="bg1"/>
              </a:solidFill>
              <a:ln w="6350">
                <a:solidFill>
                  <a:sysClr val="windowText" lastClr="000000"/>
                </a:solidFill>
              </a:ln>
            </c:spPr>
            <c:txPr>
              <a:bodyPr/>
              <a:lstStyle/>
              <a:p>
                <a:pPr algn="ctr" rtl="1">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trendline>
            <c:spPr>
              <a:ln w="22225" cmpd="dbl">
                <a:solidFill>
                  <a:sysClr val="windowText" lastClr="000000"/>
                </a:solidFill>
                <a:prstDash val="solid"/>
              </a:ln>
            </c:spPr>
            <c:trendlineType val="linear"/>
            <c:forward val="50"/>
            <c:dispRSqr val="0"/>
            <c:dispEq val="0"/>
          </c:trendline>
          <c:xVal>
            <c:numRef>
              <c:f>'LTW Harvest Forecast'!$N$3:$N$16</c:f>
              <c:numCache>
                <c:formatCode>ddd\ m/d/yy</c:formatCode>
                <c:ptCount val="14"/>
                <c:pt idx="0">
                  <c:v>45170</c:v>
                </c:pt>
                <c:pt idx="1">
                  <c:v>45178</c:v>
                </c:pt>
                <c:pt idx="2">
                  <c:v>45188</c:v>
                </c:pt>
              </c:numCache>
            </c:numRef>
          </c:xVal>
          <c:yVal>
            <c:numRef>
              <c:f>'LTW Harvest Forecast'!$O$3:$O$16</c:f>
              <c:numCache>
                <c:formatCode>0.0</c:formatCode>
                <c:ptCount val="14"/>
                <c:pt idx="0">
                  <c:v>17</c:v>
                </c:pt>
                <c:pt idx="1">
                  <c:v>18.2</c:v>
                </c:pt>
                <c:pt idx="2">
                  <c:v>20.7</c:v>
                </c:pt>
              </c:numCache>
            </c:numRef>
          </c:yVal>
          <c:smooth val="0"/>
          <c:extLst>
            <c:ext xmlns:c16="http://schemas.microsoft.com/office/drawing/2014/chart" uri="{C3380CC4-5D6E-409C-BE32-E72D297353CC}">
              <c16:uniqueId val="{00000009-A2D3-4FEB-B7CC-CCF3D0AE6F84}"/>
            </c:ext>
          </c:extLst>
        </c:ser>
        <c:ser>
          <c:idx val="1"/>
          <c:order val="1"/>
          <c:tx>
            <c:v>TA</c:v>
          </c:tx>
          <c:spPr>
            <a:ln w="25400">
              <a:solidFill>
                <a:srgbClr val="009900"/>
              </a:solidFill>
              <a:prstDash val="solid"/>
            </a:ln>
          </c:spPr>
          <c:marker>
            <c:symbol val="square"/>
            <c:size val="7"/>
            <c:spPr>
              <a:solidFill>
                <a:srgbClr val="92D050"/>
              </a:solidFill>
              <a:ln>
                <a:solidFill>
                  <a:srgbClr val="000000"/>
                </a:solidFill>
                <a:prstDash val="solid"/>
              </a:ln>
            </c:spPr>
          </c:marker>
          <c:dLbls>
            <c:dLbl>
              <c:idx val="0"/>
              <c:layout>
                <c:manualLayout>
                  <c:x val="-3.4860257852383836E-2"/>
                  <c:y val="-3.73257641437355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2D3-4FEB-B7CC-CCF3D0AE6F84}"/>
                </c:ext>
              </c:extLst>
            </c:dLbl>
            <c:dLbl>
              <c:idx val="1"/>
              <c:layout>
                <c:manualLayout>
                  <c:x val="-3.3452807646356095E-2"/>
                  <c:y val="-2.88678394226432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2D3-4FEB-B7CC-CCF3D0AE6F84}"/>
                </c:ext>
              </c:extLst>
            </c:dLbl>
            <c:dLbl>
              <c:idx val="2"/>
              <c:layout>
                <c:manualLayout>
                  <c:x val="-2.7080844285145362E-2"/>
                  <c:y val="-2.70635994587280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2D3-4FEB-B7CC-CCF3D0AE6F84}"/>
                </c:ext>
              </c:extLst>
            </c:dLbl>
            <c:dLbl>
              <c:idx val="3"/>
              <c:layout>
                <c:manualLayout>
                  <c:x val="-2.7080844285145476E-2"/>
                  <c:y val="-2.34551195308976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2D3-4FEB-B7CC-CCF3D0AE6F84}"/>
                </c:ext>
              </c:extLst>
            </c:dLbl>
            <c:dLbl>
              <c:idx val="4"/>
              <c:layout>
                <c:manualLayout>
                  <c:x val="-3.0266825965750695E-2"/>
                  <c:y val="-2.88678394226432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2D3-4FEB-B7CC-CCF3D0AE6F84}"/>
                </c:ext>
              </c:extLst>
            </c:dLbl>
            <c:dLbl>
              <c:idx val="5"/>
              <c:layout>
                <c:manualLayout>
                  <c:x val="-2.8673835125448147E-2"/>
                  <c:y val="-2.88678394226432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2D3-4FEB-B7CC-CCF3D0AE6F84}"/>
                </c:ext>
              </c:extLst>
            </c:dLbl>
            <c:dLbl>
              <c:idx val="6"/>
              <c:layout>
                <c:manualLayout>
                  <c:x val="-3.3452807646355914E-2"/>
                  <c:y val="-3.06720793865585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2D3-4FEB-B7CC-CCF3D0AE6F84}"/>
                </c:ext>
              </c:extLst>
            </c:dLbl>
            <c:dLbl>
              <c:idx val="7"/>
              <c:layout>
                <c:manualLayout>
                  <c:x val="-4.6554934823091386E-2"/>
                  <c:y val="-3.04761904761904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2D3-4FEB-B7CC-CCF3D0AE6F84}"/>
                </c:ext>
              </c:extLst>
            </c:dLbl>
            <c:dLbl>
              <c:idx val="8"/>
              <c:layout>
                <c:manualLayout>
                  <c:x val="-1.11731843575419E-2"/>
                  <c:y val="-2.4761904761904763E-2"/>
                </c:manualLayout>
              </c:layout>
              <c:spPr>
                <a:solidFill>
                  <a:schemeClr val="accent3">
                    <a:lumMod val="20000"/>
                    <a:lumOff val="80000"/>
                  </a:schemeClr>
                </a:solidFill>
                <a:ln w="12700">
                  <a:solidFill>
                    <a:srgbClr val="000000"/>
                  </a:solidFill>
                </a:ln>
              </c:spPr>
              <c:txPr>
                <a:bodyPr/>
                <a:lstStyle/>
                <a:p>
                  <a:pPr algn="ctr" rtl="1">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2D3-4FEB-B7CC-CCF3D0AE6F84}"/>
                </c:ext>
              </c:extLst>
            </c:dLbl>
            <c:spPr>
              <a:solidFill>
                <a:schemeClr val="bg1"/>
              </a:solidFill>
              <a:ln w="12700">
                <a:solidFill>
                  <a:srgbClr val="000000"/>
                </a:solidFill>
              </a:ln>
            </c:spPr>
            <c:txPr>
              <a:bodyPr/>
              <a:lstStyle/>
              <a:p>
                <a:pPr algn="ctr" rtl="1">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'LTW Harvest Forecast'!$N$3:$N$16</c:f>
              <c:numCache>
                <c:formatCode>ddd\ m/d/yy</c:formatCode>
                <c:ptCount val="14"/>
                <c:pt idx="0">
                  <c:v>45170</c:v>
                </c:pt>
                <c:pt idx="1">
                  <c:v>45178</c:v>
                </c:pt>
                <c:pt idx="2">
                  <c:v>45188</c:v>
                </c:pt>
              </c:numCache>
            </c:numRef>
          </c:xVal>
          <c:yVal>
            <c:numRef>
              <c:f>'LTW Harvest Forecast'!$P$3:$P$16</c:f>
              <c:numCache>
                <c:formatCode>0.00</c:formatCode>
                <c:ptCount val="14"/>
                <c:pt idx="2">
                  <c:v>6.4</c:v>
                </c:pt>
              </c:numCache>
            </c:numRef>
          </c:yVal>
          <c:smooth val="0"/>
          <c:extLst>
            <c:ext xmlns:c16="http://schemas.microsoft.com/office/drawing/2014/chart" uri="{C3380CC4-5D6E-409C-BE32-E72D297353CC}">
              <c16:uniqueId val="{00000013-A2D3-4FEB-B7CC-CCF3D0AE6F84}"/>
            </c:ext>
          </c:extLst>
        </c:ser>
        <c:dLbls>
          <c:showLegendKey val="0"/>
          <c:showVal val="0"/>
          <c:showCatName val="0"/>
          <c:showSerName val="0"/>
          <c:showPercent val="0"/>
          <c:showBubbleSize val="0"/>
        </c:dLbls>
        <c:axId val="2067343983"/>
        <c:axId val="1"/>
      </c:scatterChart>
      <c:scatterChart>
        <c:scatterStyle val="lineMarker"/>
        <c:varyColors val="0"/>
        <c:ser>
          <c:idx val="2"/>
          <c:order val="2"/>
          <c:tx>
            <c:strRef>
              <c:f>'LTW Harvest Forecast'!$Q$2</c:f>
              <c:strCache>
                <c:ptCount val="1"/>
                <c:pt idx="0">
                  <c:v>pH</c:v>
                </c:pt>
              </c:strCache>
            </c:strRef>
          </c:tx>
          <c:spPr>
            <a:ln w="25400">
              <a:solidFill>
                <a:srgbClr val="FF0000"/>
              </a:solidFill>
              <a:prstDash val="sysDash"/>
            </a:ln>
          </c:spPr>
          <c:marker>
            <c:symbol val="triangle"/>
            <c:size val="8"/>
            <c:spPr>
              <a:solidFill>
                <a:srgbClr val="FF0000"/>
              </a:solidFill>
              <a:ln>
                <a:solidFill>
                  <a:schemeClr val="tx1"/>
                </a:solidFill>
                <a:prstDash val="solid"/>
              </a:ln>
            </c:spPr>
          </c:marker>
          <c:dLbls>
            <c:dLbl>
              <c:idx val="0"/>
              <c:layout>
                <c:manualLayout>
                  <c:x val="-3.1321427000395897E-2"/>
                  <c:y val="2.8275065616797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2D3-4FEB-B7CC-CCF3D0AE6F84}"/>
                </c:ext>
              </c:extLst>
            </c:dLbl>
            <c:dLbl>
              <c:idx val="1"/>
              <c:layout>
                <c:manualLayout>
                  <c:x val="-2.4141849587237349E-2"/>
                  <c:y val="3.01798275215598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2D3-4FEB-B7CC-CCF3D0AE6F84}"/>
                </c:ext>
              </c:extLst>
            </c:dLbl>
            <c:dLbl>
              <c:idx val="2"/>
              <c:layout>
                <c:manualLayout>
                  <c:x val="-2.6542471297233132E-2"/>
                  <c:y val="3.18834645669291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A2D3-4FEB-B7CC-CCF3D0AE6F84}"/>
                </c:ext>
              </c:extLst>
            </c:dLbl>
            <c:dLbl>
              <c:idx val="3"/>
              <c:layout>
                <c:manualLayout>
                  <c:x val="-2.8404668690156749E-2"/>
                  <c:y val="2.8275065616797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A2D3-4FEB-B7CC-CCF3D0AE6F84}"/>
                </c:ext>
              </c:extLst>
            </c:dLbl>
            <c:dLbl>
              <c:idx val="4"/>
              <c:layout>
                <c:manualLayout>
                  <c:x val="-3.3452836551855596E-2"/>
                  <c:y val="3.00791901012373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A2D3-4FEB-B7CC-CCF3D0AE6F84}"/>
                </c:ext>
              </c:extLst>
            </c:dLbl>
            <c:dLbl>
              <c:idx val="5"/>
              <c:layout>
                <c:manualLayout>
                  <c:x val="-4.3010752688172157E-2"/>
                  <c:y val="-2.70635994587280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A2D3-4FEB-B7CC-CCF3D0AE6F84}"/>
                </c:ext>
              </c:extLst>
            </c:dLbl>
            <c:dLbl>
              <c:idx val="6"/>
              <c:layout>
                <c:manualLayout>
                  <c:x val="-3.3452807646355914E-2"/>
                  <c:y val="-2.70635994587280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A2D3-4FEB-B7CC-CCF3D0AE6F84}"/>
                </c:ext>
              </c:extLst>
            </c:dLbl>
            <c:dLbl>
              <c:idx val="7"/>
              <c:layout>
                <c:manualLayout>
                  <c:x val="-4.6554934823091386E-2"/>
                  <c:y val="-2.85714285714285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A2D3-4FEB-B7CC-CCF3D0AE6F84}"/>
                </c:ext>
              </c:extLst>
            </c:dLbl>
            <c:dLbl>
              <c:idx val="8"/>
              <c:layout>
                <c:manualLayout>
                  <c:x val="-3.7243947858473E-2"/>
                  <c:y val="-2.4761904761904763E-2"/>
                </c:manualLayout>
              </c:layout>
              <c:spPr>
                <a:solidFill>
                  <a:schemeClr val="accent2">
                    <a:lumMod val="20000"/>
                    <a:lumOff val="80000"/>
                  </a:schemeClr>
                </a:solidFill>
                <a:ln w="12700">
                  <a:solidFill>
                    <a:srgbClr val="0000FF"/>
                  </a:solidFill>
                </a:ln>
              </c:spPr>
              <c:txPr>
                <a:bodyPr/>
                <a:lstStyle/>
                <a:p>
                  <a:pPr algn="ctr" rtl="1">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A2D3-4FEB-B7CC-CCF3D0AE6F84}"/>
                </c:ext>
              </c:extLst>
            </c:dLbl>
            <c:spPr>
              <a:solidFill>
                <a:schemeClr val="bg1"/>
              </a:solidFill>
              <a:ln w="12700">
                <a:solidFill>
                  <a:srgbClr val="0000FF"/>
                </a:solidFill>
              </a:ln>
            </c:spPr>
            <c:txPr>
              <a:bodyPr/>
              <a:lstStyle/>
              <a:p>
                <a:pPr algn="ctr" rtl="1">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'LTW Harvest Forecast'!$N$3:$N$16</c:f>
              <c:numCache>
                <c:formatCode>ddd\ m/d/yy</c:formatCode>
                <c:ptCount val="14"/>
                <c:pt idx="0">
                  <c:v>45170</c:v>
                </c:pt>
                <c:pt idx="1">
                  <c:v>45178</c:v>
                </c:pt>
                <c:pt idx="2">
                  <c:v>45188</c:v>
                </c:pt>
              </c:numCache>
            </c:numRef>
          </c:xVal>
          <c:yVal>
            <c:numRef>
              <c:f>'LTW Harvest Forecast'!$Q$3:$Q$16</c:f>
              <c:numCache>
                <c:formatCode>0.00</c:formatCode>
                <c:ptCount val="14"/>
                <c:pt idx="2">
                  <c:v>3.31</c:v>
                </c:pt>
              </c:numCache>
            </c:numRef>
          </c:yVal>
          <c:smooth val="0"/>
          <c:extLst>
            <c:ext xmlns:c16="http://schemas.microsoft.com/office/drawing/2014/chart" uri="{C3380CC4-5D6E-409C-BE32-E72D297353CC}">
              <c16:uniqueId val="{0000001D-A2D3-4FEB-B7CC-CCF3D0AE6F84}"/>
            </c:ext>
          </c:extLst>
        </c:ser>
        <c:dLbls>
          <c:showLegendKey val="0"/>
          <c:showVal val="0"/>
          <c:showCatName val="0"/>
          <c:showSerName val="0"/>
          <c:showPercent val="0"/>
          <c:showBubbleSize val="0"/>
        </c:dLbls>
        <c:axId val="3"/>
        <c:axId val="4"/>
      </c:scatterChart>
      <c:valAx>
        <c:axId val="2067343983"/>
        <c:scaling>
          <c:orientation val="minMax"/>
          <c:max val="45210"/>
          <c:min val="45160"/>
        </c:scaling>
        <c:delete val="0"/>
        <c:axPos val="b"/>
        <c:majorGridlines>
          <c:spPr>
            <a:ln>
              <a:solidFill>
                <a:srgbClr val="000000"/>
              </a:solidFill>
            </a:ln>
          </c:spPr>
        </c:majorGridlines>
        <c:numFmt formatCode="m/d" sourceLinked="0"/>
        <c:majorTickMark val="out"/>
        <c:minorTickMark val="in"/>
        <c:tickLblPos val="nextTo"/>
        <c:spPr>
          <a:ln w="3175">
            <a:solidFill>
              <a:srgbClr val="000000"/>
            </a:solidFill>
            <a:prstDash val="solid"/>
          </a:ln>
        </c:spPr>
        <c:txPr>
          <a:bodyPr rot="-5400000" vert="horz"/>
          <a:lstStyle/>
          <a:p>
            <a:pPr>
              <a:defRPr/>
            </a:pPr>
            <a:endParaRPr lang="en-US"/>
          </a:p>
        </c:txPr>
        <c:crossAx val="1"/>
        <c:crosses val="autoZero"/>
        <c:crossBetween val="midCat"/>
        <c:majorUnit val="2"/>
      </c:valAx>
      <c:valAx>
        <c:axId val="1"/>
        <c:scaling>
          <c:orientation val="minMax"/>
          <c:max val="28"/>
          <c:min val="0"/>
        </c:scaling>
        <c:delete val="0"/>
        <c:axPos val="l"/>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a:pPr>
            <a:endParaRPr lang="en-US"/>
          </a:p>
        </c:txPr>
        <c:crossAx val="2067343983"/>
        <c:crosses val="autoZero"/>
        <c:crossBetween val="midCat"/>
        <c:majorUnit val="1"/>
        <c:minorUnit val="0.2"/>
      </c:valAx>
      <c:valAx>
        <c:axId val="3"/>
        <c:scaling>
          <c:orientation val="minMax"/>
        </c:scaling>
        <c:delete val="1"/>
        <c:axPos val="b"/>
        <c:numFmt formatCode="ddd\ m/d/yy" sourceLinked="1"/>
        <c:majorTickMark val="out"/>
        <c:minorTickMark val="none"/>
        <c:tickLblPos val="nextTo"/>
        <c:crossAx val="4"/>
        <c:crosses val="autoZero"/>
        <c:crossBetween val="midCat"/>
      </c:valAx>
      <c:valAx>
        <c:axId val="4"/>
        <c:scaling>
          <c:orientation val="minMax"/>
          <c:max val="4"/>
          <c:min val="2.5"/>
        </c:scaling>
        <c:delete val="0"/>
        <c:axPos val="l"/>
        <c:numFmt formatCode="0.00" sourceLinked="1"/>
        <c:majorTickMark val="none"/>
        <c:minorTickMark val="none"/>
        <c:tickLblPos val="none"/>
        <c:spPr>
          <a:ln w="3175">
            <a:solidFill>
              <a:srgbClr val="000000"/>
            </a:solidFill>
            <a:prstDash val="solid"/>
          </a:ln>
        </c:spPr>
        <c:crossAx val="3"/>
        <c:crosses val="autoZero"/>
        <c:crossBetween val="midCat"/>
      </c:valAx>
      <c:spPr>
        <a:noFill/>
        <a:ln w="12700">
          <a:solidFill>
            <a:srgbClr val="808080"/>
          </a:solidFill>
          <a:prstDash val="solid"/>
        </a:ln>
      </c:spPr>
    </c:plotArea>
    <c:legend>
      <c:legendPos val="b"/>
      <c:layout>
        <c:manualLayout>
          <c:xMode val="edge"/>
          <c:yMode val="edge"/>
          <c:x val="0.17074517221660143"/>
          <c:y val="0.93159865016872889"/>
          <c:w val="0.70469874924852272"/>
          <c:h val="4.1095913010873675E-2"/>
        </c:manualLayout>
      </c:layout>
      <c:overlay val="0"/>
      <c:spPr>
        <a:solidFill>
          <a:srgbClr val="FFFFFF"/>
        </a:solidFill>
        <a:ln w="3175">
          <a:solidFill>
            <a:srgbClr val="000000"/>
          </a:solidFill>
          <a:prstDash val="solid"/>
        </a:ln>
      </c:spPr>
    </c:legend>
    <c:plotVisOnly val="1"/>
    <c:dispBlanksAs val="gap"/>
    <c:showDLblsOverMax val="0"/>
  </c:chart>
  <c:spPr>
    <a:solidFill>
      <a:srgbClr val="FFFFFF"/>
    </a:solidFill>
    <a:ln w="3175">
      <a:solidFill>
        <a:srgbClr val="000000"/>
      </a:solidFill>
      <a:prstDash val="solid"/>
    </a:ln>
  </c:spPr>
  <c:txPr>
    <a:bodyPr/>
    <a:lstStyle/>
    <a:p>
      <a:pPr>
        <a:defRPr sz="1100" b="0" i="0" u="none" strike="noStrike" baseline="0">
          <a:solidFill>
            <a:srgbClr val="000000"/>
          </a:solidFill>
          <a:latin typeface="Arial Narrow" panose="020B0606020202030204" pitchFamily="34" charset="0"/>
          <a:ea typeface="Times New Roman"/>
          <a:cs typeface="Times New Roman"/>
        </a:defRPr>
      </a:pPr>
      <a:endParaRPr lang="en-US"/>
    </a:p>
  </c:txPr>
  <c:printSettings>
    <c:headerFooter alignWithMargins="0"/>
    <c:pageMargins b="1" l="0.75" r="0.75" t="1" header="0.5" footer="0.5"/>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7366383671314834E-2"/>
          <c:y val="2.5295538057742786E-2"/>
          <c:w val="0.88697502895936886"/>
          <c:h val="0.84814968128983881"/>
        </c:manualLayout>
      </c:layout>
      <c:scatterChart>
        <c:scatterStyle val="lineMarker"/>
        <c:varyColors val="0"/>
        <c:ser>
          <c:idx val="0"/>
          <c:order val="0"/>
          <c:tx>
            <c:strRef>
              <c:f>'LTW Harvest Forecast'!$O$2</c:f>
              <c:strCache>
                <c:ptCount val="1"/>
                <c:pt idx="0">
                  <c:v>Brix</c:v>
                </c:pt>
              </c:strCache>
            </c:strRef>
          </c:tx>
          <c:spPr>
            <a:ln>
              <a:solidFill>
                <a:srgbClr val="0000FF"/>
              </a:solidFill>
            </a:ln>
          </c:spPr>
          <c:marker>
            <c:symbol val="circle"/>
            <c:size val="5"/>
            <c:spPr>
              <a:solidFill>
                <a:srgbClr val="0000FF"/>
              </a:solidFill>
              <a:ln>
                <a:solidFill>
                  <a:srgbClr val="0000FF"/>
                </a:solidFill>
                <a:prstDash val="solid"/>
              </a:ln>
            </c:spPr>
          </c:marker>
          <c:trendline>
            <c:spPr>
              <a:ln w="22225" cmpd="dbl">
                <a:solidFill>
                  <a:sysClr val="windowText" lastClr="000000"/>
                </a:solidFill>
                <a:prstDash val="solid"/>
              </a:ln>
            </c:spPr>
            <c:trendlineType val="linear"/>
            <c:forward val="14"/>
            <c:dispRSqr val="0"/>
            <c:dispEq val="0"/>
          </c:trendline>
          <c:xVal>
            <c:numRef>
              <c:f>'LTW Harvest Forecast'!$AE$3:$AE$16</c:f>
              <c:numCache>
                <c:formatCode>ddd\ m/d/yy</c:formatCode>
                <c:ptCount val="14"/>
                <c:pt idx="0">
                  <c:v>45156</c:v>
                </c:pt>
                <c:pt idx="1">
                  <c:v>45163</c:v>
                </c:pt>
                <c:pt idx="2">
                  <c:v>45173</c:v>
                </c:pt>
                <c:pt idx="3">
                  <c:v>45187</c:v>
                </c:pt>
              </c:numCache>
            </c:numRef>
          </c:xVal>
          <c:yVal>
            <c:numRef>
              <c:f>'LTW Harvest Forecast'!$AF$3:$AF$16</c:f>
              <c:numCache>
                <c:formatCode>0.0</c:formatCode>
                <c:ptCount val="14"/>
                <c:pt idx="0">
                  <c:v>18.600000000000001</c:v>
                </c:pt>
                <c:pt idx="1">
                  <c:v>20.149999999999999</c:v>
                </c:pt>
                <c:pt idx="2">
                  <c:v>21.9</c:v>
                </c:pt>
                <c:pt idx="3">
                  <c:v>22.9</c:v>
                </c:pt>
              </c:numCache>
            </c:numRef>
          </c:yVal>
          <c:smooth val="0"/>
          <c:extLst>
            <c:ext xmlns:c16="http://schemas.microsoft.com/office/drawing/2014/chart" uri="{C3380CC4-5D6E-409C-BE32-E72D297353CC}">
              <c16:uniqueId val="{00000009-9A6D-4626-BC58-5E2FA88AA958}"/>
            </c:ext>
          </c:extLst>
        </c:ser>
        <c:ser>
          <c:idx val="1"/>
          <c:order val="1"/>
          <c:tx>
            <c:v>TA</c:v>
          </c:tx>
          <c:spPr>
            <a:ln>
              <a:solidFill>
                <a:srgbClr val="00B050"/>
              </a:solidFill>
            </a:ln>
          </c:spPr>
          <c:marker>
            <c:symbol val="square"/>
            <c:size val="7"/>
            <c:spPr>
              <a:solidFill>
                <a:srgbClr val="92D050"/>
              </a:solidFill>
              <a:ln>
                <a:solidFill>
                  <a:srgbClr val="00B050"/>
                </a:solidFill>
                <a:prstDash val="solid"/>
              </a:ln>
            </c:spPr>
          </c:marker>
          <c:xVal>
            <c:numRef>
              <c:f>'LTW Harvest Forecast'!$AE$3:$AE$16</c:f>
              <c:numCache>
                <c:formatCode>ddd\ m/d/yy</c:formatCode>
                <c:ptCount val="14"/>
                <c:pt idx="0">
                  <c:v>45156</c:v>
                </c:pt>
                <c:pt idx="1">
                  <c:v>45163</c:v>
                </c:pt>
                <c:pt idx="2">
                  <c:v>45173</c:v>
                </c:pt>
                <c:pt idx="3">
                  <c:v>45187</c:v>
                </c:pt>
              </c:numCache>
            </c:numRef>
          </c:xVal>
          <c:yVal>
            <c:numRef>
              <c:f>'LTW Harvest Forecast'!$AG$3:$AG$16</c:f>
              <c:numCache>
                <c:formatCode>0.00</c:formatCode>
                <c:ptCount val="14"/>
              </c:numCache>
            </c:numRef>
          </c:yVal>
          <c:smooth val="0"/>
          <c:extLst>
            <c:ext xmlns:c16="http://schemas.microsoft.com/office/drawing/2014/chart" uri="{C3380CC4-5D6E-409C-BE32-E72D297353CC}">
              <c16:uniqueId val="{00000013-9A6D-4626-BC58-5E2FA88AA958}"/>
            </c:ext>
          </c:extLst>
        </c:ser>
        <c:dLbls>
          <c:showLegendKey val="0"/>
          <c:showVal val="0"/>
          <c:showCatName val="0"/>
          <c:showSerName val="0"/>
          <c:showPercent val="0"/>
          <c:showBubbleSize val="0"/>
        </c:dLbls>
        <c:axId val="2067343983"/>
        <c:axId val="1"/>
      </c:scatterChart>
      <c:scatterChart>
        <c:scatterStyle val="lineMarker"/>
        <c:varyColors val="0"/>
        <c:ser>
          <c:idx val="2"/>
          <c:order val="2"/>
          <c:tx>
            <c:strRef>
              <c:f>'LTW Harvest Forecast'!$Q$2</c:f>
              <c:strCache>
                <c:ptCount val="1"/>
                <c:pt idx="0">
                  <c:v>pH</c:v>
                </c:pt>
              </c:strCache>
            </c:strRef>
          </c:tx>
          <c:spPr>
            <a:ln>
              <a:solidFill>
                <a:srgbClr val="FF0000"/>
              </a:solidFill>
              <a:prstDash val="sysDash"/>
            </a:ln>
          </c:spPr>
          <c:marker>
            <c:symbol val="triangle"/>
            <c:size val="8"/>
            <c:spPr>
              <a:solidFill>
                <a:srgbClr val="FF0000"/>
              </a:solidFill>
              <a:ln>
                <a:solidFill>
                  <a:srgbClr val="FF0000"/>
                </a:solidFill>
                <a:prstDash val="solid"/>
              </a:ln>
            </c:spPr>
          </c:marker>
          <c:xVal>
            <c:numRef>
              <c:f>'LTW Harvest Forecast'!$AE$3:$AE$16</c:f>
              <c:numCache>
                <c:formatCode>ddd\ m/d/yy</c:formatCode>
                <c:ptCount val="14"/>
                <c:pt idx="0">
                  <c:v>45156</c:v>
                </c:pt>
                <c:pt idx="1">
                  <c:v>45163</c:v>
                </c:pt>
                <c:pt idx="2">
                  <c:v>45173</c:v>
                </c:pt>
                <c:pt idx="3">
                  <c:v>45187</c:v>
                </c:pt>
              </c:numCache>
            </c:numRef>
          </c:xVal>
          <c:yVal>
            <c:numRef>
              <c:f>'LTW Harvest Forecast'!$AH$3:$AH$16</c:f>
              <c:numCache>
                <c:formatCode>0.00</c:formatCode>
                <c:ptCount val="14"/>
              </c:numCache>
            </c:numRef>
          </c:yVal>
          <c:smooth val="0"/>
          <c:extLst>
            <c:ext xmlns:c16="http://schemas.microsoft.com/office/drawing/2014/chart" uri="{C3380CC4-5D6E-409C-BE32-E72D297353CC}">
              <c16:uniqueId val="{0000001D-9A6D-4626-BC58-5E2FA88AA958}"/>
            </c:ext>
          </c:extLst>
        </c:ser>
        <c:dLbls>
          <c:showLegendKey val="0"/>
          <c:showVal val="0"/>
          <c:showCatName val="0"/>
          <c:showSerName val="0"/>
          <c:showPercent val="0"/>
          <c:showBubbleSize val="0"/>
        </c:dLbls>
        <c:axId val="3"/>
        <c:axId val="4"/>
      </c:scatterChart>
      <c:valAx>
        <c:axId val="2067343983"/>
        <c:scaling>
          <c:orientation val="minMax"/>
          <c:max val="45190"/>
          <c:min val="45138"/>
        </c:scaling>
        <c:delete val="0"/>
        <c:axPos val="b"/>
        <c:majorGridlines>
          <c:spPr>
            <a:ln>
              <a:solidFill>
                <a:srgbClr val="000000"/>
              </a:solidFill>
            </a:ln>
          </c:spPr>
        </c:majorGridlines>
        <c:numFmt formatCode="m/d" sourceLinked="0"/>
        <c:majorTickMark val="out"/>
        <c:minorTickMark val="in"/>
        <c:tickLblPos val="nextTo"/>
        <c:spPr>
          <a:ln w="3175">
            <a:solidFill>
              <a:srgbClr val="000000"/>
            </a:solidFill>
            <a:prstDash val="solid"/>
          </a:ln>
        </c:spPr>
        <c:txPr>
          <a:bodyPr rot="-5400000" vert="horz"/>
          <a:lstStyle/>
          <a:p>
            <a:pPr>
              <a:defRPr/>
            </a:pPr>
            <a:endParaRPr lang="en-US"/>
          </a:p>
        </c:txPr>
        <c:crossAx val="1"/>
        <c:crosses val="autoZero"/>
        <c:crossBetween val="midCat"/>
        <c:majorUnit val="2"/>
      </c:valAx>
      <c:valAx>
        <c:axId val="1"/>
        <c:scaling>
          <c:orientation val="minMax"/>
          <c:max val="28"/>
          <c:min val="0"/>
        </c:scaling>
        <c:delete val="0"/>
        <c:axPos val="l"/>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a:pPr>
            <a:endParaRPr lang="en-US"/>
          </a:p>
        </c:txPr>
        <c:crossAx val="2067343983"/>
        <c:crosses val="autoZero"/>
        <c:crossBetween val="midCat"/>
        <c:majorUnit val="1"/>
        <c:minorUnit val="0.2"/>
      </c:valAx>
      <c:valAx>
        <c:axId val="3"/>
        <c:scaling>
          <c:orientation val="minMax"/>
        </c:scaling>
        <c:delete val="1"/>
        <c:axPos val="b"/>
        <c:numFmt formatCode="ddd\ m/d/yy" sourceLinked="1"/>
        <c:majorTickMark val="out"/>
        <c:minorTickMark val="none"/>
        <c:tickLblPos val="nextTo"/>
        <c:crossAx val="4"/>
        <c:crosses val="autoZero"/>
        <c:crossBetween val="midCat"/>
      </c:valAx>
      <c:valAx>
        <c:axId val="4"/>
        <c:scaling>
          <c:orientation val="minMax"/>
          <c:max val="4"/>
          <c:min val="2.5"/>
        </c:scaling>
        <c:delete val="0"/>
        <c:axPos val="l"/>
        <c:numFmt formatCode="0.00" sourceLinked="1"/>
        <c:majorTickMark val="none"/>
        <c:minorTickMark val="none"/>
        <c:tickLblPos val="none"/>
        <c:spPr>
          <a:ln w="3175">
            <a:solidFill>
              <a:srgbClr val="000000"/>
            </a:solidFill>
            <a:prstDash val="solid"/>
          </a:ln>
        </c:spPr>
        <c:crossAx val="3"/>
        <c:crosses val="autoZero"/>
        <c:crossBetween val="midCat"/>
      </c:valAx>
      <c:spPr>
        <a:noFill/>
        <a:ln w="12700">
          <a:solidFill>
            <a:srgbClr val="808080"/>
          </a:solidFill>
          <a:prstDash val="solid"/>
        </a:ln>
      </c:spPr>
    </c:plotArea>
    <c:legend>
      <c:legendPos val="b"/>
      <c:layout>
        <c:manualLayout>
          <c:xMode val="edge"/>
          <c:yMode val="edge"/>
          <c:x val="0.17074517221660143"/>
          <c:y val="0.93159865016872889"/>
          <c:w val="0.70469874924852272"/>
          <c:h val="4.1095913010873675E-2"/>
        </c:manualLayout>
      </c:layout>
      <c:overlay val="0"/>
      <c:spPr>
        <a:solidFill>
          <a:srgbClr val="FFFFFF"/>
        </a:solidFill>
        <a:ln w="3175">
          <a:solidFill>
            <a:srgbClr val="000000"/>
          </a:solidFill>
          <a:prstDash val="solid"/>
        </a:ln>
      </c:spPr>
    </c:legend>
    <c:plotVisOnly val="1"/>
    <c:dispBlanksAs val="gap"/>
    <c:showDLblsOverMax val="0"/>
  </c:chart>
  <c:spPr>
    <a:solidFill>
      <a:srgbClr val="FFFFFF"/>
    </a:solidFill>
    <a:ln w="3175">
      <a:solidFill>
        <a:srgbClr val="000000"/>
      </a:solidFill>
      <a:prstDash val="solid"/>
    </a:ln>
  </c:spPr>
  <c:txPr>
    <a:bodyPr/>
    <a:lstStyle/>
    <a:p>
      <a:pPr>
        <a:defRPr sz="1100" b="0" i="0" u="none" strike="noStrike" baseline="0">
          <a:solidFill>
            <a:srgbClr val="000000"/>
          </a:solidFill>
          <a:latin typeface="Arial Narrow" panose="020B0606020202030204" pitchFamily="34" charset="0"/>
          <a:ea typeface="Times New Roman"/>
          <a:cs typeface="Times New Roman"/>
        </a:defRPr>
      </a:pPr>
      <a:endParaRPr lang="en-US"/>
    </a:p>
  </c:txPr>
  <c:printSettings>
    <c:headerFooter alignWithMargins="0"/>
    <c:pageMargins b="1" l="0.75" r="0.75" t="1" header="0.5" footer="0.5"/>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2</xdr:col>
      <xdr:colOff>201776</xdr:colOff>
      <xdr:row>0</xdr:row>
      <xdr:rowOff>148833</xdr:rowOff>
    </xdr:from>
    <xdr:to>
      <xdr:col>5</xdr:col>
      <xdr:colOff>742635</xdr:colOff>
      <xdr:row>1</xdr:row>
      <xdr:rowOff>94959</xdr:rowOff>
    </xdr:to>
    <xdr:pic>
      <xdr:nvPicPr>
        <xdr:cNvPr id="5" name="Picture 2" descr="C:\Users\marissa\AppData\Local\Microsoft\Windows\INetCache\Content.Word\LT_BRAND_logo_Pref-onWhite.jpg">
          <a:extLst>
            <a:ext uri="{FF2B5EF4-FFF2-40B4-BE49-F238E27FC236}">
              <a16:creationId xmlns:a16="http://schemas.microsoft.com/office/drawing/2014/main" id="{4C75028C-0BAD-4E74-AE06-11C24F82EE9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1776" y="148833"/>
          <a:ext cx="2005918" cy="38675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0</xdr:row>
      <xdr:rowOff>95250</xdr:rowOff>
    </xdr:from>
    <xdr:to>
      <xdr:col>35</xdr:col>
      <xdr:colOff>518449</xdr:colOff>
      <xdr:row>2</xdr:row>
      <xdr:rowOff>123825</xdr:rowOff>
    </xdr:to>
    <xdr:sp macro="" textlink="">
      <xdr:nvSpPr>
        <xdr:cNvPr id="2" name="Rectangle 1">
          <a:extLst>
            <a:ext uri="{FF2B5EF4-FFF2-40B4-BE49-F238E27FC236}">
              <a16:creationId xmlns:a16="http://schemas.microsoft.com/office/drawing/2014/main" id="{C356E9B5-58E5-4D21-D78B-BD560CAE94ED}"/>
            </a:ext>
          </a:extLst>
        </xdr:cNvPr>
        <xdr:cNvSpPr/>
      </xdr:nvSpPr>
      <xdr:spPr>
        <a:xfrm>
          <a:off x="133350" y="95250"/>
          <a:ext cx="21484783" cy="438512"/>
        </a:xfrm>
        <a:prstGeom prst="rect">
          <a:avLst/>
        </a:prstGeom>
        <a:solidFill>
          <a:schemeClr val="accent1">
            <a:lumMod val="75000"/>
          </a:schemeClr>
        </a:solidFill>
        <a:ln>
          <a:solidFill>
            <a:sysClr val="windowText" lastClr="000000"/>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104775</xdr:rowOff>
    </xdr:from>
    <xdr:to>
      <xdr:col>8</xdr:col>
      <xdr:colOff>314325</xdr:colOff>
      <xdr:row>2</xdr:row>
      <xdr:rowOff>180975</xdr:rowOff>
    </xdr:to>
    <xdr:sp macro="" textlink="">
      <xdr:nvSpPr>
        <xdr:cNvPr id="3" name="TextBox 2">
          <a:extLst>
            <a:ext uri="{FF2B5EF4-FFF2-40B4-BE49-F238E27FC236}">
              <a16:creationId xmlns:a16="http://schemas.microsoft.com/office/drawing/2014/main" id="{74EC05EF-1BE1-A232-24EA-2338C693139F}"/>
            </a:ext>
          </a:extLst>
        </xdr:cNvPr>
        <xdr:cNvSpPr txBox="1"/>
      </xdr:nvSpPr>
      <xdr:spPr>
        <a:xfrm>
          <a:off x="190500" y="104775"/>
          <a:ext cx="50006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chemeClr val="bg1"/>
              </a:solidFill>
              <a:latin typeface="Arial Narrow" panose="020B0606020202030204" pitchFamily="34" charset="0"/>
            </a:rPr>
            <a:t>Brix Dashboard</a:t>
          </a:r>
          <a:endParaRPr lang="en-US" sz="2000" b="1">
            <a:solidFill>
              <a:schemeClr val="bg1"/>
            </a:solidFill>
            <a:latin typeface="Arial Narrow" panose="020B0606020202030204" pitchFamily="34" charset="0"/>
          </a:endParaRPr>
        </a:p>
      </xdr:txBody>
    </xdr:sp>
    <xdr:clientData/>
  </xdr:twoCellAnchor>
  <xdr:twoCellAnchor>
    <xdr:from>
      <xdr:col>7</xdr:col>
      <xdr:colOff>219075</xdr:colOff>
      <xdr:row>3</xdr:row>
      <xdr:rowOff>9525</xdr:rowOff>
    </xdr:from>
    <xdr:to>
      <xdr:col>35</xdr:col>
      <xdr:colOff>506392</xdr:colOff>
      <xdr:row>33</xdr:row>
      <xdr:rowOff>120569</xdr:rowOff>
    </xdr:to>
    <xdr:graphicFrame macro="">
      <xdr:nvGraphicFramePr>
        <xdr:cNvPr id="4" name="Chart 3">
          <a:extLst>
            <a:ext uri="{FF2B5EF4-FFF2-40B4-BE49-F238E27FC236}">
              <a16:creationId xmlns:a16="http://schemas.microsoft.com/office/drawing/2014/main" id="{C6B58EDD-9E01-4DF7-BE72-478A013DF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123825</xdr:colOff>
      <xdr:row>2</xdr:row>
      <xdr:rowOff>190500</xdr:rowOff>
    </xdr:from>
    <xdr:to>
      <xdr:col>7</xdr:col>
      <xdr:colOff>118110</xdr:colOff>
      <xdr:row>6</xdr:row>
      <xdr:rowOff>104775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DE9C3C09-9CCE-5021-A586-E37F2320F7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825" y="590550"/>
              <a:ext cx="4267200"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142874</xdr:colOff>
      <xdr:row>6</xdr:row>
      <xdr:rowOff>180975</xdr:rowOff>
    </xdr:from>
    <xdr:to>
      <xdr:col>7</xdr:col>
      <xdr:colOff>118110</xdr:colOff>
      <xdr:row>22</xdr:row>
      <xdr:rowOff>0</xdr:rowOff>
    </xdr:to>
    <mc:AlternateContent xmlns:mc="http://schemas.openxmlformats.org/markup-compatibility/2006" xmlns:a14="http://schemas.microsoft.com/office/drawing/2010/main">
      <mc:Choice Requires="a14">
        <xdr:graphicFrame macro="">
          <xdr:nvGraphicFramePr>
            <xdr:cNvPr id="6" name="VARIETY">
              <a:extLst>
                <a:ext uri="{FF2B5EF4-FFF2-40B4-BE49-F238E27FC236}">
                  <a16:creationId xmlns:a16="http://schemas.microsoft.com/office/drawing/2014/main" id="{0D784474-7281-F3ED-7A97-0CDE80256B2A}"/>
                </a:ext>
              </a:extLst>
            </xdr:cNvPr>
            <xdr:cNvGraphicFramePr/>
          </xdr:nvGraphicFramePr>
          <xdr:xfrm>
            <a:off x="0" y="0"/>
            <a:ext cx="0" cy="0"/>
          </xdr:xfrm>
          <a:graphic>
            <a:graphicData uri="http://schemas.microsoft.com/office/drawing/2010/slicer">
              <sle:slicer xmlns:sle="http://schemas.microsoft.com/office/drawing/2010/slicer" name="VARIETY"/>
            </a:graphicData>
          </a:graphic>
        </xdr:graphicFrame>
      </mc:Choice>
      <mc:Fallback xmlns="">
        <xdr:sp macro="" textlink="">
          <xdr:nvSpPr>
            <xdr:cNvPr id="0" name=""/>
            <xdr:cNvSpPr>
              <a:spLocks noTextEdit="1"/>
            </xdr:cNvSpPr>
          </xdr:nvSpPr>
          <xdr:spPr>
            <a:xfrm>
              <a:off x="142874" y="1381125"/>
              <a:ext cx="4248151" cy="3019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22</xdr:row>
      <xdr:rowOff>114300</xdr:rowOff>
    </xdr:from>
    <xdr:to>
      <xdr:col>7</xdr:col>
      <xdr:colOff>142874</xdr:colOff>
      <xdr:row>33</xdr:row>
      <xdr:rowOff>152400</xdr:rowOff>
    </xdr:to>
    <mc:AlternateContent xmlns:mc="http://schemas.openxmlformats.org/markup-compatibility/2006" xmlns:a14="http://schemas.microsoft.com/office/drawing/2010/main">
      <mc:Choice Requires="a14">
        <xdr:graphicFrame macro="">
          <xdr:nvGraphicFramePr>
            <xdr:cNvPr id="11" name="WINERY">
              <a:extLst>
                <a:ext uri="{FF2B5EF4-FFF2-40B4-BE49-F238E27FC236}">
                  <a16:creationId xmlns:a16="http://schemas.microsoft.com/office/drawing/2014/main" id="{020630ED-C26D-7A0B-797D-209183AFBC60}"/>
                </a:ext>
              </a:extLst>
            </xdr:cNvPr>
            <xdr:cNvGraphicFramePr/>
          </xdr:nvGraphicFramePr>
          <xdr:xfrm>
            <a:off x="0" y="0"/>
            <a:ext cx="0" cy="0"/>
          </xdr:xfrm>
          <a:graphic>
            <a:graphicData uri="http://schemas.microsoft.com/office/drawing/2010/slicer">
              <sle:slicer xmlns:sle="http://schemas.microsoft.com/office/drawing/2010/slicer" name="WINERY"/>
            </a:graphicData>
          </a:graphic>
        </xdr:graphicFrame>
      </mc:Choice>
      <mc:Fallback xmlns="">
        <xdr:sp macro="" textlink="">
          <xdr:nvSpPr>
            <xdr:cNvPr id="0" name=""/>
            <xdr:cNvSpPr>
              <a:spLocks noTextEdit="1"/>
            </xdr:cNvSpPr>
          </xdr:nvSpPr>
          <xdr:spPr>
            <a:xfrm>
              <a:off x="114300" y="4514850"/>
              <a:ext cx="4286249" cy="2247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34</xdr:row>
      <xdr:rowOff>24113</xdr:rowOff>
    </xdr:from>
    <xdr:to>
      <xdr:col>35</xdr:col>
      <xdr:colOff>506392</xdr:colOff>
      <xdr:row>53</xdr:row>
      <xdr:rowOff>126999</xdr:rowOff>
    </xdr:to>
    <mc:AlternateContent xmlns:mc="http://schemas.openxmlformats.org/markup-compatibility/2006" xmlns:a14="http://schemas.microsoft.com/office/drawing/2010/main">
      <mc:Choice Requires="a14">
        <xdr:graphicFrame macro="">
          <xdr:nvGraphicFramePr>
            <xdr:cNvPr id="7" name="CODE">
              <a:extLst>
                <a:ext uri="{FF2B5EF4-FFF2-40B4-BE49-F238E27FC236}">
                  <a16:creationId xmlns:a16="http://schemas.microsoft.com/office/drawing/2014/main" id="{9109B15D-B196-434B-B543-27330C00D572}"/>
                </a:ext>
                <a:ext uri="{147F2762-F138-4A5C-976F-8EAC2B608ADB}">
                  <a16:predDERef xmlns:a16="http://schemas.microsoft.com/office/drawing/2014/main" pred="{020630ED-C26D-7A0B-797D-209183AFBC60}"/>
                </a:ext>
              </a:extLst>
            </xdr:cNvPr>
            <xdr:cNvGraphicFramePr/>
          </xdr:nvGraphicFramePr>
          <xdr:xfrm>
            <a:off x="0" y="0"/>
            <a:ext cx="0" cy="0"/>
          </xdr:xfrm>
          <a:graphic>
            <a:graphicData uri="http://schemas.microsoft.com/office/drawing/2010/slicer">
              <sle:slicer xmlns:sle="http://schemas.microsoft.com/office/drawing/2010/slicer" name="CODE"/>
            </a:graphicData>
          </a:graphic>
        </xdr:graphicFrame>
      </mc:Choice>
      <mc:Fallback xmlns="">
        <xdr:sp macro="" textlink="">
          <xdr:nvSpPr>
            <xdr:cNvPr id="0" name=""/>
            <xdr:cNvSpPr>
              <a:spLocks noTextEdit="1"/>
            </xdr:cNvSpPr>
          </xdr:nvSpPr>
          <xdr:spPr>
            <a:xfrm>
              <a:off x="123825" y="6848475"/>
              <a:ext cx="17564100" cy="3952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57150</xdr:rowOff>
    </xdr:from>
    <xdr:to>
      <xdr:col>11</xdr:col>
      <xdr:colOff>581025</xdr:colOff>
      <xdr:row>33</xdr:row>
      <xdr:rowOff>133350</xdr:rowOff>
    </xdr:to>
    <xdr:graphicFrame macro="">
      <xdr:nvGraphicFramePr>
        <xdr:cNvPr id="11" name="Chart 1">
          <a:extLst>
            <a:ext uri="{FF2B5EF4-FFF2-40B4-BE49-F238E27FC236}">
              <a16:creationId xmlns:a16="http://schemas.microsoft.com/office/drawing/2014/main" id="{9214D00C-9D53-404A-93B9-659BD8A0B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555071</xdr:colOff>
      <xdr:row>7</xdr:row>
      <xdr:rowOff>71693</xdr:rowOff>
    </xdr:from>
    <xdr:to>
      <xdr:col>11</xdr:col>
      <xdr:colOff>326471</xdr:colOff>
      <xdr:row>7</xdr:row>
      <xdr:rowOff>71693</xdr:rowOff>
    </xdr:to>
    <xdr:sp macro="" textlink="">
      <xdr:nvSpPr>
        <xdr:cNvPr id="10" name="Line 1">
          <a:extLst>
            <a:ext uri="{FF2B5EF4-FFF2-40B4-BE49-F238E27FC236}">
              <a16:creationId xmlns:a16="http://schemas.microsoft.com/office/drawing/2014/main" id="{AD952B58-0ECF-4952-9377-3CA3C5FF6072}"/>
            </a:ext>
          </a:extLst>
        </xdr:cNvPr>
        <xdr:cNvSpPr>
          <a:spLocks noChangeShapeType="1"/>
        </xdr:cNvSpPr>
      </xdr:nvSpPr>
      <xdr:spPr bwMode="auto">
        <a:xfrm>
          <a:off x="729184" y="1413387"/>
          <a:ext cx="6305755" cy="0"/>
        </a:xfrm>
        <a:prstGeom prst="line">
          <a:avLst/>
        </a:prstGeom>
        <a:ln w="15875" cap="flat" cmpd="sng" algn="ctr">
          <a:solidFill>
            <a:srgbClr val="FF0000"/>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txBody>
        <a:bodyPr/>
        <a:lstStyle/>
        <a:p>
          <a:endParaRPr lang="en-US"/>
        </a:p>
      </xdr:txBody>
    </xdr:sp>
    <xdr:clientData/>
  </xdr:twoCellAnchor>
  <xdr:twoCellAnchor>
    <xdr:from>
      <xdr:col>18</xdr:col>
      <xdr:colOff>0</xdr:colOff>
      <xdr:row>1</xdr:row>
      <xdr:rowOff>57150</xdr:rowOff>
    </xdr:from>
    <xdr:to>
      <xdr:col>28</xdr:col>
      <xdr:colOff>581025</xdr:colOff>
      <xdr:row>33</xdr:row>
      <xdr:rowOff>104775</xdr:rowOff>
    </xdr:to>
    <xdr:graphicFrame macro="">
      <xdr:nvGraphicFramePr>
        <xdr:cNvPr id="12" name="Chart 3">
          <a:extLst>
            <a:ext uri="{FF2B5EF4-FFF2-40B4-BE49-F238E27FC236}">
              <a16:creationId xmlns:a16="http://schemas.microsoft.com/office/drawing/2014/main" id="{8BF31774-D476-422B-A881-19A4F12C0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542925</xdr:colOff>
      <xdr:row>10</xdr:row>
      <xdr:rowOff>0</xdr:rowOff>
    </xdr:from>
    <xdr:to>
      <xdr:col>28</xdr:col>
      <xdr:colOff>314325</xdr:colOff>
      <xdr:row>10</xdr:row>
      <xdr:rowOff>0</xdr:rowOff>
    </xdr:to>
    <xdr:sp macro="" textlink="">
      <xdr:nvSpPr>
        <xdr:cNvPr id="5" name="Line 1">
          <a:extLst>
            <a:ext uri="{FF2B5EF4-FFF2-40B4-BE49-F238E27FC236}">
              <a16:creationId xmlns:a16="http://schemas.microsoft.com/office/drawing/2014/main" id="{9A76B7A9-1954-426C-8230-7288C874CDF8}"/>
            </a:ext>
          </a:extLst>
        </xdr:cNvPr>
        <xdr:cNvSpPr>
          <a:spLocks noChangeShapeType="1"/>
        </xdr:cNvSpPr>
      </xdr:nvSpPr>
      <xdr:spPr bwMode="auto">
        <a:xfrm>
          <a:off x="704850" y="1771650"/>
          <a:ext cx="6143625" cy="0"/>
        </a:xfrm>
        <a:prstGeom prst="line">
          <a:avLst/>
        </a:prstGeom>
        <a:ln w="15875" cap="flat" cmpd="sng" algn="ctr">
          <a:solidFill>
            <a:srgbClr val="FF0000"/>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sp>
    <xdr:clientData/>
  </xdr:twoCellAnchor>
</xdr:wsDr>
</file>

<file path=xl/persons/person.xml><?xml version="1.0" encoding="utf-8"?>
<personList xmlns="http://schemas.microsoft.com/office/spreadsheetml/2018/threadedcomments" xmlns:x="http://schemas.openxmlformats.org/spreadsheetml/2006/main">
  <person displayName="Aaron Lange" id="{FD3ADA49-0E68-47B6-B8EB-1B526E888299}" userId="S::aaron@langetwins.com::0a143d0d-07f4-4283-b7f8-a529ee026d2e" providerId="AD"/>
  <person displayName="Maria Zumkeller" id="{82DC23F8-4FAE-441A-985F-2CDC7ECB79B7}" userId="S::mzumkeller@langetwins.com::93041f9f-6095-46c9-b58d-c8ee07cbec2d"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 Zumkeller" refreshedDate="45182.589639120371" createdVersion="8" refreshedVersion="8" minRefreshableVersion="3" recordCount="393" xr:uid="{5EB8DF97-14C7-475B-B3E9-227FC4F78C63}">
  <cacheSource type="worksheet">
    <worksheetSource ref="A4:DY393" sheet="All Brix"/>
  </cacheSource>
  <cacheFields count="128">
    <cacheField name="DONE?" numFmtId="0">
      <sharedItems containsBlank="1"/>
    </cacheField>
    <cacheField name="LODI RULES" numFmtId="0">
      <sharedItems containsBlank="1"/>
    </cacheField>
    <cacheField name="REGION" numFmtId="0">
      <sharedItems containsBlank="1" count="4">
        <m/>
        <s v="L"/>
        <s v="D"/>
        <s v="C"/>
      </sharedItems>
    </cacheField>
    <cacheField name="ACRES" numFmtId="0">
      <sharedItems containsString="0" containsBlank="1" containsNumber="1" minValue="0.33" maxValue="135.53"/>
    </cacheField>
    <cacheField name="VARIETY" numFmtId="0">
      <sharedItems count="33">
        <s v="AG"/>
        <s v="AL"/>
        <s v="AN"/>
        <s v="BA"/>
        <s v="CB"/>
        <s v="CF"/>
        <s v="CH"/>
        <s v="CS"/>
        <s v="GB"/>
        <s v="GE"/>
        <s v="GG"/>
        <s v="GV"/>
        <s v="MA"/>
        <s v="MC"/>
        <s v="ME"/>
        <s v="MP"/>
        <s v="ND"/>
        <s v="PB"/>
        <s v="PG"/>
        <s v="PN"/>
        <s v="PS"/>
        <s v="PV"/>
        <s v="SA"/>
        <s v="SB"/>
        <s v="SM"/>
        <s v="SY"/>
        <s v="TA"/>
        <s v="TD"/>
        <s v="TE"/>
        <s v="TO"/>
        <s v="VD"/>
        <s v="VI"/>
        <s v="ZN/PR"/>
      </sharedItems>
    </cacheField>
    <cacheField name="CODE" numFmtId="0">
      <sharedItems containsBlank="1" count="214">
        <m/>
        <s v="LFRR06AG"/>
        <s v="FFRY3BAL"/>
        <s v="WHWH03AL"/>
        <s v="LFRT03AN"/>
        <s v="CLMO01BA"/>
        <s v="CLPC02BA"/>
        <s v="FFRY15CB"/>
        <s v="FFRY07CB"/>
        <s v="MJM03CB"/>
        <s v="PRHZ11CB"/>
        <s v="PRHZ14CB"/>
        <s v="PRHZ15CB"/>
        <s v="PRHZ16CB"/>
        <s v="PRHZ17CB"/>
        <s v="PRHZ22CB"/>
        <s v="PRHZ05CB"/>
        <s v="PRHZ06CB"/>
        <s v="PRHZ08CB"/>
        <s v="PRHZ99CB"/>
        <s v="98OK11CF"/>
        <s v="LFRA02CF"/>
        <s v="BAPE01CH"/>
        <s v="CLAT02CH"/>
        <s v="CLAT03CH"/>
        <s v="CLAT04CH"/>
        <s v="CLBC02CH"/>
        <s v="CLR202CH"/>
        <s v="CLPC4BCH"/>
        <s v="CO8802CH"/>
        <s v="DBDA05CH"/>
        <s v="FFRY2BCH"/>
        <s v="FFRY03CH"/>
        <s v="FFRY04CH"/>
        <s v="FFRY05CH"/>
        <s v="FFRY06CH"/>
        <s v="LAPR02CH"/>
        <s v="LASHICH"/>
        <s v="LF8004CH"/>
        <s v="LF8004CH-Rosa"/>
        <s v="LFBT01CH"/>
        <s v="LFDA03CH"/>
        <s v="MJMJ01CH"/>
        <s v="JONR01CH"/>
        <s v="PRHZ01CH"/>
        <s v="PRHZ21CH"/>
        <s v="PPBR03CH"/>
        <s v="PPCR02CH"/>
        <s v="RSR203CH"/>
        <s v="RSR103CH"/>
        <s v="SLHM03CH"/>
        <s v="GEWENOCH"/>
        <s v="98OK01CS"/>
        <s v="98OK02CS"/>
        <s v="98OK04CS"/>
        <s v="98OK05CS"/>
        <s v="98OK06CS"/>
        <s v="98OK09CS"/>
        <s v="BHCH01CS"/>
        <s v="BSHMOHCS"/>
        <s v="CLOK02CS"/>
        <s v="CL3A03CS"/>
        <s v="CLAT01CS"/>
        <s v="CLAT05CS"/>
        <s v="CLNR01CS"/>
        <s v="CLPC07CS"/>
        <s v="CLPT01CS"/>
        <s v="CO8801CS"/>
        <s v="DBAI01CS"/>
        <s v="DBAI04CS"/>
        <s v="DFDA01CS"/>
        <s v="DFDA04CS"/>
        <s v="HEBO01CS"/>
        <s v="HIHV04CS"/>
        <s v="IWHM01CS"/>
        <s v="MKJA04CS"/>
        <s v="LAPR05CS"/>
        <s v="LF1001CS"/>
        <s v="LF3801CS"/>
        <s v="LFGC01GC"/>
        <s v="LFW104CS"/>
        <s v="LFW301CS"/>
        <s v="LFRA01CS"/>
        <s v="LFRR02CS"/>
        <s v="LFRR04CS"/>
        <s v="LFTO01CS"/>
        <s v="MEJA03CS"/>
        <s v="MRPR01CS"/>
        <s v="POCR03CS"/>
        <s v="RING01CS"/>
        <s v="RSR102CS"/>
        <s v="SEJA01CS"/>
        <s v="ZLLAOHCS"/>
        <s v="LFRR08GB"/>
        <s v="WHWH01GE"/>
        <s v="JONR03GG"/>
        <s v="JONR03GV"/>
        <s v="98OK03MA"/>
        <s v="CLR201MA"/>
        <s v="FDJA03MA"/>
        <s v="LAPR01MA"/>
        <s v="PRHZ99MA"/>
        <s v="DVDU07MC"/>
        <s v="DVDU07MC-GR"/>
        <s v="98OK07ME"/>
        <s v="BEBU01ME"/>
        <s v="CLOK01ME"/>
        <s v="CLLA01ME"/>
        <s v="CLPC01ME"/>
        <s v="CLPC03ME"/>
        <s v="CLPC05ME"/>
        <s v="CLR101ME"/>
        <s v="FDJA04ME"/>
        <s v="FDJA05ME"/>
        <s v="LAPR03ME"/>
        <s v="LFW201ME"/>
        <s v="PPCR01ME"/>
        <s v="SMSM01ME"/>
        <s v="LFRR05MP"/>
        <s v="DFDA07ND"/>
        <s v="LFRT01ND"/>
        <s v="LFRR07PB"/>
        <s v="CLBC01PG"/>
        <s v="DVMA02PG"/>
        <s v="FFRY13PG"/>
        <s v="LFDA02PG"/>
        <s v="MFLO01PG"/>
        <s v="MJMJ02PG"/>
        <s v="MUMU02PG"/>
        <s v="MFRN03PG"/>
        <s v="WHWH02PG"/>
        <s v="DVDU08PN"/>
        <s v="DVMA01PN-115"/>
        <s v="DVMA01PN-23"/>
        <s v="DVMA01PN-667"/>
        <s v="DVMA01PN-777"/>
        <s v="FFRY01PN"/>
        <s v="FFRY10PN"/>
        <s v="FFRY11PN"/>
        <s v="FFRY12PN"/>
        <s v="FFRY02PN"/>
        <s v="FFRY09PN"/>
        <s v="PRHZ03PN"/>
        <s v="PPBR04PN"/>
        <s v="MFRN01PN"/>
        <s v="MFRN02PN"/>
        <s v="SERA01PN"/>
        <s v="SLHM05PN"/>
        <s v="ZLSO01PN"/>
        <s v="98OK08PS"/>
        <s v="CLMN03PS"/>
        <s v="CLMN04PS"/>
        <s v="CLMN05PS"/>
        <s v="LAPR04PS"/>
        <s v="LF8003PS"/>
        <s v="PRHZ18PS"/>
        <s v="CL3A01PV"/>
        <s v="CL3A04PV"/>
        <s v="CLMN02PV"/>
        <s v="LF8002PV"/>
        <s v="LFW101PV"/>
        <s v="LFRR01PV"/>
        <s v="POHM01PV"/>
        <s v="DBAI02SA"/>
        <s v="LFEX01SA"/>
        <s v="CL3A02SB"/>
        <s v="DVDU1CSB"/>
        <s v="DVDU02SB"/>
        <s v="DVDU03SB"/>
        <s v="DVDU04SB"/>
        <s v="LFBT02SB"/>
        <s v="LFW302SB"/>
        <s v="LFTO02SB"/>
        <s v="MUMU01SB"/>
        <s v="JON02SB"/>
        <s v="PRHZ99VV"/>
        <s v="PRHZ7ASB"/>
        <s v="PRHZ7BSB"/>
        <s v="FFRY08SM"/>
        <s v="CLMN01SY"/>
        <s v="LFEX02SY"/>
        <s v="FDJA06TA"/>
        <s v="KBBR02TD"/>
        <s v="LF8001TD"/>
        <s v="LFW202TD"/>
        <s v="SLHM01TD"/>
        <s v="FDJA02TE"/>
        <s v="MFLO02TE"/>
        <s v="FDJA01TO"/>
        <s v="CLBC00VD"/>
        <s v="DVDU06VI"/>
        <s v="FFRY14VI"/>
        <s v="LASHI-VI"/>
        <s v="LFBE02VI"/>
        <s v="LFEX03VI"/>
        <s v="LFEX04VI"/>
        <s v="SLHM02VI"/>
        <s v="STARR-H"/>
        <s v="STARR-M"/>
        <s v="98OK10ZN"/>
        <s v="BAVC01ZN"/>
        <s v="BAVC02PR"/>
        <s v="KBBR01ZN"/>
        <s v="LEWIS"/>
        <s v="CL3A05ZN"/>
        <s v="CLPC06PR"/>
        <s v="DBAI03ZN"/>
        <s v="DFDA04ZN"/>
        <s v="LASHI-ZN"/>
        <s v="LFW203PR"/>
        <s v="LFRT02PR"/>
        <s v="SLHM06ZN"/>
        <s v="SLHM08PR"/>
        <s v="PRHZ02CS" u="1"/>
      </sharedItems>
    </cacheField>
    <cacheField name="VINEYARD" numFmtId="0">
      <sharedItems/>
    </cacheField>
    <cacheField name="LAST SAMPLE DATE" numFmtId="168">
      <sharedItems containsDate="1" containsBlank="1" containsMixedTypes="1" minDate="2023-08-01T00:00:00" maxDate="2023-09-14T00:00:00"/>
    </cacheField>
    <cacheField name="LAST BRIX" numFmtId="0">
      <sharedItems containsBlank="1" containsMixedTypes="1" containsNumber="1" minValue="14.4" maxValue="26.7"/>
    </cacheField>
    <cacheField name="BRIX LOW" numFmtId="164">
      <sharedItems containsBlank="1" containsMixedTypes="1" containsNumber="1" minValue="17" maxValue="26"/>
    </cacheField>
    <cacheField name="TARGET BRIX" numFmtId="164">
      <sharedItems containsBlank="1" containsMixedTypes="1" containsNumber="1" minValue="18" maxValue="25.5"/>
    </cacheField>
    <cacheField name="WINERY" numFmtId="0">
      <sharedItems containsBlank="1" count="30">
        <s v="."/>
        <s v="LTW"/>
        <s v="GALLO"/>
        <s v="LTW/ONEILL"/>
        <s v="PINE"/>
        <s v="HERZOG/PINE (LTW)"/>
        <s v="WDBG"/>
        <s v="BOGLE"/>
        <s v="NOT LTW"/>
        <s v="HERZOG"/>
        <s v="HERZOG_x000a_"/>
        <s v="DELICATO"/>
        <s v="ONEILL"/>
        <s v="ONEILL/GALLO"/>
        <s v="WDBG (U159214)"/>
        <s v="HERZOG (LTW)"/>
        <s v="HERZOG "/>
        <s v="LTW/TWG"/>
        <s v="FOLEY"/>
        <s v="COPPOLA/DON&amp;SONS"/>
        <s v="COPPOLA"/>
        <s v="MUMM"/>
        <s v="COPPER CANE"/>
        <s v="LTW/WDBG"/>
        <m/>
        <s v="FETZER"/>
        <s v="LTW/GALLO"/>
        <s v="LTW/BEAR CREEK"/>
        <s v="HERZG or PINE" u="1"/>
        <s v="HERZOG or PINE" u="1"/>
      </sharedItems>
    </cacheField>
    <cacheField name="7/28/2023" numFmtId="0">
      <sharedItems containsString="0" containsBlank="1" containsNumber="1" minValue="12.2" maxValue="14.6"/>
    </cacheField>
    <cacheField name="7/29/2023" numFmtId="0">
      <sharedItems containsNonDate="0" containsString="0" containsBlank="1"/>
    </cacheField>
    <cacheField name="7/30/2023" numFmtId="0">
      <sharedItems containsNonDate="0" containsString="0" containsBlank="1"/>
    </cacheField>
    <cacheField name="7/31/2023" numFmtId="0">
      <sharedItems containsNonDate="0" containsString="0" containsBlank="1"/>
    </cacheField>
    <cacheField name="8/1/2023" numFmtId="0">
      <sharedItems containsString="0" containsBlank="1" containsNumber="1" minValue="13" maxValue="16.399999999999999"/>
    </cacheField>
    <cacheField name="8/2/2023" numFmtId="0">
      <sharedItems containsString="0" containsBlank="1" containsNumber="1" minValue="12.2" maxValue="15.8"/>
    </cacheField>
    <cacheField name="8/3/2023" numFmtId="0">
      <sharedItems containsString="0" containsBlank="1" containsNumber="1" minValue="10.6" maxValue="12"/>
    </cacheField>
    <cacheField name="8/4/2023" numFmtId="0">
      <sharedItems containsString="0" containsBlank="1" containsNumber="1" minValue="10" maxValue="16.399999999999999"/>
    </cacheField>
    <cacheField name="8/5/2023" numFmtId="0">
      <sharedItems containsNonDate="0" containsString="0" containsBlank="1"/>
    </cacheField>
    <cacheField name="8/6/2023" numFmtId="0">
      <sharedItems containsNonDate="0" containsString="0" containsBlank="1"/>
    </cacheField>
    <cacheField name="8/7/2023" numFmtId="0">
      <sharedItems containsBlank="1" containsMixedTypes="1" containsNumber="1" minValue="12.8" maxValue="17.399999999999999"/>
    </cacheField>
    <cacheField name="8/8/2023" numFmtId="0">
      <sharedItems containsString="0" containsBlank="1" containsNumber="1" minValue="13.4" maxValue="17.5"/>
    </cacheField>
    <cacheField name="8/9/2023" numFmtId="0">
      <sharedItems containsString="0" containsBlank="1" containsNumber="1" minValue="9" maxValue="18.3"/>
    </cacheField>
    <cacheField name="8/10/2023" numFmtId="0">
      <sharedItems containsBlank="1" containsMixedTypes="1" containsNumber="1" minValue="13.2" maxValue="18"/>
    </cacheField>
    <cacheField name="8/11/2023" numFmtId="0">
      <sharedItems containsString="0" containsBlank="1" containsNumber="1" minValue="13.4" maxValue="18.899999999999999"/>
    </cacheField>
    <cacheField name="8/12/2023" numFmtId="0">
      <sharedItems containsString="0" containsBlank="1" containsNumber="1" minValue="13" maxValue="15.2"/>
    </cacheField>
    <cacheField name="8/13/2023" numFmtId="0">
      <sharedItems containsNonDate="0" containsString="0" containsBlank="1"/>
    </cacheField>
    <cacheField name="8/14/2023" numFmtId="0">
      <sharedItems containsString="0" containsBlank="1" containsNumber="1" minValue="13.2" maxValue="19.600000000000001"/>
    </cacheField>
    <cacheField name="8/15/2023" numFmtId="0">
      <sharedItems containsString="0" containsBlank="1" containsNumber="1" minValue="12.3" maxValue="20"/>
    </cacheField>
    <cacheField name="8/16/2023" numFmtId="0">
      <sharedItems containsString="0" containsBlank="1" containsNumber="1" minValue="14" maxValue="19.3"/>
    </cacheField>
    <cacheField name="8/17/2023" numFmtId="0">
      <sharedItems containsString="0" containsBlank="1" containsNumber="1" minValue="15.4" maxValue="19.8"/>
    </cacheField>
    <cacheField name="8/18/2023" numFmtId="0">
      <sharedItems containsBlank="1" containsMixedTypes="1" containsNumber="1" minValue="13.6" maxValue="20.6"/>
    </cacheField>
    <cacheField name="8/19/2023" numFmtId="0">
      <sharedItems containsNonDate="0" containsString="0" containsBlank="1"/>
    </cacheField>
    <cacheField name="8/20/2023" numFmtId="0">
      <sharedItems containsNonDate="0" containsString="0" containsBlank="1"/>
    </cacheField>
    <cacheField name="8/21/2023" numFmtId="0">
      <sharedItems containsBlank="1" containsMixedTypes="1" containsNumber="1" minValue="13.8" maxValue="22"/>
    </cacheField>
    <cacheField name="8/22/2023" numFmtId="0">
      <sharedItems containsBlank="1" containsMixedTypes="1" containsNumber="1" minValue="15" maxValue="22.1"/>
    </cacheField>
    <cacheField name="8/23/2023" numFmtId="0">
      <sharedItems containsString="0" containsBlank="1" containsNumber="1" minValue="14" maxValue="21.7"/>
    </cacheField>
    <cacheField name="8/24/2023" numFmtId="0">
      <sharedItems containsString="0" containsBlank="1" containsNumber="1" minValue="15.8" maxValue="21.2"/>
    </cacheField>
    <cacheField name="8/25/2023" numFmtId="0">
      <sharedItems containsBlank="1" containsMixedTypes="1" containsNumber="1" minValue="16" maxValue="22"/>
    </cacheField>
    <cacheField name="8/26/2023" numFmtId="0">
      <sharedItems containsString="0" containsBlank="1" containsNumber="1" minValue="16.600000000000001" maxValue="20.5"/>
    </cacheField>
    <cacheField name="8/27/2023" numFmtId="0">
      <sharedItems containsNonDate="0" containsString="0" containsBlank="1"/>
    </cacheField>
    <cacheField name="8/28/2023" numFmtId="0">
      <sharedItems containsBlank="1" containsMixedTypes="1" containsNumber="1" minValue="14.8" maxValue="23.5"/>
    </cacheField>
    <cacheField name="8/29/2023" numFmtId="0">
      <sharedItems containsBlank="1" containsMixedTypes="1" containsNumber="1" minValue="15.7" maxValue="22.9"/>
    </cacheField>
    <cacheField name="8/30/2023" numFmtId="0">
      <sharedItems containsBlank="1" containsMixedTypes="1" containsNumber="1" minValue="18.399999999999999" maxValue="22.7"/>
    </cacheField>
    <cacheField name="8/31/2023" numFmtId="0">
      <sharedItems containsBlank="1" containsMixedTypes="1" containsNumber="1" minValue="16.2" maxValue="22.6"/>
    </cacheField>
    <cacheField name="9/1/2023" numFmtId="0">
      <sharedItems containsString="0" containsBlank="1" containsNumber="1" minValue="17" maxValue="23.5"/>
    </cacheField>
    <cacheField name="9/2/2023" numFmtId="0">
      <sharedItems containsString="0" containsBlank="1" containsNumber="1" minValue="17" maxValue="23.2"/>
    </cacheField>
    <cacheField name="9/3/2023" numFmtId="0">
      <sharedItems containsString="0" containsBlank="1" containsNumber="1" minValue="20.6" maxValue="21.1"/>
    </cacheField>
    <cacheField name="9/4/2023" numFmtId="0">
      <sharedItems containsBlank="1" containsMixedTypes="1" containsNumber="1" minValue="17.100000000000001" maxValue="23.2"/>
    </cacheField>
    <cacheField name="9/5/2023" numFmtId="0">
      <sharedItems containsBlank="1" containsMixedTypes="1" containsNumber="1" minValue="18.600000000000001" maxValue="21.4"/>
    </cacheField>
    <cacheField name="9/6/2023" numFmtId="0">
      <sharedItems containsString="0" containsBlank="1" containsNumber="1" minValue="15.8" maxValue="23.5"/>
    </cacheField>
    <cacheField name="9/7/2023" numFmtId="0">
      <sharedItems containsBlank="1" containsMixedTypes="1" containsNumber="1" minValue="16.600000000000001" maxValue="26.7"/>
    </cacheField>
    <cacheField name="9/8/2023" numFmtId="0">
      <sharedItems containsBlank="1" containsMixedTypes="1" containsNumber="1" minValue="19" maxValue="23.7"/>
    </cacheField>
    <cacheField name="9/9/2023" numFmtId="0">
      <sharedItems containsString="0" containsBlank="1" containsNumber="1" minValue="17.399999999999999" maxValue="23.6"/>
    </cacheField>
    <cacheField name="9/10/2023" numFmtId="0">
      <sharedItems containsNonDate="0" containsString="0" containsBlank="1"/>
    </cacheField>
    <cacheField name="9/11/2023" numFmtId="0">
      <sharedItems containsBlank="1" containsMixedTypes="1" containsNumber="1" minValue="20.6" maxValue="25.4"/>
    </cacheField>
    <cacheField name="9/12/2023" numFmtId="0">
      <sharedItems containsBlank="1" containsMixedTypes="1" containsNumber="1" minValue="17.899999999999999" maxValue="25.6"/>
    </cacheField>
    <cacheField name="9/13/2023" numFmtId="0">
      <sharedItems containsBlank="1" containsMixedTypes="1" containsNumber="1" minValue="15" maxValue="24.5"/>
    </cacheField>
    <cacheField name="9/14/2023" numFmtId="0">
      <sharedItems containsNonDate="0" containsString="0" containsBlank="1"/>
    </cacheField>
    <cacheField name="9/15/2023" numFmtId="0">
      <sharedItems containsNonDate="0" containsString="0" containsBlank="1"/>
    </cacheField>
    <cacheField name="9/16/2023" numFmtId="0">
      <sharedItems containsNonDate="0" containsString="0" containsBlank="1"/>
    </cacheField>
    <cacheField name="9/17/2023" numFmtId="0">
      <sharedItems containsNonDate="0" containsString="0" containsBlank="1"/>
    </cacheField>
    <cacheField name="9/18/2023" numFmtId="0">
      <sharedItems containsNonDate="0" containsString="0" containsBlank="1"/>
    </cacheField>
    <cacheField name="9/19/2023" numFmtId="0">
      <sharedItems containsNonDate="0" containsString="0" containsBlank="1"/>
    </cacheField>
    <cacheField name="9/20/2023" numFmtId="0">
      <sharedItems containsNonDate="0" containsString="0" containsBlank="1"/>
    </cacheField>
    <cacheField name="9/21/2023" numFmtId="0">
      <sharedItems containsNonDate="0" containsString="0" containsBlank="1"/>
    </cacheField>
    <cacheField name="9/22/2023" numFmtId="0">
      <sharedItems containsNonDate="0" containsString="0" containsBlank="1"/>
    </cacheField>
    <cacheField name="9/23/2023" numFmtId="0">
      <sharedItems containsNonDate="0" containsString="0" containsBlank="1"/>
    </cacheField>
    <cacheField name="9/24/2023" numFmtId="0">
      <sharedItems containsNonDate="0" containsString="0" containsBlank="1"/>
    </cacheField>
    <cacheField name="9/25/2023" numFmtId="0">
      <sharedItems containsNonDate="0" containsString="0" containsBlank="1"/>
    </cacheField>
    <cacheField name="9/26/2023" numFmtId="0">
      <sharedItems containsNonDate="0" containsString="0" containsBlank="1"/>
    </cacheField>
    <cacheField name="9/27/2023" numFmtId="0">
      <sharedItems containsNonDate="0" containsString="0" containsBlank="1"/>
    </cacheField>
    <cacheField name="9/28/2023" numFmtId="0">
      <sharedItems containsNonDate="0" containsString="0" containsBlank="1"/>
    </cacheField>
    <cacheField name="9/29/2023" numFmtId="0">
      <sharedItems containsNonDate="0" containsString="0" containsBlank="1"/>
    </cacheField>
    <cacheField name="9/30/2023" numFmtId="0">
      <sharedItems containsNonDate="0" containsString="0" containsBlank="1"/>
    </cacheField>
    <cacheField name="10/1/2023" numFmtId="0">
      <sharedItems containsNonDate="0" containsString="0" containsBlank="1"/>
    </cacheField>
    <cacheField name="10/2/2023" numFmtId="0">
      <sharedItems containsNonDate="0" containsString="0" containsBlank="1"/>
    </cacheField>
    <cacheField name="10/3/2023" numFmtId="0">
      <sharedItems containsNonDate="0" containsString="0" containsBlank="1"/>
    </cacheField>
    <cacheField name="10/4/2023" numFmtId="0">
      <sharedItems containsNonDate="0" containsString="0" containsBlank="1"/>
    </cacheField>
    <cacheField name="10/5/2023" numFmtId="0">
      <sharedItems containsNonDate="0" containsString="0" containsBlank="1"/>
    </cacheField>
    <cacheField name="10/6/2023" numFmtId="0">
      <sharedItems containsNonDate="0" containsString="0" containsBlank="1"/>
    </cacheField>
    <cacheField name="10/7/2023" numFmtId="0">
      <sharedItems containsNonDate="0" containsString="0" containsBlank="1"/>
    </cacheField>
    <cacheField name="10/8/2023" numFmtId="0">
      <sharedItems containsNonDate="0" containsString="0" containsBlank="1"/>
    </cacheField>
    <cacheField name="10/9/2023" numFmtId="0">
      <sharedItems containsNonDate="0" containsString="0" containsBlank="1"/>
    </cacheField>
    <cacheField name="10/10/2023" numFmtId="0">
      <sharedItems containsNonDate="0" containsString="0" containsBlank="1"/>
    </cacheField>
    <cacheField name="10/11/2023" numFmtId="0">
      <sharedItems containsNonDate="0" containsString="0" containsBlank="1"/>
    </cacheField>
    <cacheField name="10/12/2023" numFmtId="0">
      <sharedItems containsNonDate="0" containsString="0" containsBlank="1"/>
    </cacheField>
    <cacheField name="10/13/2023" numFmtId="0">
      <sharedItems containsNonDate="0" containsString="0" containsBlank="1"/>
    </cacheField>
    <cacheField name="10/14/2023" numFmtId="0">
      <sharedItems containsNonDate="0" containsString="0" containsBlank="1"/>
    </cacheField>
    <cacheField name="10/15/2023" numFmtId="0">
      <sharedItems containsNonDate="0" containsString="0" containsBlank="1"/>
    </cacheField>
    <cacheField name="10/16/2023" numFmtId="0">
      <sharedItems containsNonDate="0" containsString="0" containsBlank="1"/>
    </cacheField>
    <cacheField name="10/17/2023" numFmtId="0">
      <sharedItems containsNonDate="0" containsString="0" containsBlank="1"/>
    </cacheField>
    <cacheField name="10/18/2023" numFmtId="0">
      <sharedItems containsNonDate="0" containsString="0" containsBlank="1"/>
    </cacheField>
    <cacheField name="10/19/2023" numFmtId="0">
      <sharedItems containsNonDate="0" containsString="0" containsBlank="1"/>
    </cacheField>
    <cacheField name="10/20/2023" numFmtId="0">
      <sharedItems containsNonDate="0" containsString="0" containsBlank="1"/>
    </cacheField>
    <cacheField name="10/21/2023" numFmtId="0">
      <sharedItems containsNonDate="0" containsString="0" containsBlank="1"/>
    </cacheField>
    <cacheField name="10/22/2023" numFmtId="0">
      <sharedItems containsNonDate="0" containsString="0" containsBlank="1"/>
    </cacheField>
    <cacheField name="10/23/2023" numFmtId="0">
      <sharedItems containsNonDate="0" containsString="0" containsBlank="1"/>
    </cacheField>
    <cacheField name="10/24/2023" numFmtId="0">
      <sharedItems containsNonDate="0" containsString="0" containsBlank="1"/>
    </cacheField>
    <cacheField name="10/25/2023" numFmtId="0">
      <sharedItems containsNonDate="0" containsString="0" containsBlank="1"/>
    </cacheField>
    <cacheField name="10/26/2023" numFmtId="0">
      <sharedItems containsNonDate="0" containsString="0" containsBlank="1"/>
    </cacheField>
    <cacheField name="10/27/2023" numFmtId="0">
      <sharedItems containsNonDate="0" containsString="0" containsBlank="1"/>
    </cacheField>
    <cacheField name="10/28/2023" numFmtId="0">
      <sharedItems containsNonDate="0" containsString="0" containsBlank="1"/>
    </cacheField>
    <cacheField name="10/29/2023" numFmtId="0">
      <sharedItems containsNonDate="0" containsString="0" containsBlank="1"/>
    </cacheField>
    <cacheField name="10/30/2023" numFmtId="0">
      <sharedItems containsNonDate="0" containsString="0" containsBlank="1"/>
    </cacheField>
    <cacheField name="10/31/2023" numFmtId="0">
      <sharedItems containsNonDate="0" containsString="0" containsBlank="1"/>
    </cacheField>
    <cacheField name="11/1/2023" numFmtId="0">
      <sharedItems containsNonDate="0" containsString="0" containsBlank="1"/>
    </cacheField>
    <cacheField name="11/2/2023" numFmtId="0">
      <sharedItems containsNonDate="0" containsString="0" containsBlank="1"/>
    </cacheField>
    <cacheField name="11/3/2023" numFmtId="0">
      <sharedItems containsNonDate="0" containsString="0" containsBlank="1"/>
    </cacheField>
    <cacheField name="11/4/2023" numFmtId="0">
      <sharedItems containsNonDate="0" containsString="0" containsBlank="1"/>
    </cacheField>
    <cacheField name="11/5/2023" numFmtId="0">
      <sharedItems containsNonDate="0" containsString="0" containsBlank="1"/>
    </cacheField>
    <cacheField name="11/6/2023" numFmtId="0">
      <sharedItems containsNonDate="0" containsString="0" containsBlank="1"/>
    </cacheField>
    <cacheField name="11/7/2023" numFmtId="0">
      <sharedItems containsNonDate="0" containsString="0" containsBlank="1"/>
    </cacheField>
    <cacheField name="11/8/2023" numFmtId="0">
      <sharedItems containsNonDate="0" containsString="0" containsBlank="1"/>
    </cacheField>
    <cacheField name="11/9/2023" numFmtId="0">
      <sharedItems containsNonDate="0" containsString="0" containsBlank="1"/>
    </cacheField>
    <cacheField name="11/10/2023" numFmtId="0">
      <sharedItems containsNonDate="0" containsString="0" containsBlank="1"/>
    </cacheField>
    <cacheField name="11/11/2023" numFmtId="0">
      <sharedItems containsNonDate="0" containsString="0" containsBlank="1"/>
    </cacheField>
    <cacheField name="11/12/2023" numFmtId="0">
      <sharedItems containsNonDate="0" containsString="0" containsBlank="1"/>
    </cacheField>
    <cacheField name="11/13/2023" numFmtId="0">
      <sharedItems containsNonDate="0" containsString="0" containsBlank="1"/>
    </cacheField>
    <cacheField name="11/14/2023" numFmtId="0">
      <sharedItems containsNonDate="0" containsString="0" containsBlank="1"/>
    </cacheField>
    <cacheField name="11/15/2023" numFmtId="0">
      <sharedItems containsNonDate="0" containsString="0" containsBlank="1"/>
    </cacheField>
    <cacheField name="11/16/2023" numFmtId="0">
      <sharedItems containsNonDate="0" containsString="0" containsBlank="1"/>
    </cacheField>
    <cacheField name="11/17/2023" numFmtId="0">
      <sharedItems containsNonDate="0" containsString="0" containsBlank="1"/>
    </cacheField>
    <cacheField name="11/18/2023" numFmtId="0">
      <sharedItems containsNonDate="0" containsString="0" containsBlank="1"/>
    </cacheField>
    <cacheField name="11/19/2023" numFmtId="0">
      <sharedItems containsNonDate="0" containsString="0" containsBlank="1"/>
    </cacheField>
    <cacheField name="11/20/2023" numFmtId="0">
      <sharedItems containsNonDate="0" containsString="0" containsBlank="1"/>
    </cacheField>
  </cacheFields>
  <extLst>
    <ext xmlns:x14="http://schemas.microsoft.com/office/spreadsheetml/2009/9/main" uri="{725AE2AE-9491-48be-B2B4-4EB974FC3084}">
      <x14:pivotCacheDefinition pivotCacheId="16697847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3">
  <r>
    <m/>
    <m/>
    <x v="0"/>
    <m/>
    <x v="0"/>
    <x v="0"/>
    <s v=" AGLIANICO"/>
    <m/>
    <m/>
    <m/>
    <m/>
    <x v="0"/>
    <m/>
    <m/>
    <m/>
    <m/>
    <m/>
    <m/>
    <m/>
    <m/>
    <m/>
    <m/>
    <m/>
    <m/>
    <m/>
    <m/>
    <m/>
    <m/>
    <m/>
    <m/>
    <m/>
    <m/>
    <m/>
    <m/>
    <m/>
    <m/>
    <m/>
    <m/>
    <m/>
    <m/>
    <m/>
    <m/>
    <m/>
    <m/>
    <m/>
    <m/>
    <m/>
    <m/>
    <m/>
    <m/>
    <m/>
    <m/>
    <m/>
    <m/>
    <m/>
    <m/>
    <m/>
    <m/>
    <m/>
    <m/>
    <m/>
    <m/>
    <m/>
    <m/>
    <m/>
    <m/>
    <m/>
    <m/>
    <m/>
    <m/>
    <m/>
    <m/>
    <m/>
    <m/>
    <m/>
    <m/>
    <m/>
    <m/>
    <m/>
    <m/>
    <m/>
    <m/>
    <m/>
    <m/>
    <m/>
    <m/>
    <m/>
    <m/>
    <m/>
    <m/>
    <m/>
    <m/>
    <m/>
    <m/>
    <m/>
    <m/>
    <m/>
    <m/>
    <m/>
    <m/>
    <m/>
    <m/>
    <m/>
    <m/>
    <m/>
    <m/>
    <m/>
    <m/>
    <m/>
    <m/>
    <m/>
    <m/>
    <m/>
    <m/>
    <m/>
    <m/>
    <m/>
    <m/>
    <m/>
    <m/>
    <m/>
    <m/>
    <m/>
    <m/>
    <m/>
    <m/>
    <m/>
    <m/>
  </r>
  <r>
    <m/>
    <s v="Y"/>
    <x v="1"/>
    <n v="6.75"/>
    <x v="0"/>
    <x v="1"/>
    <s v="LF River B6 AG"/>
    <d v="2023-09-09T00:00:00"/>
    <n v="18.2"/>
    <n v="22.5"/>
    <s v="22.5/24"/>
    <x v="1"/>
    <m/>
    <m/>
    <m/>
    <m/>
    <m/>
    <m/>
    <m/>
    <m/>
    <m/>
    <m/>
    <m/>
    <m/>
    <m/>
    <m/>
    <m/>
    <m/>
    <m/>
    <m/>
    <m/>
    <m/>
    <m/>
    <m/>
    <m/>
    <m/>
    <m/>
    <m/>
    <m/>
    <m/>
    <m/>
    <m/>
    <m/>
    <m/>
    <m/>
    <m/>
    <m/>
    <n v="17"/>
    <m/>
    <m/>
    <m/>
    <m/>
    <m/>
    <m/>
    <m/>
    <n v="18.2"/>
    <m/>
    <m/>
    <m/>
    <m/>
    <m/>
    <m/>
    <m/>
    <m/>
    <m/>
    <m/>
    <m/>
    <m/>
    <m/>
    <m/>
    <m/>
    <m/>
    <m/>
    <m/>
    <m/>
    <m/>
    <m/>
    <m/>
    <m/>
    <m/>
    <m/>
    <m/>
    <m/>
    <m/>
    <m/>
    <m/>
    <m/>
    <m/>
    <m/>
    <m/>
    <m/>
    <m/>
    <m/>
    <m/>
    <m/>
    <m/>
    <m/>
    <m/>
    <m/>
    <m/>
    <m/>
    <m/>
    <m/>
    <m/>
    <m/>
    <m/>
    <m/>
    <m/>
    <m/>
    <m/>
    <m/>
    <m/>
    <m/>
    <m/>
    <m/>
    <m/>
    <m/>
    <m/>
    <m/>
    <m/>
    <m/>
    <m/>
    <m/>
    <m/>
    <m/>
    <m/>
    <m/>
    <m/>
  </r>
  <r>
    <m/>
    <m/>
    <x v="0"/>
    <m/>
    <x v="1"/>
    <x v="0"/>
    <s v=" ALBARINO"/>
    <m/>
    <m/>
    <m/>
    <m/>
    <x v="0"/>
    <m/>
    <m/>
    <m/>
    <m/>
    <m/>
    <m/>
    <m/>
    <m/>
    <m/>
    <m/>
    <m/>
    <m/>
    <m/>
    <m/>
    <m/>
    <m/>
    <m/>
    <m/>
    <m/>
    <m/>
    <m/>
    <m/>
    <m/>
    <m/>
    <m/>
    <m/>
    <m/>
    <m/>
    <m/>
    <m/>
    <m/>
    <m/>
    <m/>
    <m/>
    <m/>
    <m/>
    <m/>
    <m/>
    <m/>
    <m/>
    <m/>
    <m/>
    <m/>
    <m/>
    <m/>
    <m/>
    <m/>
    <m/>
    <m/>
    <m/>
    <m/>
    <m/>
    <m/>
    <m/>
    <m/>
    <m/>
    <m/>
    <m/>
    <m/>
    <m/>
    <m/>
    <m/>
    <m/>
    <m/>
    <m/>
    <m/>
    <m/>
    <m/>
    <m/>
    <m/>
    <m/>
    <m/>
    <m/>
    <m/>
    <m/>
    <m/>
    <m/>
    <m/>
    <m/>
    <m/>
    <m/>
    <m/>
    <m/>
    <m/>
    <m/>
    <m/>
    <m/>
    <m/>
    <m/>
    <m/>
    <m/>
    <m/>
    <m/>
    <m/>
    <m/>
    <m/>
    <m/>
    <m/>
    <m/>
    <m/>
    <m/>
    <m/>
    <m/>
    <m/>
    <m/>
    <m/>
    <m/>
    <m/>
    <m/>
    <m/>
    <m/>
    <m/>
    <m/>
    <m/>
    <m/>
    <m/>
  </r>
  <r>
    <m/>
    <m/>
    <x v="2"/>
    <n v="19.96"/>
    <x v="1"/>
    <x v="2"/>
    <s v="Foley B3B AL"/>
    <d v="2023-08-15T00:00:00"/>
    <n v="16.2"/>
    <n v="21"/>
    <m/>
    <x v="2"/>
    <m/>
    <m/>
    <m/>
    <m/>
    <m/>
    <m/>
    <m/>
    <m/>
    <m/>
    <m/>
    <m/>
    <n v="15.3"/>
    <m/>
    <m/>
    <m/>
    <m/>
    <m/>
    <m/>
    <n v="16.2"/>
    <m/>
    <m/>
    <m/>
    <m/>
    <m/>
    <m/>
    <m/>
    <m/>
    <m/>
    <m/>
    <m/>
    <m/>
    <m/>
    <m/>
    <m/>
    <m/>
    <m/>
    <m/>
    <m/>
    <m/>
    <m/>
    <m/>
    <m/>
    <m/>
    <m/>
    <m/>
    <m/>
    <m/>
    <m/>
    <m/>
    <m/>
    <m/>
    <m/>
    <m/>
    <m/>
    <m/>
    <m/>
    <m/>
    <m/>
    <m/>
    <m/>
    <m/>
    <m/>
    <m/>
    <m/>
    <m/>
    <m/>
    <m/>
    <m/>
    <m/>
    <m/>
    <m/>
    <m/>
    <m/>
    <m/>
    <m/>
    <m/>
    <m/>
    <m/>
    <m/>
    <m/>
    <m/>
    <m/>
    <m/>
    <m/>
    <m/>
    <m/>
    <m/>
    <m/>
    <m/>
    <m/>
    <m/>
    <m/>
    <m/>
    <m/>
    <m/>
    <m/>
    <m/>
    <m/>
    <m/>
    <m/>
    <m/>
    <m/>
    <m/>
    <m/>
    <m/>
    <m/>
    <m/>
    <m/>
    <m/>
    <m/>
    <m/>
    <m/>
    <m/>
    <m/>
    <m/>
    <m/>
  </r>
  <r>
    <m/>
    <s v="Y"/>
    <x v="2"/>
    <n v="30.18"/>
    <x v="1"/>
    <x v="3"/>
    <s v="Wheelhouse B3 AL"/>
    <d v="2023-09-09T00:00:00"/>
    <n v="20.6"/>
    <n v="21"/>
    <n v="21"/>
    <x v="3"/>
    <m/>
    <m/>
    <m/>
    <m/>
    <m/>
    <m/>
    <m/>
    <m/>
    <m/>
    <m/>
    <m/>
    <m/>
    <m/>
    <m/>
    <n v="13.4"/>
    <m/>
    <m/>
    <m/>
    <m/>
    <m/>
    <n v="15.6"/>
    <m/>
    <m/>
    <m/>
    <m/>
    <m/>
    <n v="16.600000000000001"/>
    <m/>
    <m/>
    <m/>
    <m/>
    <m/>
    <n v="19.2"/>
    <m/>
    <m/>
    <m/>
    <m/>
    <m/>
    <m/>
    <n v="20"/>
    <m/>
    <m/>
    <m/>
    <n v="20.6"/>
    <m/>
    <m/>
    <m/>
    <m/>
    <m/>
    <m/>
    <m/>
    <m/>
    <m/>
    <m/>
    <m/>
    <m/>
    <m/>
    <m/>
    <m/>
    <m/>
    <m/>
    <m/>
    <m/>
    <m/>
    <m/>
    <m/>
    <m/>
    <m/>
    <m/>
    <m/>
    <m/>
    <m/>
    <m/>
    <m/>
    <m/>
    <m/>
    <m/>
    <m/>
    <m/>
    <m/>
    <m/>
    <m/>
    <m/>
    <m/>
    <m/>
    <m/>
    <m/>
    <m/>
    <m/>
    <m/>
    <m/>
    <m/>
    <m/>
    <m/>
    <m/>
    <m/>
    <m/>
    <m/>
    <m/>
    <m/>
    <m/>
    <m/>
    <m/>
    <m/>
    <m/>
    <m/>
    <m/>
    <m/>
    <m/>
    <m/>
    <m/>
    <m/>
    <m/>
    <m/>
    <m/>
    <m/>
  </r>
  <r>
    <m/>
    <m/>
    <x v="0"/>
    <m/>
    <x v="2"/>
    <x v="0"/>
    <s v=" ANCELLOTA"/>
    <m/>
    <m/>
    <m/>
    <m/>
    <x v="0"/>
    <m/>
    <m/>
    <m/>
    <m/>
    <m/>
    <m/>
    <m/>
    <m/>
    <m/>
    <m/>
    <m/>
    <m/>
    <m/>
    <m/>
    <m/>
    <m/>
    <m/>
    <m/>
    <m/>
    <m/>
    <m/>
    <m/>
    <m/>
    <m/>
    <m/>
    <m/>
    <m/>
    <m/>
    <m/>
    <m/>
    <m/>
    <m/>
    <m/>
    <m/>
    <m/>
    <m/>
    <m/>
    <m/>
    <m/>
    <m/>
    <m/>
    <m/>
    <m/>
    <m/>
    <m/>
    <m/>
    <m/>
    <m/>
    <m/>
    <m/>
    <m/>
    <m/>
    <m/>
    <m/>
    <m/>
    <m/>
    <m/>
    <m/>
    <m/>
    <m/>
    <m/>
    <m/>
    <m/>
    <m/>
    <m/>
    <m/>
    <m/>
    <m/>
    <m/>
    <m/>
    <m/>
    <m/>
    <m/>
    <m/>
    <m/>
    <m/>
    <m/>
    <m/>
    <m/>
    <m/>
    <m/>
    <m/>
    <m/>
    <m/>
    <m/>
    <m/>
    <m/>
    <m/>
    <m/>
    <m/>
    <m/>
    <m/>
    <m/>
    <m/>
    <m/>
    <m/>
    <m/>
    <m/>
    <m/>
    <m/>
    <m/>
    <m/>
    <m/>
    <m/>
    <m/>
    <m/>
    <m/>
    <m/>
    <m/>
    <m/>
    <m/>
    <m/>
    <m/>
    <m/>
    <m/>
    <m/>
  </r>
  <r>
    <m/>
    <m/>
    <x v="1"/>
    <n v="0.33"/>
    <x v="2"/>
    <x v="4"/>
    <s v="LF Redtail B3 AN"/>
    <d v="2023-09-09T00:00:00"/>
    <n v="20.8"/>
    <n v="24"/>
    <m/>
    <x v="1"/>
    <m/>
    <m/>
    <m/>
    <m/>
    <m/>
    <m/>
    <m/>
    <m/>
    <m/>
    <m/>
    <m/>
    <m/>
    <m/>
    <m/>
    <m/>
    <m/>
    <m/>
    <m/>
    <m/>
    <m/>
    <m/>
    <m/>
    <m/>
    <m/>
    <m/>
    <m/>
    <m/>
    <m/>
    <m/>
    <m/>
    <m/>
    <m/>
    <m/>
    <m/>
    <m/>
    <n v="19.7"/>
    <m/>
    <m/>
    <m/>
    <m/>
    <m/>
    <m/>
    <m/>
    <n v="20.8"/>
    <m/>
    <m/>
    <m/>
    <m/>
    <m/>
    <m/>
    <m/>
    <m/>
    <m/>
    <m/>
    <m/>
    <m/>
    <m/>
    <m/>
    <m/>
    <m/>
    <m/>
    <m/>
    <m/>
    <m/>
    <m/>
    <m/>
    <m/>
    <m/>
    <m/>
    <m/>
    <m/>
    <m/>
    <m/>
    <m/>
    <m/>
    <m/>
    <m/>
    <m/>
    <m/>
    <m/>
    <m/>
    <m/>
    <m/>
    <m/>
    <m/>
    <m/>
    <m/>
    <m/>
    <m/>
    <m/>
    <m/>
    <m/>
    <m/>
    <m/>
    <m/>
    <m/>
    <m/>
    <m/>
    <m/>
    <m/>
    <m/>
    <m/>
    <m/>
    <m/>
    <m/>
    <m/>
    <m/>
    <m/>
    <m/>
    <m/>
    <m/>
    <m/>
    <m/>
    <m/>
    <m/>
    <m/>
  </r>
  <r>
    <m/>
    <m/>
    <x v="0"/>
    <m/>
    <x v="3"/>
    <x v="0"/>
    <s v=" BARBERA"/>
    <m/>
    <m/>
    <m/>
    <m/>
    <x v="0"/>
    <m/>
    <m/>
    <m/>
    <m/>
    <m/>
    <m/>
    <m/>
    <m/>
    <m/>
    <m/>
    <m/>
    <m/>
    <m/>
    <m/>
    <m/>
    <m/>
    <m/>
    <m/>
    <m/>
    <m/>
    <m/>
    <m/>
    <m/>
    <m/>
    <m/>
    <m/>
    <m/>
    <m/>
    <m/>
    <m/>
    <m/>
    <m/>
    <m/>
    <m/>
    <m/>
    <m/>
    <m/>
    <m/>
    <m/>
    <m/>
    <m/>
    <m/>
    <m/>
    <m/>
    <m/>
    <m/>
    <m/>
    <m/>
    <m/>
    <m/>
    <m/>
    <m/>
    <m/>
    <m/>
    <m/>
    <m/>
    <m/>
    <m/>
    <m/>
    <m/>
    <m/>
    <m/>
    <m/>
    <m/>
    <m/>
    <m/>
    <m/>
    <m/>
    <m/>
    <m/>
    <m/>
    <m/>
    <m/>
    <m/>
    <m/>
    <m/>
    <m/>
    <m/>
    <m/>
    <m/>
    <m/>
    <m/>
    <m/>
    <m/>
    <m/>
    <m/>
    <m/>
    <m/>
    <m/>
    <m/>
    <m/>
    <m/>
    <m/>
    <m/>
    <m/>
    <m/>
    <m/>
    <m/>
    <m/>
    <m/>
    <m/>
    <m/>
    <m/>
    <m/>
    <m/>
    <m/>
    <m/>
    <m/>
    <m/>
    <m/>
    <m/>
    <m/>
    <m/>
    <m/>
    <m/>
    <m/>
  </r>
  <r>
    <m/>
    <m/>
    <x v="3"/>
    <n v="34.409999999999997"/>
    <x v="3"/>
    <x v="5"/>
    <s v="Clements Mohr B1 BA"/>
    <d v="2023-09-08T00:00:00"/>
    <n v="21.8"/>
    <n v="25"/>
    <n v="25"/>
    <x v="1"/>
    <m/>
    <m/>
    <m/>
    <m/>
    <m/>
    <m/>
    <m/>
    <m/>
    <m/>
    <m/>
    <m/>
    <m/>
    <m/>
    <m/>
    <m/>
    <m/>
    <m/>
    <m/>
    <m/>
    <m/>
    <m/>
    <n v="15.5"/>
    <m/>
    <m/>
    <m/>
    <m/>
    <m/>
    <m/>
    <m/>
    <m/>
    <m/>
    <m/>
    <m/>
    <n v="19"/>
    <m/>
    <m/>
    <m/>
    <m/>
    <m/>
    <m/>
    <m/>
    <m/>
    <n v="21.8"/>
    <m/>
    <m/>
    <m/>
    <m/>
    <m/>
    <m/>
    <m/>
    <m/>
    <m/>
    <m/>
    <m/>
    <m/>
    <m/>
    <m/>
    <m/>
    <m/>
    <m/>
    <m/>
    <m/>
    <m/>
    <m/>
    <m/>
    <m/>
    <m/>
    <m/>
    <m/>
    <m/>
    <m/>
    <m/>
    <m/>
    <m/>
    <m/>
    <m/>
    <m/>
    <m/>
    <m/>
    <m/>
    <m/>
    <m/>
    <m/>
    <m/>
    <m/>
    <m/>
    <m/>
    <m/>
    <m/>
    <m/>
    <m/>
    <m/>
    <m/>
    <m/>
    <m/>
    <m/>
    <m/>
    <m/>
    <m/>
    <m/>
    <m/>
    <m/>
    <m/>
    <m/>
    <m/>
    <m/>
    <m/>
    <m/>
    <m/>
    <m/>
    <m/>
    <m/>
    <m/>
    <m/>
    <m/>
    <m/>
  </r>
  <r>
    <m/>
    <m/>
    <x v="3"/>
    <n v="28.07"/>
    <x v="3"/>
    <x v="6"/>
    <s v="Clements Paddy Creek B2 BA (North)"/>
    <d v="2023-09-06T00:00:00"/>
    <n v="17.8"/>
    <n v="25"/>
    <n v="25"/>
    <x v="1"/>
    <m/>
    <m/>
    <m/>
    <m/>
    <m/>
    <m/>
    <m/>
    <m/>
    <m/>
    <m/>
    <m/>
    <m/>
    <m/>
    <m/>
    <m/>
    <m/>
    <m/>
    <m/>
    <m/>
    <m/>
    <m/>
    <n v="13.7"/>
    <m/>
    <m/>
    <m/>
    <m/>
    <m/>
    <m/>
    <m/>
    <m/>
    <m/>
    <n v="16.5"/>
    <m/>
    <m/>
    <m/>
    <m/>
    <m/>
    <m/>
    <m/>
    <m/>
    <n v="17.8"/>
    <m/>
    <m/>
    <m/>
    <m/>
    <m/>
    <m/>
    <m/>
    <m/>
    <m/>
    <m/>
    <m/>
    <m/>
    <m/>
    <m/>
    <m/>
    <m/>
    <m/>
    <m/>
    <m/>
    <m/>
    <m/>
    <m/>
    <m/>
    <m/>
    <m/>
    <m/>
    <m/>
    <m/>
    <m/>
    <m/>
    <m/>
    <m/>
    <m/>
    <m/>
    <m/>
    <m/>
    <m/>
    <m/>
    <m/>
    <m/>
    <m/>
    <m/>
    <m/>
    <m/>
    <m/>
    <m/>
    <m/>
    <m/>
    <m/>
    <m/>
    <m/>
    <m/>
    <m/>
    <m/>
    <m/>
    <m/>
    <m/>
    <m/>
    <m/>
    <m/>
    <m/>
    <m/>
    <m/>
    <m/>
    <m/>
    <m/>
    <m/>
    <m/>
    <m/>
    <m/>
    <m/>
    <m/>
    <m/>
    <m/>
    <m/>
  </r>
  <r>
    <m/>
    <m/>
    <x v="3"/>
    <m/>
    <x v="3"/>
    <x v="6"/>
    <s v="Clements Paddy Creek B2 BA (South)"/>
    <d v="2023-09-06T00:00:00"/>
    <n v="17.8"/>
    <n v="25"/>
    <n v="25"/>
    <x v="1"/>
    <m/>
    <m/>
    <m/>
    <m/>
    <m/>
    <m/>
    <m/>
    <m/>
    <m/>
    <m/>
    <m/>
    <m/>
    <m/>
    <m/>
    <m/>
    <m/>
    <m/>
    <m/>
    <m/>
    <m/>
    <m/>
    <n v="13.6"/>
    <m/>
    <m/>
    <m/>
    <m/>
    <m/>
    <m/>
    <m/>
    <m/>
    <m/>
    <n v="15.3"/>
    <m/>
    <m/>
    <m/>
    <m/>
    <m/>
    <m/>
    <m/>
    <m/>
    <n v="17.8"/>
    <m/>
    <m/>
    <m/>
    <m/>
    <m/>
    <m/>
    <m/>
    <m/>
    <m/>
    <m/>
    <m/>
    <m/>
    <m/>
    <m/>
    <m/>
    <m/>
    <m/>
    <m/>
    <m/>
    <m/>
    <m/>
    <m/>
    <m/>
    <m/>
    <m/>
    <m/>
    <m/>
    <m/>
    <m/>
    <m/>
    <m/>
    <m/>
    <m/>
    <m/>
    <m/>
    <m/>
    <m/>
    <m/>
    <m/>
    <m/>
    <m/>
    <m/>
    <m/>
    <m/>
    <m/>
    <m/>
    <m/>
    <m/>
    <m/>
    <m/>
    <m/>
    <m/>
    <m/>
    <m/>
    <m/>
    <m/>
    <m/>
    <m/>
    <m/>
    <m/>
    <m/>
    <m/>
    <m/>
    <m/>
    <m/>
    <m/>
    <m/>
    <m/>
    <m/>
    <m/>
    <m/>
    <m/>
    <m/>
    <m/>
    <m/>
  </r>
  <r>
    <m/>
    <m/>
    <x v="0"/>
    <m/>
    <x v="4"/>
    <x v="0"/>
    <s v=" CHENIN BLANC"/>
    <m/>
    <m/>
    <m/>
    <m/>
    <x v="0"/>
    <m/>
    <m/>
    <m/>
    <m/>
    <m/>
    <m/>
    <m/>
    <m/>
    <m/>
    <m/>
    <m/>
    <m/>
    <m/>
    <m/>
    <m/>
    <m/>
    <m/>
    <m/>
    <m/>
    <m/>
    <m/>
    <m/>
    <m/>
    <m/>
    <m/>
    <m/>
    <m/>
    <m/>
    <m/>
    <m/>
    <m/>
    <m/>
    <m/>
    <m/>
    <m/>
    <m/>
    <m/>
    <m/>
    <m/>
    <m/>
    <m/>
    <m/>
    <m/>
    <m/>
    <m/>
    <m/>
    <m/>
    <m/>
    <m/>
    <m/>
    <m/>
    <m/>
    <m/>
    <m/>
    <m/>
    <m/>
    <m/>
    <m/>
    <m/>
    <m/>
    <m/>
    <m/>
    <m/>
    <m/>
    <m/>
    <m/>
    <m/>
    <m/>
    <m/>
    <m/>
    <m/>
    <m/>
    <m/>
    <m/>
    <m/>
    <m/>
    <m/>
    <m/>
    <m/>
    <m/>
    <m/>
    <m/>
    <m/>
    <m/>
    <m/>
    <m/>
    <m/>
    <m/>
    <m/>
    <m/>
    <m/>
    <m/>
    <m/>
    <m/>
    <m/>
    <m/>
    <m/>
    <m/>
    <m/>
    <m/>
    <m/>
    <m/>
    <m/>
    <m/>
    <m/>
    <m/>
    <m/>
    <m/>
    <m/>
    <m/>
    <m/>
    <m/>
    <m/>
    <m/>
    <m/>
    <m/>
  </r>
  <r>
    <m/>
    <m/>
    <x v="2"/>
    <n v="41.01"/>
    <x v="4"/>
    <x v="7"/>
    <s v="Foley B15 CB"/>
    <s v=""/>
    <s v=" "/>
    <n v="19"/>
    <m/>
    <x v="2"/>
    <m/>
    <m/>
    <m/>
    <m/>
    <m/>
    <m/>
    <m/>
    <m/>
    <m/>
    <m/>
    <m/>
    <m/>
    <m/>
    <m/>
    <m/>
    <m/>
    <m/>
    <m/>
    <m/>
    <m/>
    <m/>
    <m/>
    <m/>
    <m/>
    <m/>
    <m/>
    <m/>
    <m/>
    <m/>
    <m/>
    <m/>
    <m/>
    <m/>
    <m/>
    <m/>
    <m/>
    <m/>
    <m/>
    <m/>
    <m/>
    <m/>
    <m/>
    <m/>
    <m/>
    <m/>
    <m/>
    <m/>
    <m/>
    <m/>
    <m/>
    <m/>
    <m/>
    <m/>
    <m/>
    <m/>
    <m/>
    <m/>
    <m/>
    <m/>
    <m/>
    <m/>
    <m/>
    <m/>
    <m/>
    <m/>
    <m/>
    <m/>
    <m/>
    <m/>
    <m/>
    <m/>
    <m/>
    <m/>
    <m/>
    <m/>
    <m/>
    <m/>
    <m/>
    <m/>
    <m/>
    <m/>
    <m/>
    <m/>
    <m/>
    <m/>
    <m/>
    <m/>
    <m/>
    <m/>
    <m/>
    <m/>
    <m/>
    <m/>
    <m/>
    <m/>
    <m/>
    <m/>
    <m/>
    <m/>
    <m/>
    <m/>
    <m/>
    <m/>
    <m/>
    <m/>
    <m/>
    <m/>
    <m/>
    <m/>
    <m/>
    <m/>
    <m/>
    <m/>
    <m/>
    <m/>
    <m/>
  </r>
  <r>
    <m/>
    <m/>
    <x v="2"/>
    <n v="16.46"/>
    <x v="4"/>
    <x v="8"/>
    <s v="Foley B7 CB"/>
    <s v=""/>
    <s v=" "/>
    <n v="19"/>
    <m/>
    <x v="2"/>
    <m/>
    <m/>
    <m/>
    <m/>
    <m/>
    <m/>
    <m/>
    <m/>
    <m/>
    <m/>
    <m/>
    <m/>
    <m/>
    <m/>
    <m/>
    <m/>
    <m/>
    <m/>
    <m/>
    <m/>
    <m/>
    <m/>
    <m/>
    <m/>
    <m/>
    <m/>
    <m/>
    <m/>
    <m/>
    <m/>
    <m/>
    <m/>
    <m/>
    <m/>
    <m/>
    <m/>
    <m/>
    <m/>
    <m/>
    <m/>
    <m/>
    <m/>
    <m/>
    <m/>
    <m/>
    <m/>
    <m/>
    <m/>
    <m/>
    <m/>
    <m/>
    <m/>
    <m/>
    <m/>
    <m/>
    <m/>
    <m/>
    <m/>
    <m/>
    <m/>
    <m/>
    <m/>
    <m/>
    <m/>
    <m/>
    <m/>
    <m/>
    <m/>
    <m/>
    <m/>
    <m/>
    <m/>
    <m/>
    <m/>
    <m/>
    <m/>
    <m/>
    <m/>
    <m/>
    <m/>
    <m/>
    <m/>
    <m/>
    <m/>
    <m/>
    <m/>
    <m/>
    <m/>
    <m/>
    <m/>
    <m/>
    <m/>
    <m/>
    <m/>
    <m/>
    <m/>
    <m/>
    <m/>
    <m/>
    <m/>
    <m/>
    <m/>
    <m/>
    <m/>
    <m/>
    <m/>
    <m/>
    <m/>
    <m/>
    <m/>
    <m/>
    <m/>
    <m/>
    <m/>
    <m/>
    <m/>
  </r>
  <r>
    <m/>
    <m/>
    <x v="2"/>
    <n v="19.38"/>
    <x v="4"/>
    <x v="9"/>
    <s v="Merrill-Johnson B3 CB"/>
    <d v="2023-09-13T00:00:00"/>
    <n v="20.6"/>
    <n v="19"/>
    <n v="21"/>
    <x v="4"/>
    <m/>
    <m/>
    <m/>
    <m/>
    <m/>
    <m/>
    <m/>
    <m/>
    <m/>
    <m/>
    <m/>
    <m/>
    <m/>
    <m/>
    <m/>
    <m/>
    <m/>
    <m/>
    <m/>
    <m/>
    <m/>
    <m/>
    <m/>
    <m/>
    <m/>
    <s v="15.8*"/>
    <m/>
    <m/>
    <m/>
    <m/>
    <m/>
    <m/>
    <m/>
    <m/>
    <n v="18.100000000000001"/>
    <m/>
    <m/>
    <m/>
    <m/>
    <m/>
    <m/>
    <s v="18.8*"/>
    <m/>
    <m/>
    <m/>
    <m/>
    <m/>
    <n v="20.6"/>
    <m/>
    <m/>
    <m/>
    <m/>
    <m/>
    <m/>
    <m/>
    <m/>
    <m/>
    <m/>
    <m/>
    <m/>
    <m/>
    <m/>
    <m/>
    <m/>
    <m/>
    <m/>
    <m/>
    <m/>
    <m/>
    <m/>
    <m/>
    <m/>
    <m/>
    <m/>
    <m/>
    <m/>
    <m/>
    <m/>
    <m/>
    <m/>
    <m/>
    <m/>
    <m/>
    <m/>
    <m/>
    <m/>
    <m/>
    <m/>
    <m/>
    <m/>
    <m/>
    <m/>
    <m/>
    <m/>
    <m/>
    <m/>
    <m/>
    <m/>
    <m/>
    <m/>
    <m/>
    <m/>
    <m/>
    <m/>
    <m/>
    <m/>
    <m/>
    <m/>
    <m/>
    <m/>
    <m/>
    <m/>
    <m/>
    <m/>
    <m/>
    <m/>
  </r>
  <r>
    <m/>
    <s v="Y"/>
    <x v="2"/>
    <n v="19.86"/>
    <x v="4"/>
    <x v="10"/>
    <s v="Prince B11 CB"/>
    <d v="2023-09-13T00:00:00"/>
    <n v="20.8"/>
    <n v="19"/>
    <m/>
    <x v="5"/>
    <m/>
    <m/>
    <m/>
    <m/>
    <m/>
    <m/>
    <m/>
    <m/>
    <m/>
    <m/>
    <m/>
    <m/>
    <m/>
    <m/>
    <m/>
    <m/>
    <m/>
    <m/>
    <m/>
    <m/>
    <m/>
    <m/>
    <m/>
    <m/>
    <m/>
    <m/>
    <n v="17.3"/>
    <m/>
    <m/>
    <m/>
    <m/>
    <m/>
    <m/>
    <m/>
    <s v="19.9*"/>
    <m/>
    <m/>
    <m/>
    <m/>
    <m/>
    <m/>
    <n v="20.100000000000001"/>
    <m/>
    <m/>
    <m/>
    <m/>
    <m/>
    <n v="20.8"/>
    <m/>
    <m/>
    <m/>
    <m/>
    <m/>
    <m/>
    <m/>
    <m/>
    <m/>
    <m/>
    <m/>
    <m/>
    <m/>
    <m/>
    <m/>
    <m/>
    <m/>
    <m/>
    <m/>
    <m/>
    <m/>
    <m/>
    <m/>
    <m/>
    <m/>
    <m/>
    <m/>
    <m/>
    <m/>
    <m/>
    <m/>
    <m/>
    <m/>
    <m/>
    <m/>
    <m/>
    <m/>
    <m/>
    <m/>
    <m/>
    <m/>
    <m/>
    <m/>
    <m/>
    <m/>
    <m/>
    <m/>
    <m/>
    <m/>
    <m/>
    <m/>
    <m/>
    <m/>
    <m/>
    <m/>
    <m/>
    <m/>
    <m/>
    <m/>
    <m/>
    <m/>
    <m/>
    <m/>
    <m/>
    <m/>
    <m/>
    <m/>
    <m/>
  </r>
  <r>
    <m/>
    <s v="Y"/>
    <x v="2"/>
    <n v="3.03"/>
    <x v="4"/>
    <x v="11"/>
    <s v="Prince B14 CB"/>
    <d v="2023-09-13T00:00:00"/>
    <n v="19.2"/>
    <n v="19"/>
    <m/>
    <x v="5"/>
    <m/>
    <m/>
    <m/>
    <m/>
    <m/>
    <m/>
    <m/>
    <m/>
    <m/>
    <m/>
    <m/>
    <m/>
    <m/>
    <m/>
    <m/>
    <m/>
    <m/>
    <m/>
    <m/>
    <m/>
    <m/>
    <m/>
    <m/>
    <m/>
    <m/>
    <m/>
    <m/>
    <m/>
    <m/>
    <m/>
    <m/>
    <m/>
    <m/>
    <m/>
    <n v="18"/>
    <m/>
    <m/>
    <m/>
    <m/>
    <m/>
    <m/>
    <n v="18.100000000000001"/>
    <m/>
    <m/>
    <m/>
    <m/>
    <m/>
    <n v="19.2"/>
    <m/>
    <m/>
    <m/>
    <m/>
    <m/>
    <m/>
    <m/>
    <m/>
    <m/>
    <m/>
    <m/>
    <m/>
    <m/>
    <m/>
    <m/>
    <m/>
    <m/>
    <m/>
    <m/>
    <m/>
    <m/>
    <m/>
    <m/>
    <m/>
    <m/>
    <m/>
    <m/>
    <m/>
    <m/>
    <m/>
    <m/>
    <m/>
    <m/>
    <m/>
    <m/>
    <m/>
    <m/>
    <m/>
    <m/>
    <m/>
    <m/>
    <m/>
    <m/>
    <m/>
    <m/>
    <m/>
    <m/>
    <m/>
    <m/>
    <m/>
    <m/>
    <m/>
    <m/>
    <m/>
    <m/>
    <m/>
    <m/>
    <m/>
    <m/>
    <m/>
    <m/>
    <m/>
    <m/>
    <m/>
    <m/>
    <m/>
    <m/>
    <m/>
  </r>
  <r>
    <m/>
    <m/>
    <x v="2"/>
    <n v="22.93"/>
    <x v="4"/>
    <x v="12"/>
    <s v="Prince B15 CB"/>
    <d v="2023-09-13T00:00:00"/>
    <n v="18.3"/>
    <n v="19"/>
    <m/>
    <x v="5"/>
    <m/>
    <m/>
    <m/>
    <m/>
    <m/>
    <m/>
    <m/>
    <m/>
    <m/>
    <m/>
    <m/>
    <m/>
    <m/>
    <m/>
    <m/>
    <m/>
    <m/>
    <m/>
    <n v="12.3"/>
    <m/>
    <m/>
    <m/>
    <m/>
    <m/>
    <m/>
    <n v="15.6"/>
    <m/>
    <m/>
    <m/>
    <m/>
    <m/>
    <m/>
    <m/>
    <m/>
    <n v="16.2"/>
    <m/>
    <m/>
    <m/>
    <m/>
    <m/>
    <m/>
    <n v="18.100000000000001"/>
    <m/>
    <m/>
    <m/>
    <m/>
    <m/>
    <n v="18.3"/>
    <m/>
    <m/>
    <m/>
    <m/>
    <m/>
    <m/>
    <m/>
    <m/>
    <m/>
    <m/>
    <m/>
    <m/>
    <m/>
    <m/>
    <m/>
    <m/>
    <m/>
    <m/>
    <m/>
    <m/>
    <m/>
    <m/>
    <m/>
    <m/>
    <m/>
    <m/>
    <m/>
    <m/>
    <m/>
    <m/>
    <m/>
    <m/>
    <m/>
    <m/>
    <m/>
    <m/>
    <m/>
    <m/>
    <m/>
    <m/>
    <m/>
    <m/>
    <m/>
    <m/>
    <m/>
    <m/>
    <m/>
    <m/>
    <m/>
    <m/>
    <m/>
    <m/>
    <m/>
    <m/>
    <m/>
    <m/>
    <m/>
    <m/>
    <m/>
    <m/>
    <m/>
    <m/>
    <m/>
    <m/>
    <m/>
    <m/>
    <m/>
    <m/>
  </r>
  <r>
    <m/>
    <s v="Y"/>
    <x v="2"/>
    <n v="6.52"/>
    <x v="4"/>
    <x v="13"/>
    <s v="Prince B16 CB"/>
    <d v="2023-09-13T00:00:00"/>
    <n v="19.3"/>
    <n v="19"/>
    <n v="21.5"/>
    <x v="5"/>
    <m/>
    <m/>
    <m/>
    <m/>
    <m/>
    <m/>
    <m/>
    <m/>
    <m/>
    <m/>
    <m/>
    <m/>
    <m/>
    <m/>
    <m/>
    <m/>
    <m/>
    <m/>
    <m/>
    <m/>
    <m/>
    <m/>
    <m/>
    <m/>
    <m/>
    <n v="15.6"/>
    <n v="16.3"/>
    <m/>
    <m/>
    <m/>
    <m/>
    <m/>
    <m/>
    <m/>
    <n v="17.7"/>
    <m/>
    <m/>
    <m/>
    <m/>
    <m/>
    <m/>
    <n v="18.7"/>
    <m/>
    <m/>
    <m/>
    <m/>
    <m/>
    <n v="19.3"/>
    <m/>
    <m/>
    <m/>
    <m/>
    <m/>
    <m/>
    <m/>
    <m/>
    <m/>
    <m/>
    <m/>
    <m/>
    <m/>
    <m/>
    <m/>
    <m/>
    <m/>
    <m/>
    <m/>
    <m/>
    <m/>
    <m/>
    <m/>
    <m/>
    <m/>
    <m/>
    <m/>
    <m/>
    <m/>
    <m/>
    <m/>
    <m/>
    <m/>
    <m/>
    <m/>
    <m/>
    <m/>
    <m/>
    <m/>
    <m/>
    <m/>
    <m/>
    <m/>
    <m/>
    <m/>
    <m/>
    <m/>
    <m/>
    <m/>
    <m/>
    <m/>
    <m/>
    <m/>
    <m/>
    <m/>
    <m/>
    <m/>
    <m/>
    <m/>
    <m/>
    <m/>
    <m/>
    <m/>
    <m/>
    <m/>
    <m/>
    <m/>
    <m/>
  </r>
  <r>
    <m/>
    <s v="Y"/>
    <x v="2"/>
    <n v="7.28"/>
    <x v="4"/>
    <x v="14"/>
    <s v="Prince B17 CB"/>
    <d v="2023-09-13T00:00:00"/>
    <n v="18.399999999999999"/>
    <n v="19"/>
    <m/>
    <x v="5"/>
    <m/>
    <m/>
    <m/>
    <m/>
    <m/>
    <m/>
    <m/>
    <m/>
    <m/>
    <m/>
    <m/>
    <m/>
    <m/>
    <m/>
    <m/>
    <m/>
    <m/>
    <m/>
    <m/>
    <m/>
    <m/>
    <m/>
    <m/>
    <m/>
    <m/>
    <n v="15"/>
    <n v="14.4"/>
    <m/>
    <m/>
    <m/>
    <m/>
    <m/>
    <m/>
    <m/>
    <n v="16.7"/>
    <m/>
    <m/>
    <m/>
    <m/>
    <m/>
    <m/>
    <n v="17"/>
    <m/>
    <m/>
    <m/>
    <m/>
    <m/>
    <n v="18.399999999999999"/>
    <m/>
    <m/>
    <m/>
    <m/>
    <m/>
    <m/>
    <m/>
    <m/>
    <m/>
    <m/>
    <m/>
    <m/>
    <m/>
    <m/>
    <m/>
    <m/>
    <m/>
    <m/>
    <m/>
    <m/>
    <m/>
    <m/>
    <m/>
    <m/>
    <m/>
    <m/>
    <m/>
    <m/>
    <m/>
    <m/>
    <m/>
    <m/>
    <m/>
    <m/>
    <m/>
    <m/>
    <m/>
    <m/>
    <m/>
    <m/>
    <m/>
    <m/>
    <m/>
    <m/>
    <m/>
    <m/>
    <m/>
    <m/>
    <m/>
    <m/>
    <m/>
    <m/>
    <m/>
    <m/>
    <m/>
    <m/>
    <m/>
    <m/>
    <m/>
    <m/>
    <m/>
    <m/>
    <m/>
    <m/>
    <m/>
    <m/>
    <m/>
    <m/>
  </r>
  <r>
    <s v="Y"/>
    <s v="Y"/>
    <x v="2"/>
    <n v="5.18"/>
    <x v="4"/>
    <x v="15"/>
    <s v="Prince B22 CB"/>
    <d v="2023-09-07T00:00:00"/>
    <n v="21.6"/>
    <n v="19"/>
    <m/>
    <x v="5"/>
    <m/>
    <m/>
    <m/>
    <m/>
    <m/>
    <m/>
    <m/>
    <m/>
    <m/>
    <m/>
    <m/>
    <m/>
    <m/>
    <m/>
    <m/>
    <m/>
    <m/>
    <m/>
    <m/>
    <m/>
    <m/>
    <m/>
    <m/>
    <m/>
    <m/>
    <m/>
    <n v="19.5"/>
    <m/>
    <m/>
    <m/>
    <m/>
    <m/>
    <m/>
    <m/>
    <n v="20.9"/>
    <m/>
    <m/>
    <m/>
    <m/>
    <m/>
    <m/>
    <n v="21.6"/>
    <m/>
    <m/>
    <m/>
    <m/>
    <m/>
    <m/>
    <m/>
    <m/>
    <m/>
    <m/>
    <m/>
    <m/>
    <m/>
    <m/>
    <m/>
    <m/>
    <m/>
    <m/>
    <m/>
    <m/>
    <m/>
    <m/>
    <m/>
    <m/>
    <m/>
    <m/>
    <m/>
    <m/>
    <m/>
    <m/>
    <m/>
    <m/>
    <m/>
    <m/>
    <m/>
    <m/>
    <m/>
    <m/>
    <m/>
    <m/>
    <m/>
    <m/>
    <m/>
    <m/>
    <m/>
    <m/>
    <m/>
    <m/>
    <m/>
    <m/>
    <m/>
    <m/>
    <m/>
    <m/>
    <m/>
    <m/>
    <m/>
    <m/>
    <m/>
    <m/>
    <m/>
    <m/>
    <m/>
    <m/>
    <m/>
    <m/>
    <m/>
    <m/>
    <m/>
    <m/>
    <m/>
    <m/>
    <m/>
    <m/>
  </r>
  <r>
    <m/>
    <s v="Y"/>
    <x v="2"/>
    <n v="33.68"/>
    <x v="4"/>
    <x v="16"/>
    <s v="Prince B5 CB"/>
    <d v="2023-09-13T00:00:00"/>
    <n v="21.8"/>
    <n v="19"/>
    <m/>
    <x v="5"/>
    <m/>
    <m/>
    <m/>
    <m/>
    <m/>
    <m/>
    <m/>
    <m/>
    <m/>
    <m/>
    <m/>
    <m/>
    <m/>
    <m/>
    <m/>
    <m/>
    <m/>
    <m/>
    <m/>
    <m/>
    <m/>
    <m/>
    <m/>
    <m/>
    <m/>
    <n v="17.100000000000001"/>
    <n v="16.600000000000001"/>
    <m/>
    <m/>
    <m/>
    <m/>
    <m/>
    <m/>
    <m/>
    <n v="18.8"/>
    <m/>
    <m/>
    <m/>
    <m/>
    <m/>
    <m/>
    <n v="19.399999999999999"/>
    <m/>
    <m/>
    <m/>
    <m/>
    <m/>
    <n v="21.8"/>
    <m/>
    <m/>
    <m/>
    <m/>
    <m/>
    <m/>
    <m/>
    <m/>
    <m/>
    <m/>
    <m/>
    <m/>
    <m/>
    <m/>
    <m/>
    <m/>
    <m/>
    <m/>
    <m/>
    <m/>
    <m/>
    <m/>
    <m/>
    <m/>
    <m/>
    <m/>
    <m/>
    <m/>
    <m/>
    <m/>
    <m/>
    <m/>
    <m/>
    <m/>
    <m/>
    <m/>
    <m/>
    <m/>
    <m/>
    <m/>
    <m/>
    <m/>
    <m/>
    <m/>
    <m/>
    <m/>
    <m/>
    <m/>
    <m/>
    <m/>
    <m/>
    <m/>
    <m/>
    <m/>
    <m/>
    <m/>
    <m/>
    <m/>
    <m/>
    <m/>
    <m/>
    <m/>
    <m/>
    <m/>
    <m/>
    <m/>
    <m/>
    <m/>
  </r>
  <r>
    <m/>
    <s v="Y"/>
    <x v="2"/>
    <n v="8.5299999999999994"/>
    <x v="4"/>
    <x v="17"/>
    <s v="Prince B6 CB "/>
    <d v="2023-09-13T00:00:00"/>
    <n v="21.6"/>
    <n v="19"/>
    <m/>
    <x v="5"/>
    <m/>
    <m/>
    <m/>
    <m/>
    <m/>
    <m/>
    <m/>
    <m/>
    <m/>
    <m/>
    <m/>
    <m/>
    <m/>
    <m/>
    <m/>
    <m/>
    <m/>
    <m/>
    <n v="14.6"/>
    <m/>
    <m/>
    <m/>
    <m/>
    <m/>
    <m/>
    <m/>
    <n v="16.7"/>
    <m/>
    <m/>
    <m/>
    <m/>
    <m/>
    <m/>
    <m/>
    <n v="20"/>
    <m/>
    <m/>
    <m/>
    <m/>
    <m/>
    <m/>
    <n v="20"/>
    <m/>
    <m/>
    <m/>
    <m/>
    <m/>
    <n v="21.6"/>
    <m/>
    <m/>
    <m/>
    <m/>
    <m/>
    <m/>
    <m/>
    <m/>
    <m/>
    <m/>
    <m/>
    <m/>
    <m/>
    <m/>
    <m/>
    <m/>
    <m/>
    <m/>
    <m/>
    <m/>
    <m/>
    <m/>
    <m/>
    <m/>
    <m/>
    <m/>
    <m/>
    <m/>
    <m/>
    <m/>
    <m/>
    <m/>
    <m/>
    <m/>
    <m/>
    <m/>
    <m/>
    <m/>
    <m/>
    <m/>
    <m/>
    <m/>
    <m/>
    <m/>
    <m/>
    <m/>
    <m/>
    <m/>
    <m/>
    <m/>
    <m/>
    <m/>
    <m/>
    <m/>
    <m/>
    <m/>
    <m/>
    <m/>
    <m/>
    <m/>
    <m/>
    <m/>
    <m/>
    <m/>
    <m/>
    <m/>
    <m/>
    <m/>
  </r>
  <r>
    <m/>
    <s v="Y"/>
    <x v="2"/>
    <n v="5.18"/>
    <x v="4"/>
    <x v="18"/>
    <s v="Prince B8 CB"/>
    <d v="2023-09-13T00:00:00"/>
    <n v="19.399999999999999"/>
    <n v="19"/>
    <m/>
    <x v="5"/>
    <m/>
    <m/>
    <m/>
    <m/>
    <m/>
    <m/>
    <m/>
    <m/>
    <m/>
    <m/>
    <m/>
    <m/>
    <m/>
    <m/>
    <m/>
    <m/>
    <m/>
    <m/>
    <m/>
    <m/>
    <m/>
    <m/>
    <m/>
    <m/>
    <m/>
    <m/>
    <n v="14"/>
    <m/>
    <m/>
    <m/>
    <m/>
    <m/>
    <m/>
    <m/>
    <n v="16.5"/>
    <m/>
    <m/>
    <m/>
    <m/>
    <m/>
    <m/>
    <n v="17"/>
    <m/>
    <m/>
    <m/>
    <m/>
    <m/>
    <n v="19.399999999999999"/>
    <m/>
    <m/>
    <m/>
    <m/>
    <m/>
    <m/>
    <m/>
    <m/>
    <m/>
    <m/>
    <m/>
    <m/>
    <m/>
    <m/>
    <m/>
    <m/>
    <m/>
    <m/>
    <m/>
    <m/>
    <m/>
    <m/>
    <m/>
    <m/>
    <m/>
    <m/>
    <m/>
    <m/>
    <m/>
    <m/>
    <m/>
    <m/>
    <m/>
    <m/>
    <m/>
    <m/>
    <m/>
    <m/>
    <m/>
    <m/>
    <m/>
    <m/>
    <m/>
    <m/>
    <m/>
    <m/>
    <m/>
    <m/>
    <m/>
    <m/>
    <m/>
    <m/>
    <m/>
    <m/>
    <m/>
    <m/>
    <m/>
    <m/>
    <m/>
    <m/>
    <m/>
    <m/>
    <m/>
    <m/>
    <m/>
    <m/>
    <m/>
    <m/>
  </r>
  <r>
    <m/>
    <s v="Y"/>
    <x v="2"/>
    <m/>
    <x v="4"/>
    <x v="19"/>
    <s v="Prince B99 CB (Rows 1-5)"/>
    <d v="2023-09-13T00:00:00"/>
    <n v="15"/>
    <n v="19"/>
    <m/>
    <x v="5"/>
    <m/>
    <m/>
    <m/>
    <m/>
    <m/>
    <m/>
    <m/>
    <m/>
    <m/>
    <m/>
    <m/>
    <m/>
    <m/>
    <m/>
    <m/>
    <m/>
    <m/>
    <m/>
    <m/>
    <m/>
    <m/>
    <m/>
    <m/>
    <m/>
    <m/>
    <m/>
    <m/>
    <m/>
    <m/>
    <m/>
    <m/>
    <m/>
    <m/>
    <m/>
    <m/>
    <m/>
    <m/>
    <m/>
    <m/>
    <m/>
    <m/>
    <n v="16.600000000000001"/>
    <m/>
    <m/>
    <m/>
    <m/>
    <m/>
    <n v="15"/>
    <m/>
    <m/>
    <m/>
    <m/>
    <m/>
    <m/>
    <m/>
    <m/>
    <m/>
    <m/>
    <m/>
    <m/>
    <m/>
    <m/>
    <m/>
    <m/>
    <m/>
    <m/>
    <m/>
    <m/>
    <m/>
    <m/>
    <m/>
    <m/>
    <m/>
    <m/>
    <m/>
    <m/>
    <m/>
    <m/>
    <m/>
    <m/>
    <m/>
    <m/>
    <m/>
    <m/>
    <m/>
    <m/>
    <m/>
    <m/>
    <m/>
    <m/>
    <m/>
    <m/>
    <m/>
    <m/>
    <m/>
    <m/>
    <m/>
    <m/>
    <m/>
    <m/>
    <m/>
    <m/>
    <m/>
    <m/>
    <m/>
    <m/>
    <m/>
    <m/>
    <m/>
    <m/>
    <m/>
    <m/>
    <m/>
    <m/>
    <m/>
    <m/>
  </r>
  <r>
    <m/>
    <m/>
    <x v="0"/>
    <m/>
    <x v="5"/>
    <x v="0"/>
    <s v=" CAB FRANC"/>
    <m/>
    <m/>
    <m/>
    <m/>
    <x v="0"/>
    <m/>
    <m/>
    <m/>
    <m/>
    <m/>
    <m/>
    <m/>
    <m/>
    <m/>
    <m/>
    <m/>
    <m/>
    <m/>
    <m/>
    <m/>
    <m/>
    <m/>
    <m/>
    <m/>
    <m/>
    <m/>
    <m/>
    <m/>
    <m/>
    <m/>
    <m/>
    <m/>
    <m/>
    <m/>
    <m/>
    <m/>
    <m/>
    <m/>
    <m/>
    <m/>
    <m/>
    <m/>
    <m/>
    <m/>
    <m/>
    <m/>
    <m/>
    <m/>
    <m/>
    <m/>
    <m/>
    <m/>
    <m/>
    <m/>
    <m/>
    <m/>
    <m/>
    <m/>
    <m/>
    <m/>
    <m/>
    <m/>
    <m/>
    <m/>
    <m/>
    <m/>
    <m/>
    <m/>
    <m/>
    <m/>
    <m/>
    <m/>
    <m/>
    <m/>
    <m/>
    <m/>
    <m/>
    <m/>
    <m/>
    <m/>
    <m/>
    <m/>
    <m/>
    <m/>
    <m/>
    <m/>
    <m/>
    <m/>
    <m/>
    <m/>
    <m/>
    <m/>
    <m/>
    <m/>
    <m/>
    <m/>
    <m/>
    <m/>
    <m/>
    <m/>
    <m/>
    <m/>
    <m/>
    <m/>
    <m/>
    <m/>
    <m/>
    <m/>
    <m/>
    <m/>
    <m/>
    <m/>
    <m/>
    <m/>
    <m/>
    <m/>
    <m/>
    <m/>
    <m/>
    <m/>
    <m/>
  </r>
  <r>
    <m/>
    <m/>
    <x v="3"/>
    <n v="20.07"/>
    <x v="5"/>
    <x v="20"/>
    <s v="98 Oaks B11 CF"/>
    <d v="2023-09-12T00:00:00"/>
    <n v="24.4"/>
    <n v="25"/>
    <n v="25"/>
    <x v="1"/>
    <m/>
    <m/>
    <m/>
    <m/>
    <m/>
    <m/>
    <m/>
    <m/>
    <m/>
    <m/>
    <m/>
    <m/>
    <m/>
    <m/>
    <m/>
    <m/>
    <m/>
    <m/>
    <m/>
    <m/>
    <m/>
    <m/>
    <m/>
    <m/>
    <m/>
    <m/>
    <m/>
    <m/>
    <m/>
    <m/>
    <m/>
    <m/>
    <m/>
    <m/>
    <m/>
    <m/>
    <m/>
    <m/>
    <m/>
    <m/>
    <n v="22.6"/>
    <m/>
    <m/>
    <m/>
    <m/>
    <m/>
    <n v="24.4"/>
    <m/>
    <m/>
    <m/>
    <m/>
    <m/>
    <m/>
    <m/>
    <m/>
    <m/>
    <m/>
    <m/>
    <m/>
    <m/>
    <m/>
    <m/>
    <m/>
    <m/>
    <m/>
    <m/>
    <m/>
    <m/>
    <m/>
    <m/>
    <m/>
    <m/>
    <m/>
    <m/>
    <m/>
    <m/>
    <m/>
    <m/>
    <m/>
    <m/>
    <m/>
    <m/>
    <m/>
    <m/>
    <m/>
    <m/>
    <m/>
    <m/>
    <m/>
    <m/>
    <m/>
    <m/>
    <m/>
    <m/>
    <m/>
    <m/>
    <m/>
    <m/>
    <m/>
    <m/>
    <m/>
    <m/>
    <m/>
    <m/>
    <m/>
    <m/>
    <m/>
    <m/>
    <m/>
    <m/>
    <m/>
    <m/>
    <m/>
    <m/>
    <m/>
    <m/>
  </r>
  <r>
    <m/>
    <s v="Y"/>
    <x v="1"/>
    <n v="14.91"/>
    <x v="5"/>
    <x v="21"/>
    <s v="LF Railroad B2 CF"/>
    <d v="2023-09-05T00:00:00"/>
    <n v="20.9"/>
    <n v="25"/>
    <n v="24.5"/>
    <x v="1"/>
    <m/>
    <m/>
    <m/>
    <m/>
    <m/>
    <m/>
    <m/>
    <m/>
    <m/>
    <m/>
    <m/>
    <m/>
    <m/>
    <m/>
    <m/>
    <m/>
    <m/>
    <m/>
    <m/>
    <m/>
    <m/>
    <m/>
    <m/>
    <m/>
    <m/>
    <m/>
    <m/>
    <m/>
    <m/>
    <m/>
    <m/>
    <m/>
    <m/>
    <m/>
    <m/>
    <m/>
    <m/>
    <m/>
    <m/>
    <n v="20.9"/>
    <m/>
    <m/>
    <m/>
    <m/>
    <m/>
    <m/>
    <m/>
    <m/>
    <m/>
    <m/>
    <m/>
    <m/>
    <m/>
    <m/>
    <m/>
    <m/>
    <m/>
    <m/>
    <m/>
    <m/>
    <m/>
    <m/>
    <m/>
    <m/>
    <m/>
    <m/>
    <m/>
    <m/>
    <m/>
    <m/>
    <m/>
    <m/>
    <m/>
    <m/>
    <m/>
    <m/>
    <m/>
    <m/>
    <m/>
    <m/>
    <m/>
    <m/>
    <m/>
    <m/>
    <m/>
    <m/>
    <m/>
    <m/>
    <m/>
    <m/>
    <m/>
    <m/>
    <m/>
    <m/>
    <m/>
    <m/>
    <m/>
    <m/>
    <m/>
    <m/>
    <m/>
    <m/>
    <m/>
    <m/>
    <m/>
    <m/>
    <m/>
    <m/>
    <m/>
    <m/>
    <m/>
    <m/>
    <m/>
    <m/>
    <m/>
    <m/>
  </r>
  <r>
    <m/>
    <m/>
    <x v="0"/>
    <m/>
    <x v="6"/>
    <x v="0"/>
    <s v=" CHARDONNAY"/>
    <m/>
    <m/>
    <m/>
    <m/>
    <x v="0"/>
    <m/>
    <m/>
    <m/>
    <m/>
    <m/>
    <m/>
    <m/>
    <m/>
    <m/>
    <m/>
    <m/>
    <m/>
    <m/>
    <m/>
    <m/>
    <m/>
    <m/>
    <m/>
    <m/>
    <m/>
    <m/>
    <m/>
    <m/>
    <m/>
    <m/>
    <m/>
    <m/>
    <m/>
    <m/>
    <m/>
    <m/>
    <m/>
    <m/>
    <m/>
    <m/>
    <m/>
    <m/>
    <m/>
    <m/>
    <m/>
    <m/>
    <m/>
    <m/>
    <m/>
    <m/>
    <m/>
    <m/>
    <m/>
    <m/>
    <m/>
    <m/>
    <m/>
    <m/>
    <m/>
    <m/>
    <m/>
    <m/>
    <m/>
    <m/>
    <m/>
    <m/>
    <m/>
    <m/>
    <m/>
    <m/>
    <m/>
    <m/>
    <m/>
    <m/>
    <m/>
    <m/>
    <m/>
    <m/>
    <m/>
    <m/>
    <m/>
    <m/>
    <m/>
    <m/>
    <m/>
    <m/>
    <m/>
    <m/>
    <m/>
    <m/>
    <m/>
    <m/>
    <m/>
    <m/>
    <m/>
    <m/>
    <m/>
    <m/>
    <m/>
    <m/>
    <m/>
    <m/>
    <m/>
    <m/>
    <m/>
    <m/>
    <m/>
    <m/>
    <m/>
    <m/>
    <m/>
    <m/>
    <m/>
    <m/>
    <m/>
    <m/>
    <m/>
    <m/>
    <m/>
    <m/>
    <m/>
  </r>
  <r>
    <m/>
    <s v="Y"/>
    <x v="1"/>
    <n v="42.12"/>
    <x v="6"/>
    <x v="22"/>
    <s v="Baum Peltier B1 CH 2020 (Row 1-173)"/>
    <d v="2023-09-13T00:00:00"/>
    <n v="22.3"/>
    <n v="23"/>
    <n v="23.8"/>
    <x v="1"/>
    <m/>
    <m/>
    <m/>
    <m/>
    <m/>
    <m/>
    <m/>
    <m/>
    <m/>
    <m/>
    <n v="15.6"/>
    <m/>
    <m/>
    <m/>
    <m/>
    <m/>
    <m/>
    <n v="17.3"/>
    <m/>
    <m/>
    <m/>
    <m/>
    <m/>
    <m/>
    <n v="18.600000000000001"/>
    <m/>
    <m/>
    <m/>
    <n v="19.5"/>
    <m/>
    <m/>
    <m/>
    <m/>
    <m/>
    <n v="20.8"/>
    <m/>
    <m/>
    <m/>
    <m/>
    <m/>
    <n v="21.1"/>
    <m/>
    <m/>
    <m/>
    <m/>
    <m/>
    <m/>
    <n v="22.3"/>
    <m/>
    <m/>
    <m/>
    <m/>
    <m/>
    <m/>
    <m/>
    <m/>
    <m/>
    <m/>
    <m/>
    <m/>
    <m/>
    <m/>
    <m/>
    <m/>
    <m/>
    <m/>
    <m/>
    <m/>
    <m/>
    <m/>
    <m/>
    <m/>
    <m/>
    <m/>
    <m/>
    <m/>
    <m/>
    <m/>
    <m/>
    <m/>
    <m/>
    <m/>
    <m/>
    <m/>
    <m/>
    <m/>
    <m/>
    <m/>
    <m/>
    <m/>
    <m/>
    <m/>
    <m/>
    <m/>
    <m/>
    <m/>
    <m/>
    <m/>
    <m/>
    <m/>
    <m/>
    <m/>
    <m/>
    <m/>
    <m/>
    <m/>
    <m/>
    <m/>
    <m/>
    <m/>
    <m/>
    <m/>
    <m/>
    <m/>
    <m/>
    <m/>
  </r>
  <r>
    <s v="Y"/>
    <s v="Y"/>
    <x v="1"/>
    <n v="42.12"/>
    <x v="6"/>
    <x v="22"/>
    <s v="Baum Peltier B1 CH 2021 (Row 175-end)"/>
    <d v="2023-08-28T00:00:00"/>
    <n v="23.5"/>
    <n v="23"/>
    <n v="23.8"/>
    <x v="1"/>
    <m/>
    <m/>
    <m/>
    <m/>
    <m/>
    <m/>
    <m/>
    <m/>
    <m/>
    <m/>
    <n v="15.6"/>
    <m/>
    <m/>
    <m/>
    <m/>
    <m/>
    <m/>
    <n v="17.3"/>
    <m/>
    <m/>
    <m/>
    <m/>
    <m/>
    <m/>
    <n v="22"/>
    <n v="22.1"/>
    <m/>
    <m/>
    <n v="22"/>
    <m/>
    <m/>
    <n v="23.5"/>
    <m/>
    <m/>
    <m/>
    <m/>
    <m/>
    <m/>
    <m/>
    <m/>
    <m/>
    <m/>
    <m/>
    <m/>
    <m/>
    <m/>
    <m/>
    <m/>
    <m/>
    <m/>
    <m/>
    <m/>
    <m/>
    <m/>
    <m/>
    <m/>
    <m/>
    <m/>
    <m/>
    <m/>
    <m/>
    <m/>
    <m/>
    <m/>
    <m/>
    <m/>
    <m/>
    <m/>
    <m/>
    <m/>
    <m/>
    <m/>
    <m/>
    <m/>
    <m/>
    <m/>
    <m/>
    <m/>
    <m/>
    <m/>
    <m/>
    <m/>
    <m/>
    <m/>
    <m/>
    <m/>
    <m/>
    <m/>
    <m/>
    <m/>
    <m/>
    <m/>
    <m/>
    <m/>
    <m/>
    <m/>
    <m/>
    <m/>
    <m/>
    <m/>
    <m/>
    <m/>
    <m/>
    <m/>
    <m/>
    <m/>
    <m/>
    <m/>
    <m/>
    <m/>
    <m/>
    <m/>
    <m/>
    <m/>
    <m/>
    <m/>
  </r>
  <r>
    <m/>
    <m/>
    <x v="3"/>
    <n v="82.73"/>
    <x v="6"/>
    <x v="23"/>
    <s v="Clements Atkins B2 CH"/>
    <d v="2023-09-08T00:00:00"/>
    <s v="22.6 (N) 22.8 (S)"/>
    <n v="22.5"/>
    <m/>
    <x v="2"/>
    <m/>
    <m/>
    <m/>
    <m/>
    <m/>
    <m/>
    <m/>
    <m/>
    <m/>
    <m/>
    <m/>
    <m/>
    <m/>
    <m/>
    <m/>
    <m/>
    <m/>
    <m/>
    <m/>
    <m/>
    <m/>
    <m/>
    <m/>
    <m/>
    <m/>
    <m/>
    <m/>
    <m/>
    <m/>
    <m/>
    <m/>
    <m/>
    <m/>
    <m/>
    <m/>
    <m/>
    <m/>
    <m/>
    <m/>
    <m/>
    <m/>
    <m/>
    <s v="22.6 (N) 22.8 (S)"/>
    <m/>
    <m/>
    <m/>
    <m/>
    <m/>
    <m/>
    <m/>
    <m/>
    <m/>
    <m/>
    <m/>
    <m/>
    <m/>
    <m/>
    <m/>
    <m/>
    <m/>
    <m/>
    <m/>
    <m/>
    <m/>
    <m/>
    <m/>
    <m/>
    <m/>
    <m/>
    <m/>
    <m/>
    <m/>
    <m/>
    <m/>
    <m/>
    <m/>
    <m/>
    <m/>
    <m/>
    <m/>
    <m/>
    <m/>
    <m/>
    <m/>
    <m/>
    <m/>
    <m/>
    <m/>
    <m/>
    <m/>
    <m/>
    <m/>
    <m/>
    <m/>
    <m/>
    <m/>
    <m/>
    <m/>
    <m/>
    <m/>
    <m/>
    <m/>
    <m/>
    <m/>
    <m/>
    <m/>
    <m/>
    <m/>
    <m/>
    <m/>
    <m/>
    <m/>
    <m/>
    <m/>
    <m/>
    <m/>
  </r>
  <r>
    <m/>
    <m/>
    <x v="3"/>
    <n v="62.37"/>
    <x v="6"/>
    <x v="24"/>
    <s v="Clements Atkins B3 CH"/>
    <d v="2023-09-08T00:00:00"/>
    <n v="22.6"/>
    <n v="22.5"/>
    <m/>
    <x v="2"/>
    <m/>
    <m/>
    <m/>
    <m/>
    <m/>
    <m/>
    <m/>
    <m/>
    <m/>
    <m/>
    <m/>
    <m/>
    <m/>
    <n v="14.9"/>
    <m/>
    <m/>
    <m/>
    <m/>
    <m/>
    <m/>
    <m/>
    <m/>
    <m/>
    <m/>
    <n v="17.5"/>
    <m/>
    <m/>
    <m/>
    <m/>
    <m/>
    <m/>
    <m/>
    <m/>
    <n v="20.6"/>
    <m/>
    <m/>
    <m/>
    <m/>
    <m/>
    <m/>
    <m/>
    <m/>
    <n v="22.6"/>
    <m/>
    <m/>
    <m/>
    <m/>
    <m/>
    <m/>
    <m/>
    <m/>
    <m/>
    <m/>
    <m/>
    <m/>
    <m/>
    <m/>
    <m/>
    <m/>
    <m/>
    <m/>
    <m/>
    <m/>
    <m/>
    <m/>
    <m/>
    <m/>
    <m/>
    <m/>
    <m/>
    <m/>
    <m/>
    <m/>
    <m/>
    <m/>
    <m/>
    <m/>
    <m/>
    <m/>
    <m/>
    <m/>
    <m/>
    <m/>
    <m/>
    <m/>
    <m/>
    <m/>
    <m/>
    <m/>
    <m/>
    <m/>
    <m/>
    <m/>
    <m/>
    <m/>
    <m/>
    <m/>
    <m/>
    <m/>
    <m/>
    <m/>
    <m/>
    <m/>
    <m/>
    <m/>
    <m/>
    <m/>
    <m/>
    <m/>
    <m/>
    <m/>
    <m/>
    <m/>
    <m/>
    <m/>
    <m/>
  </r>
  <r>
    <m/>
    <m/>
    <x v="3"/>
    <n v="21.91"/>
    <x v="6"/>
    <x v="25"/>
    <s v="Clements Atkins B4 CH (South - Horses)"/>
    <s v=""/>
    <s v=" "/>
    <n v="22.5"/>
    <m/>
    <x v="2"/>
    <m/>
    <m/>
    <m/>
    <m/>
    <m/>
    <m/>
    <m/>
    <m/>
    <m/>
    <m/>
    <m/>
    <m/>
    <m/>
    <m/>
    <m/>
    <m/>
    <m/>
    <m/>
    <m/>
    <m/>
    <m/>
    <m/>
    <m/>
    <m/>
    <m/>
    <m/>
    <m/>
    <m/>
    <m/>
    <m/>
    <m/>
    <m/>
    <m/>
    <m/>
    <m/>
    <m/>
    <m/>
    <m/>
    <m/>
    <m/>
    <m/>
    <m/>
    <m/>
    <m/>
    <m/>
    <m/>
    <m/>
    <m/>
    <m/>
    <m/>
    <m/>
    <m/>
    <m/>
    <m/>
    <m/>
    <m/>
    <m/>
    <m/>
    <m/>
    <m/>
    <m/>
    <m/>
    <m/>
    <m/>
    <m/>
    <m/>
    <m/>
    <m/>
    <m/>
    <m/>
    <m/>
    <m/>
    <m/>
    <m/>
    <m/>
    <m/>
    <m/>
    <m/>
    <m/>
    <m/>
    <m/>
    <m/>
    <m/>
    <m/>
    <m/>
    <m/>
    <m/>
    <m/>
    <m/>
    <m/>
    <m/>
    <m/>
    <m/>
    <m/>
    <m/>
    <m/>
    <m/>
    <m/>
    <m/>
    <m/>
    <m/>
    <m/>
    <m/>
    <m/>
    <m/>
    <m/>
    <m/>
    <m/>
    <m/>
    <m/>
    <m/>
    <m/>
    <m/>
    <m/>
    <m/>
    <m/>
  </r>
  <r>
    <m/>
    <s v="Y"/>
    <x v="3"/>
    <n v="59.54"/>
    <x v="6"/>
    <x v="26"/>
    <s v="Clements Bear Creek B2 CH"/>
    <d v="2023-09-13T00:00:00"/>
    <n v="24"/>
    <n v="22.5"/>
    <m/>
    <x v="1"/>
    <m/>
    <m/>
    <m/>
    <m/>
    <m/>
    <m/>
    <m/>
    <n v="15.6"/>
    <m/>
    <m/>
    <m/>
    <m/>
    <m/>
    <m/>
    <m/>
    <m/>
    <m/>
    <n v="19.600000000000001"/>
    <m/>
    <m/>
    <m/>
    <m/>
    <m/>
    <m/>
    <n v="20.5"/>
    <m/>
    <m/>
    <m/>
    <m/>
    <m/>
    <m/>
    <n v="21.7"/>
    <m/>
    <m/>
    <m/>
    <m/>
    <m/>
    <m/>
    <m/>
    <m/>
    <m/>
    <m/>
    <m/>
    <m/>
    <m/>
    <m/>
    <m/>
    <n v="24"/>
    <m/>
    <m/>
    <m/>
    <m/>
    <m/>
    <m/>
    <m/>
    <m/>
    <m/>
    <m/>
    <m/>
    <m/>
    <m/>
    <m/>
    <m/>
    <m/>
    <m/>
    <m/>
    <m/>
    <m/>
    <m/>
    <m/>
    <m/>
    <m/>
    <m/>
    <m/>
    <m/>
    <m/>
    <m/>
    <m/>
    <m/>
    <m/>
    <m/>
    <m/>
    <m/>
    <m/>
    <m/>
    <m/>
    <m/>
    <m/>
    <m/>
    <m/>
    <m/>
    <m/>
    <m/>
    <m/>
    <m/>
    <m/>
    <m/>
    <m/>
    <m/>
    <m/>
    <m/>
    <m/>
    <m/>
    <m/>
    <m/>
    <m/>
    <m/>
    <m/>
    <m/>
    <m/>
    <m/>
    <m/>
    <m/>
    <m/>
    <m/>
    <m/>
  </r>
  <r>
    <m/>
    <m/>
    <x v="3"/>
    <m/>
    <x v="6"/>
    <x v="0"/>
    <s v="Clements Bear Creek B2 CH (Mid)"/>
    <d v="2023-09-01T00:00:00"/>
    <n v="22.5"/>
    <n v="22.5"/>
    <m/>
    <x v="1"/>
    <m/>
    <m/>
    <m/>
    <m/>
    <m/>
    <m/>
    <m/>
    <m/>
    <m/>
    <m/>
    <m/>
    <m/>
    <m/>
    <m/>
    <m/>
    <m/>
    <m/>
    <m/>
    <m/>
    <m/>
    <m/>
    <m/>
    <m/>
    <m/>
    <m/>
    <m/>
    <m/>
    <m/>
    <m/>
    <m/>
    <m/>
    <m/>
    <m/>
    <m/>
    <m/>
    <n v="22.5"/>
    <m/>
    <m/>
    <m/>
    <m/>
    <m/>
    <m/>
    <m/>
    <m/>
    <m/>
    <m/>
    <m/>
    <m/>
    <m/>
    <m/>
    <m/>
    <m/>
    <m/>
    <m/>
    <m/>
    <m/>
    <m/>
    <m/>
    <m/>
    <m/>
    <m/>
    <m/>
    <m/>
    <m/>
    <m/>
    <m/>
    <m/>
    <m/>
    <m/>
    <m/>
    <m/>
    <m/>
    <m/>
    <m/>
    <m/>
    <m/>
    <m/>
    <m/>
    <m/>
    <m/>
    <m/>
    <m/>
    <m/>
    <m/>
    <m/>
    <m/>
    <m/>
    <m/>
    <m/>
    <m/>
    <m/>
    <m/>
    <m/>
    <m/>
    <m/>
    <m/>
    <m/>
    <m/>
    <m/>
    <m/>
    <m/>
    <m/>
    <m/>
    <m/>
    <m/>
    <m/>
    <m/>
    <m/>
    <m/>
    <m/>
    <m/>
    <m/>
    <m/>
    <m/>
    <m/>
    <m/>
  </r>
  <r>
    <m/>
    <s v="Y"/>
    <x v="3"/>
    <n v="70.349999999999994"/>
    <x v="6"/>
    <x v="27"/>
    <s v="Clements Rose 2 B2 CH"/>
    <m/>
    <m/>
    <n v="25"/>
    <n v="25"/>
    <x v="1"/>
    <m/>
    <m/>
    <m/>
    <m/>
    <m/>
    <m/>
    <m/>
    <m/>
    <m/>
    <m/>
    <m/>
    <m/>
    <m/>
    <n v="16"/>
    <m/>
    <m/>
    <m/>
    <m/>
    <m/>
    <m/>
    <m/>
    <m/>
    <m/>
    <m/>
    <m/>
    <m/>
    <m/>
    <m/>
    <m/>
    <m/>
    <m/>
    <m/>
    <m/>
    <m/>
    <m/>
    <m/>
    <m/>
    <m/>
    <m/>
    <m/>
    <m/>
    <m/>
    <m/>
    <m/>
    <m/>
    <m/>
    <m/>
    <m/>
    <m/>
    <m/>
    <m/>
    <m/>
    <m/>
    <m/>
    <m/>
    <m/>
    <m/>
    <m/>
    <m/>
    <m/>
    <m/>
    <m/>
    <m/>
    <m/>
    <m/>
    <m/>
    <m/>
    <m/>
    <m/>
    <m/>
    <m/>
    <m/>
    <m/>
    <m/>
    <m/>
    <m/>
    <m/>
    <m/>
    <m/>
    <m/>
    <m/>
    <m/>
    <m/>
    <m/>
    <m/>
    <m/>
    <m/>
    <m/>
    <m/>
    <m/>
    <m/>
    <m/>
    <m/>
    <m/>
    <m/>
    <m/>
    <m/>
    <m/>
    <m/>
    <m/>
    <m/>
    <m/>
    <m/>
    <m/>
    <m/>
    <m/>
    <m/>
    <m/>
    <m/>
    <m/>
    <m/>
    <m/>
    <m/>
    <m/>
    <m/>
    <m/>
  </r>
  <r>
    <m/>
    <s v="Y"/>
    <x v="3"/>
    <m/>
    <x v="6"/>
    <x v="27"/>
    <s v="Clements Rose 2 B2 CH (MID)"/>
    <d v="2023-08-16T00:00:00"/>
    <n v="17.399999999999999"/>
    <n v="25"/>
    <n v="25"/>
    <x v="1"/>
    <m/>
    <m/>
    <m/>
    <m/>
    <m/>
    <m/>
    <m/>
    <m/>
    <m/>
    <m/>
    <m/>
    <m/>
    <m/>
    <m/>
    <m/>
    <m/>
    <m/>
    <m/>
    <m/>
    <n v="17.399999999999999"/>
    <m/>
    <m/>
    <m/>
    <m/>
    <m/>
    <m/>
    <m/>
    <m/>
    <m/>
    <m/>
    <m/>
    <m/>
    <m/>
    <m/>
    <m/>
    <m/>
    <m/>
    <m/>
    <m/>
    <m/>
    <m/>
    <m/>
    <m/>
    <m/>
    <m/>
    <m/>
    <m/>
    <m/>
    <m/>
    <m/>
    <m/>
    <m/>
    <m/>
    <m/>
    <m/>
    <m/>
    <m/>
    <m/>
    <m/>
    <m/>
    <m/>
    <m/>
    <m/>
    <m/>
    <m/>
    <m/>
    <m/>
    <m/>
    <m/>
    <m/>
    <m/>
    <m/>
    <m/>
    <m/>
    <m/>
    <m/>
    <m/>
    <m/>
    <m/>
    <m/>
    <m/>
    <m/>
    <m/>
    <m/>
    <m/>
    <m/>
    <m/>
    <m/>
    <m/>
    <m/>
    <m/>
    <m/>
    <m/>
    <m/>
    <m/>
    <m/>
    <m/>
    <m/>
    <m/>
    <m/>
    <m/>
    <m/>
    <m/>
    <m/>
    <m/>
    <m/>
    <m/>
    <m/>
    <m/>
    <m/>
    <m/>
    <m/>
    <m/>
    <m/>
    <m/>
    <m/>
  </r>
  <r>
    <m/>
    <s v="Y"/>
    <x v="3"/>
    <m/>
    <x v="6"/>
    <x v="27"/>
    <s v="Clements Rose 2 B2 CH (NORTH)"/>
    <d v="2023-09-06T00:00:00"/>
    <n v="21.7"/>
    <n v="25"/>
    <n v="25"/>
    <x v="1"/>
    <m/>
    <m/>
    <m/>
    <m/>
    <m/>
    <m/>
    <m/>
    <m/>
    <m/>
    <m/>
    <m/>
    <m/>
    <m/>
    <m/>
    <m/>
    <m/>
    <m/>
    <m/>
    <m/>
    <n v="18.600000000000001"/>
    <m/>
    <m/>
    <m/>
    <m/>
    <m/>
    <m/>
    <m/>
    <n v="19"/>
    <m/>
    <m/>
    <m/>
    <m/>
    <m/>
    <n v="21"/>
    <m/>
    <m/>
    <m/>
    <m/>
    <m/>
    <m/>
    <n v="21.7"/>
    <m/>
    <m/>
    <m/>
    <m/>
    <m/>
    <m/>
    <m/>
    <m/>
    <m/>
    <m/>
    <m/>
    <m/>
    <m/>
    <m/>
    <m/>
    <m/>
    <m/>
    <m/>
    <m/>
    <m/>
    <m/>
    <m/>
    <m/>
    <m/>
    <m/>
    <m/>
    <m/>
    <m/>
    <m/>
    <m/>
    <m/>
    <m/>
    <m/>
    <m/>
    <m/>
    <m/>
    <m/>
    <m/>
    <m/>
    <m/>
    <m/>
    <m/>
    <m/>
    <m/>
    <m/>
    <m/>
    <m/>
    <m/>
    <m/>
    <m/>
    <m/>
    <m/>
    <m/>
    <m/>
    <m/>
    <m/>
    <m/>
    <m/>
    <m/>
    <m/>
    <m/>
    <m/>
    <m/>
    <m/>
    <m/>
    <m/>
    <m/>
    <m/>
    <m/>
    <m/>
    <m/>
    <m/>
    <m/>
    <m/>
    <m/>
  </r>
  <r>
    <m/>
    <s v="Y"/>
    <x v="3"/>
    <m/>
    <x v="6"/>
    <x v="27"/>
    <s v="Clements Rose 2 B2 CH (SOUTH)"/>
    <d v="2023-09-06T00:00:00"/>
    <n v="21.6"/>
    <n v="25"/>
    <n v="25"/>
    <x v="1"/>
    <m/>
    <m/>
    <m/>
    <m/>
    <m/>
    <m/>
    <m/>
    <m/>
    <m/>
    <m/>
    <m/>
    <m/>
    <m/>
    <m/>
    <m/>
    <m/>
    <m/>
    <m/>
    <m/>
    <n v="18.600000000000001"/>
    <m/>
    <m/>
    <m/>
    <m/>
    <m/>
    <m/>
    <m/>
    <n v="19.8"/>
    <m/>
    <m/>
    <m/>
    <m/>
    <m/>
    <n v="21.8"/>
    <m/>
    <m/>
    <m/>
    <m/>
    <m/>
    <m/>
    <n v="21.6"/>
    <m/>
    <m/>
    <m/>
    <m/>
    <m/>
    <m/>
    <m/>
    <m/>
    <m/>
    <m/>
    <m/>
    <m/>
    <m/>
    <m/>
    <m/>
    <m/>
    <m/>
    <m/>
    <m/>
    <m/>
    <m/>
    <m/>
    <m/>
    <m/>
    <m/>
    <m/>
    <m/>
    <m/>
    <m/>
    <m/>
    <m/>
    <m/>
    <m/>
    <m/>
    <m/>
    <m/>
    <m/>
    <m/>
    <m/>
    <m/>
    <m/>
    <m/>
    <m/>
    <m/>
    <m/>
    <m/>
    <m/>
    <m/>
    <m/>
    <m/>
    <m/>
    <m/>
    <m/>
    <m/>
    <m/>
    <m/>
    <m/>
    <m/>
    <m/>
    <m/>
    <m/>
    <m/>
    <m/>
    <m/>
    <m/>
    <m/>
    <m/>
    <m/>
    <m/>
    <m/>
    <m/>
    <m/>
    <m/>
    <m/>
    <m/>
  </r>
  <r>
    <s v="Y"/>
    <m/>
    <x v="3"/>
    <n v="60.57"/>
    <x v="6"/>
    <x v="28"/>
    <s v="Clements Paddy Creek B4B CH"/>
    <d v="2023-08-30T00:00:00"/>
    <s v="23.1*"/>
    <n v="23"/>
    <m/>
    <x v="2"/>
    <m/>
    <m/>
    <m/>
    <m/>
    <m/>
    <m/>
    <m/>
    <n v="15"/>
    <m/>
    <m/>
    <m/>
    <m/>
    <m/>
    <m/>
    <m/>
    <m/>
    <m/>
    <n v="18.899999999999999"/>
    <m/>
    <m/>
    <m/>
    <m/>
    <m/>
    <m/>
    <m/>
    <m/>
    <m/>
    <m/>
    <m/>
    <m/>
    <m/>
    <m/>
    <m/>
    <s v="23.1*"/>
    <m/>
    <m/>
    <m/>
    <m/>
    <m/>
    <m/>
    <m/>
    <m/>
    <m/>
    <m/>
    <m/>
    <m/>
    <m/>
    <m/>
    <m/>
    <m/>
    <m/>
    <m/>
    <m/>
    <m/>
    <m/>
    <m/>
    <m/>
    <m/>
    <m/>
    <m/>
    <m/>
    <m/>
    <m/>
    <m/>
    <m/>
    <m/>
    <m/>
    <m/>
    <m/>
    <m/>
    <m/>
    <m/>
    <m/>
    <m/>
    <m/>
    <m/>
    <m/>
    <m/>
    <m/>
    <m/>
    <m/>
    <m/>
    <m/>
    <m/>
    <m/>
    <m/>
    <m/>
    <m/>
    <m/>
    <m/>
    <m/>
    <m/>
    <m/>
    <m/>
    <m/>
    <m/>
    <m/>
    <m/>
    <m/>
    <m/>
    <m/>
    <m/>
    <m/>
    <m/>
    <m/>
    <m/>
    <m/>
    <m/>
    <m/>
    <m/>
    <m/>
    <m/>
    <m/>
    <m/>
    <m/>
    <m/>
  </r>
  <r>
    <m/>
    <s v="Y"/>
    <x v="3"/>
    <n v="32.03"/>
    <x v="6"/>
    <x v="29"/>
    <s v="Cook B2 CH"/>
    <d v="2023-09-12T00:00:00"/>
    <n v="24.6"/>
    <n v="23"/>
    <n v="23.8"/>
    <x v="1"/>
    <m/>
    <m/>
    <m/>
    <m/>
    <m/>
    <m/>
    <m/>
    <n v="14.6"/>
    <m/>
    <m/>
    <m/>
    <m/>
    <m/>
    <n v="16.600000000000001"/>
    <m/>
    <m/>
    <m/>
    <m/>
    <m/>
    <n v="18.100000000000001"/>
    <m/>
    <m/>
    <m/>
    <m/>
    <m/>
    <m/>
    <m/>
    <m/>
    <m/>
    <n v="20.3"/>
    <m/>
    <m/>
    <m/>
    <m/>
    <m/>
    <n v="22.1"/>
    <m/>
    <m/>
    <m/>
    <m/>
    <m/>
    <m/>
    <m/>
    <m/>
    <m/>
    <m/>
    <n v="24.6"/>
    <m/>
    <m/>
    <m/>
    <m/>
    <m/>
    <m/>
    <m/>
    <m/>
    <m/>
    <m/>
    <m/>
    <m/>
    <m/>
    <m/>
    <m/>
    <m/>
    <m/>
    <m/>
    <m/>
    <m/>
    <m/>
    <m/>
    <m/>
    <m/>
    <m/>
    <m/>
    <m/>
    <m/>
    <m/>
    <m/>
    <m/>
    <m/>
    <m/>
    <m/>
    <m/>
    <m/>
    <m/>
    <m/>
    <m/>
    <m/>
    <m/>
    <m/>
    <m/>
    <m/>
    <m/>
    <m/>
    <m/>
    <m/>
    <m/>
    <m/>
    <m/>
    <m/>
    <m/>
    <m/>
    <m/>
    <m/>
    <m/>
    <m/>
    <m/>
    <m/>
    <m/>
    <m/>
    <m/>
    <m/>
    <m/>
    <m/>
    <m/>
    <m/>
    <m/>
  </r>
  <r>
    <s v="Y"/>
    <s v="Y"/>
    <x v="1"/>
    <n v="10.07"/>
    <x v="6"/>
    <x v="30"/>
    <s v="Donald, Brian Davis B5 CH"/>
    <d v="2023-09-02T00:00:00"/>
    <n v="23"/>
    <n v="23"/>
    <n v="23.8"/>
    <x v="1"/>
    <m/>
    <m/>
    <m/>
    <m/>
    <m/>
    <m/>
    <m/>
    <m/>
    <m/>
    <m/>
    <m/>
    <m/>
    <n v="17.100000000000001"/>
    <m/>
    <m/>
    <m/>
    <m/>
    <m/>
    <n v="18.899999999999999"/>
    <m/>
    <m/>
    <m/>
    <m/>
    <m/>
    <m/>
    <m/>
    <m/>
    <n v="20.6"/>
    <m/>
    <m/>
    <m/>
    <m/>
    <m/>
    <n v="22.7"/>
    <m/>
    <m/>
    <n v="23"/>
    <m/>
    <m/>
    <m/>
    <m/>
    <m/>
    <m/>
    <m/>
    <m/>
    <m/>
    <m/>
    <m/>
    <m/>
    <m/>
    <m/>
    <m/>
    <m/>
    <m/>
    <m/>
    <m/>
    <m/>
    <m/>
    <m/>
    <m/>
    <m/>
    <m/>
    <m/>
    <m/>
    <m/>
    <m/>
    <m/>
    <m/>
    <m/>
    <m/>
    <m/>
    <m/>
    <m/>
    <m/>
    <m/>
    <m/>
    <m/>
    <m/>
    <m/>
    <m/>
    <m/>
    <m/>
    <m/>
    <m/>
    <m/>
    <m/>
    <m/>
    <m/>
    <m/>
    <m/>
    <m/>
    <m/>
    <m/>
    <m/>
    <m/>
    <m/>
    <m/>
    <m/>
    <m/>
    <m/>
    <m/>
    <m/>
    <m/>
    <m/>
    <m/>
    <m/>
    <m/>
    <m/>
    <m/>
    <m/>
    <m/>
    <m/>
    <m/>
    <m/>
    <m/>
    <m/>
  </r>
  <r>
    <m/>
    <m/>
    <x v="2"/>
    <n v="16.77"/>
    <x v="6"/>
    <x v="31"/>
    <s v="Foley B2B CH"/>
    <d v="2023-08-08T00:00:00"/>
    <n v="14.4"/>
    <n v="23"/>
    <m/>
    <x v="6"/>
    <m/>
    <m/>
    <m/>
    <m/>
    <m/>
    <m/>
    <m/>
    <m/>
    <m/>
    <m/>
    <m/>
    <n v="14.4"/>
    <m/>
    <m/>
    <m/>
    <m/>
    <m/>
    <m/>
    <m/>
    <m/>
    <m/>
    <m/>
    <m/>
    <m/>
    <m/>
    <m/>
    <m/>
    <m/>
    <m/>
    <m/>
    <m/>
    <m/>
    <m/>
    <m/>
    <m/>
    <m/>
    <m/>
    <m/>
    <m/>
    <m/>
    <m/>
    <m/>
    <m/>
    <m/>
    <m/>
    <m/>
    <m/>
    <m/>
    <m/>
    <m/>
    <m/>
    <m/>
    <m/>
    <m/>
    <m/>
    <m/>
    <m/>
    <m/>
    <m/>
    <m/>
    <m/>
    <m/>
    <m/>
    <m/>
    <m/>
    <m/>
    <m/>
    <m/>
    <m/>
    <m/>
    <m/>
    <m/>
    <m/>
    <m/>
    <m/>
    <m/>
    <m/>
    <m/>
    <m/>
    <m/>
    <m/>
    <m/>
    <m/>
    <m/>
    <m/>
    <m/>
    <m/>
    <m/>
    <m/>
    <m/>
    <m/>
    <m/>
    <m/>
    <m/>
    <m/>
    <m/>
    <m/>
    <m/>
    <m/>
    <m/>
    <m/>
    <m/>
    <m/>
    <m/>
    <m/>
    <m/>
    <m/>
    <m/>
    <m/>
    <m/>
    <m/>
    <m/>
    <m/>
    <m/>
    <m/>
    <m/>
  </r>
  <r>
    <m/>
    <m/>
    <x v="2"/>
    <n v="35.08"/>
    <x v="6"/>
    <x v="32"/>
    <s v="Foley B3 CH"/>
    <d v="2023-08-24T00:00:00"/>
    <n v="19.100000000000001"/>
    <n v="23"/>
    <m/>
    <x v="6"/>
    <m/>
    <m/>
    <m/>
    <m/>
    <m/>
    <m/>
    <m/>
    <m/>
    <m/>
    <m/>
    <m/>
    <n v="14.8"/>
    <m/>
    <m/>
    <m/>
    <m/>
    <m/>
    <m/>
    <m/>
    <m/>
    <m/>
    <m/>
    <m/>
    <m/>
    <m/>
    <m/>
    <m/>
    <n v="19.100000000000001"/>
    <m/>
    <m/>
    <m/>
    <m/>
    <m/>
    <m/>
    <m/>
    <m/>
    <m/>
    <m/>
    <m/>
    <m/>
    <m/>
    <m/>
    <m/>
    <m/>
    <m/>
    <m/>
    <m/>
    <m/>
    <m/>
    <m/>
    <m/>
    <m/>
    <m/>
    <m/>
    <m/>
    <m/>
    <m/>
    <m/>
    <m/>
    <m/>
    <m/>
    <m/>
    <m/>
    <m/>
    <m/>
    <m/>
    <m/>
    <m/>
    <m/>
    <m/>
    <m/>
    <m/>
    <m/>
    <m/>
    <m/>
    <m/>
    <m/>
    <m/>
    <m/>
    <m/>
    <m/>
    <m/>
    <m/>
    <m/>
    <m/>
    <m/>
    <m/>
    <m/>
    <m/>
    <m/>
    <m/>
    <m/>
    <m/>
    <m/>
    <m/>
    <m/>
    <m/>
    <m/>
    <m/>
    <m/>
    <m/>
    <m/>
    <m/>
    <m/>
    <m/>
    <m/>
    <m/>
    <m/>
    <m/>
    <m/>
    <m/>
    <m/>
    <m/>
    <m/>
    <m/>
    <m/>
  </r>
  <r>
    <m/>
    <m/>
    <x v="2"/>
    <n v="15.95"/>
    <x v="6"/>
    <x v="33"/>
    <s v="Foley B4 CH"/>
    <s v=""/>
    <s v=" "/>
    <n v="23"/>
    <m/>
    <x v="6"/>
    <m/>
    <m/>
    <m/>
    <m/>
    <m/>
    <m/>
    <m/>
    <m/>
    <m/>
    <m/>
    <m/>
    <m/>
    <m/>
    <m/>
    <m/>
    <m/>
    <m/>
    <m/>
    <m/>
    <m/>
    <m/>
    <m/>
    <m/>
    <m/>
    <m/>
    <m/>
    <m/>
    <m/>
    <m/>
    <m/>
    <m/>
    <m/>
    <m/>
    <m/>
    <m/>
    <m/>
    <m/>
    <m/>
    <m/>
    <m/>
    <m/>
    <m/>
    <m/>
    <m/>
    <m/>
    <m/>
    <m/>
    <m/>
    <m/>
    <m/>
    <m/>
    <m/>
    <m/>
    <m/>
    <m/>
    <m/>
    <m/>
    <m/>
    <m/>
    <m/>
    <m/>
    <m/>
    <m/>
    <m/>
    <m/>
    <m/>
    <m/>
    <m/>
    <m/>
    <m/>
    <m/>
    <m/>
    <m/>
    <m/>
    <m/>
    <m/>
    <m/>
    <m/>
    <m/>
    <m/>
    <m/>
    <m/>
    <m/>
    <m/>
    <m/>
    <m/>
    <m/>
    <m/>
    <m/>
    <m/>
    <m/>
    <m/>
    <m/>
    <m/>
    <m/>
    <m/>
    <m/>
    <m/>
    <m/>
    <m/>
    <m/>
    <m/>
    <m/>
    <m/>
    <m/>
    <m/>
    <m/>
    <m/>
    <m/>
    <m/>
    <m/>
    <m/>
    <m/>
    <m/>
    <m/>
    <m/>
  </r>
  <r>
    <m/>
    <m/>
    <x v="2"/>
    <n v="24.82"/>
    <x v="6"/>
    <x v="34"/>
    <s v="Foley B5 CH"/>
    <d v="2023-09-01T00:00:00"/>
    <n v="21.9"/>
    <n v="23"/>
    <m/>
    <x v="6"/>
    <m/>
    <m/>
    <m/>
    <m/>
    <m/>
    <m/>
    <m/>
    <m/>
    <m/>
    <m/>
    <m/>
    <m/>
    <m/>
    <m/>
    <m/>
    <m/>
    <m/>
    <m/>
    <m/>
    <m/>
    <m/>
    <m/>
    <m/>
    <m/>
    <m/>
    <m/>
    <m/>
    <n v="19.600000000000001"/>
    <m/>
    <m/>
    <m/>
    <m/>
    <m/>
    <m/>
    <m/>
    <n v="21.9"/>
    <m/>
    <m/>
    <m/>
    <m/>
    <m/>
    <m/>
    <m/>
    <m/>
    <m/>
    <m/>
    <m/>
    <m/>
    <m/>
    <m/>
    <m/>
    <m/>
    <m/>
    <m/>
    <m/>
    <m/>
    <m/>
    <m/>
    <m/>
    <m/>
    <m/>
    <m/>
    <m/>
    <m/>
    <m/>
    <m/>
    <m/>
    <m/>
    <m/>
    <m/>
    <m/>
    <m/>
    <m/>
    <m/>
    <m/>
    <m/>
    <m/>
    <m/>
    <m/>
    <m/>
    <m/>
    <m/>
    <m/>
    <m/>
    <m/>
    <m/>
    <m/>
    <m/>
    <m/>
    <m/>
    <m/>
    <m/>
    <m/>
    <m/>
    <m/>
    <m/>
    <m/>
    <m/>
    <m/>
    <m/>
    <m/>
    <m/>
    <m/>
    <m/>
    <m/>
    <m/>
    <m/>
    <m/>
    <m/>
    <m/>
    <m/>
    <m/>
    <m/>
    <m/>
    <m/>
    <m/>
  </r>
  <r>
    <m/>
    <m/>
    <x v="2"/>
    <n v="23.84"/>
    <x v="6"/>
    <x v="35"/>
    <s v="Foley B6 CH"/>
    <d v="2023-09-01T00:00:00"/>
    <n v="21.7"/>
    <n v="23"/>
    <m/>
    <x v="6"/>
    <m/>
    <m/>
    <m/>
    <m/>
    <m/>
    <m/>
    <m/>
    <m/>
    <m/>
    <m/>
    <m/>
    <n v="15.7"/>
    <m/>
    <m/>
    <m/>
    <m/>
    <m/>
    <m/>
    <m/>
    <m/>
    <m/>
    <m/>
    <m/>
    <m/>
    <m/>
    <m/>
    <m/>
    <n v="20"/>
    <m/>
    <m/>
    <m/>
    <m/>
    <m/>
    <m/>
    <m/>
    <n v="21.7"/>
    <m/>
    <m/>
    <m/>
    <m/>
    <m/>
    <m/>
    <m/>
    <m/>
    <m/>
    <m/>
    <m/>
    <m/>
    <m/>
    <m/>
    <m/>
    <m/>
    <m/>
    <m/>
    <m/>
    <m/>
    <m/>
    <m/>
    <m/>
    <m/>
    <m/>
    <m/>
    <m/>
    <m/>
    <m/>
    <m/>
    <m/>
    <m/>
    <m/>
    <m/>
    <m/>
    <m/>
    <m/>
    <m/>
    <m/>
    <m/>
    <m/>
    <m/>
    <m/>
    <m/>
    <m/>
    <m/>
    <m/>
    <m/>
    <m/>
    <m/>
    <m/>
    <m/>
    <m/>
    <m/>
    <m/>
    <m/>
    <m/>
    <m/>
    <m/>
    <m/>
    <m/>
    <m/>
    <m/>
    <m/>
    <m/>
    <m/>
    <m/>
    <m/>
    <m/>
    <m/>
    <m/>
    <m/>
    <m/>
    <m/>
    <m/>
    <m/>
    <m/>
    <m/>
    <m/>
    <m/>
  </r>
  <r>
    <m/>
    <s v="Y"/>
    <x v="1"/>
    <n v="34.200000000000003"/>
    <x v="6"/>
    <x v="36"/>
    <s v="LaPrima B2 CH"/>
    <d v="2023-09-12T00:00:00"/>
    <n v="23.2"/>
    <n v="23"/>
    <m/>
    <x v="7"/>
    <m/>
    <m/>
    <m/>
    <m/>
    <m/>
    <n v="12.2"/>
    <m/>
    <m/>
    <m/>
    <m/>
    <m/>
    <m/>
    <m/>
    <m/>
    <m/>
    <m/>
    <m/>
    <m/>
    <m/>
    <n v="17.600000000000001"/>
    <m/>
    <m/>
    <m/>
    <m/>
    <m/>
    <m/>
    <m/>
    <m/>
    <n v="19.8"/>
    <m/>
    <m/>
    <m/>
    <m/>
    <m/>
    <m/>
    <m/>
    <m/>
    <m/>
    <n v="21"/>
    <m/>
    <m/>
    <m/>
    <m/>
    <m/>
    <m/>
    <m/>
    <n v="23.2"/>
    <m/>
    <m/>
    <m/>
    <m/>
    <m/>
    <m/>
    <m/>
    <m/>
    <m/>
    <m/>
    <m/>
    <m/>
    <m/>
    <m/>
    <m/>
    <m/>
    <m/>
    <m/>
    <m/>
    <m/>
    <m/>
    <m/>
    <m/>
    <m/>
    <m/>
    <m/>
    <m/>
    <m/>
    <m/>
    <m/>
    <m/>
    <m/>
    <m/>
    <m/>
    <m/>
    <m/>
    <m/>
    <m/>
    <m/>
    <m/>
    <m/>
    <m/>
    <m/>
    <m/>
    <m/>
    <m/>
    <m/>
    <m/>
    <m/>
    <m/>
    <m/>
    <m/>
    <m/>
    <m/>
    <m/>
    <m/>
    <m/>
    <m/>
    <m/>
    <m/>
    <m/>
    <m/>
    <m/>
    <m/>
    <m/>
    <m/>
    <m/>
    <m/>
    <m/>
  </r>
  <r>
    <m/>
    <m/>
    <x v="1"/>
    <m/>
    <x v="6"/>
    <x v="37"/>
    <s v="Lashi Mark Shimozaki CH"/>
    <d v="2023-09-12T00:00:00"/>
    <n v="22"/>
    <n v="23"/>
    <m/>
    <x v="1"/>
    <m/>
    <m/>
    <m/>
    <m/>
    <m/>
    <m/>
    <m/>
    <m/>
    <m/>
    <m/>
    <m/>
    <m/>
    <m/>
    <m/>
    <m/>
    <m/>
    <m/>
    <m/>
    <m/>
    <m/>
    <m/>
    <m/>
    <m/>
    <m/>
    <n v="18"/>
    <m/>
    <m/>
    <m/>
    <n v="18.399999999999999"/>
    <m/>
    <m/>
    <m/>
    <m/>
    <m/>
    <m/>
    <m/>
    <m/>
    <n v="20.6"/>
    <m/>
    <m/>
    <m/>
    <m/>
    <m/>
    <m/>
    <m/>
    <m/>
    <n v="22"/>
    <m/>
    <m/>
    <m/>
    <m/>
    <m/>
    <m/>
    <m/>
    <m/>
    <m/>
    <m/>
    <m/>
    <m/>
    <m/>
    <m/>
    <m/>
    <m/>
    <m/>
    <m/>
    <m/>
    <m/>
    <m/>
    <m/>
    <m/>
    <m/>
    <m/>
    <m/>
    <m/>
    <m/>
    <m/>
    <m/>
    <m/>
    <m/>
    <m/>
    <m/>
    <m/>
    <m/>
    <m/>
    <m/>
    <m/>
    <m/>
    <m/>
    <m/>
    <m/>
    <m/>
    <m/>
    <m/>
    <m/>
    <m/>
    <m/>
    <m/>
    <m/>
    <m/>
    <m/>
    <m/>
    <m/>
    <m/>
    <m/>
    <m/>
    <m/>
    <m/>
    <m/>
    <m/>
    <m/>
    <m/>
    <m/>
    <m/>
    <m/>
    <m/>
    <m/>
  </r>
  <r>
    <m/>
    <m/>
    <x v="1"/>
    <n v="18.48"/>
    <x v="6"/>
    <x v="38"/>
    <s v="LF 80 B4 Clone 70 (Rows 1-23)"/>
    <d v="2023-09-12T00:00:00"/>
    <n v="22.7"/>
    <n v="23"/>
    <n v="23.8"/>
    <x v="1"/>
    <m/>
    <m/>
    <m/>
    <m/>
    <m/>
    <m/>
    <m/>
    <m/>
    <m/>
    <m/>
    <m/>
    <m/>
    <n v="15.6"/>
    <m/>
    <m/>
    <m/>
    <m/>
    <m/>
    <m/>
    <m/>
    <n v="17.5"/>
    <m/>
    <m/>
    <m/>
    <m/>
    <m/>
    <m/>
    <m/>
    <n v="20.2"/>
    <m/>
    <m/>
    <m/>
    <m/>
    <m/>
    <n v="20.6"/>
    <m/>
    <m/>
    <m/>
    <m/>
    <n v="21.1"/>
    <m/>
    <m/>
    <m/>
    <m/>
    <m/>
    <m/>
    <n v="22.7"/>
    <m/>
    <m/>
    <m/>
    <m/>
    <m/>
    <m/>
    <m/>
    <m/>
    <m/>
    <m/>
    <m/>
    <m/>
    <m/>
    <m/>
    <m/>
    <m/>
    <m/>
    <m/>
    <m/>
    <m/>
    <m/>
    <m/>
    <m/>
    <m/>
    <m/>
    <m/>
    <m/>
    <m/>
    <m/>
    <m/>
    <m/>
    <m/>
    <m/>
    <m/>
    <m/>
    <m/>
    <m/>
    <m/>
    <m/>
    <m/>
    <m/>
    <m/>
    <m/>
    <m/>
    <m/>
    <m/>
    <m/>
    <m/>
    <m/>
    <m/>
    <m/>
    <m/>
    <m/>
    <m/>
    <m/>
    <m/>
    <m/>
    <m/>
    <m/>
    <m/>
    <m/>
    <m/>
    <m/>
    <m/>
    <m/>
    <m/>
    <m/>
    <m/>
    <m/>
  </r>
  <r>
    <s v="Y"/>
    <m/>
    <x v="1"/>
    <m/>
    <x v="6"/>
    <x v="39"/>
    <s v="LF 80 B4 (Rosa rows 24-31) 2020"/>
    <d v="2023-08-11T00:00:00"/>
    <n v="17.7"/>
    <n v="18.5"/>
    <n v="18"/>
    <x v="1"/>
    <m/>
    <m/>
    <m/>
    <m/>
    <m/>
    <m/>
    <m/>
    <m/>
    <m/>
    <m/>
    <m/>
    <m/>
    <n v="18.2"/>
    <n v="17.3"/>
    <n v="17.7"/>
    <m/>
    <m/>
    <m/>
    <m/>
    <m/>
    <m/>
    <m/>
    <m/>
    <m/>
    <m/>
    <m/>
    <m/>
    <m/>
    <m/>
    <m/>
    <m/>
    <m/>
    <m/>
    <m/>
    <m/>
    <m/>
    <m/>
    <m/>
    <m/>
    <m/>
    <m/>
    <m/>
    <m/>
    <m/>
    <m/>
    <m/>
    <m/>
    <m/>
    <m/>
    <m/>
    <m/>
    <m/>
    <m/>
    <m/>
    <m/>
    <m/>
    <m/>
    <m/>
    <m/>
    <m/>
    <m/>
    <m/>
    <m/>
    <m/>
    <m/>
    <m/>
    <m/>
    <m/>
    <m/>
    <m/>
    <m/>
    <m/>
    <m/>
    <m/>
    <m/>
    <m/>
    <m/>
    <m/>
    <m/>
    <m/>
    <m/>
    <m/>
    <m/>
    <m/>
    <m/>
    <m/>
    <m/>
    <m/>
    <m/>
    <m/>
    <m/>
    <m/>
    <m/>
    <m/>
    <m/>
    <m/>
    <m/>
    <m/>
    <m/>
    <m/>
    <m/>
    <m/>
    <m/>
    <m/>
    <m/>
    <m/>
    <m/>
    <m/>
    <m/>
    <m/>
    <m/>
    <m/>
    <m/>
    <m/>
    <m/>
    <m/>
  </r>
  <r>
    <s v="Y"/>
    <m/>
    <x v="1"/>
    <m/>
    <x v="6"/>
    <x v="39"/>
    <s v="LF 80 B4 (Rosa rows 33-45) 2021"/>
    <d v="2023-08-11T00:00:00"/>
    <n v="18.899999999999999"/>
    <n v="18.5"/>
    <n v="18"/>
    <x v="1"/>
    <m/>
    <m/>
    <m/>
    <m/>
    <m/>
    <n v="15.8"/>
    <m/>
    <m/>
    <m/>
    <m/>
    <m/>
    <m/>
    <n v="18.2"/>
    <n v="18"/>
    <n v="18.899999999999999"/>
    <m/>
    <m/>
    <m/>
    <m/>
    <m/>
    <m/>
    <m/>
    <m/>
    <m/>
    <m/>
    <m/>
    <m/>
    <m/>
    <m/>
    <m/>
    <m/>
    <m/>
    <m/>
    <m/>
    <m/>
    <m/>
    <m/>
    <m/>
    <m/>
    <m/>
    <m/>
    <m/>
    <m/>
    <m/>
    <m/>
    <m/>
    <m/>
    <m/>
    <m/>
    <m/>
    <m/>
    <m/>
    <m/>
    <m/>
    <m/>
    <m/>
    <m/>
    <m/>
    <m/>
    <m/>
    <m/>
    <m/>
    <m/>
    <m/>
    <m/>
    <m/>
    <m/>
    <m/>
    <m/>
    <m/>
    <m/>
    <m/>
    <m/>
    <m/>
    <m/>
    <m/>
    <m/>
    <m/>
    <m/>
    <m/>
    <m/>
    <m/>
    <m/>
    <m/>
    <m/>
    <m/>
    <m/>
    <m/>
    <m/>
    <m/>
    <m/>
    <m/>
    <m/>
    <m/>
    <m/>
    <m/>
    <m/>
    <m/>
    <m/>
    <m/>
    <m/>
    <m/>
    <m/>
    <m/>
    <m/>
    <m/>
    <m/>
    <m/>
    <m/>
    <m/>
    <m/>
    <m/>
    <m/>
    <m/>
    <m/>
    <m/>
  </r>
  <r>
    <m/>
    <m/>
    <x v="1"/>
    <n v="37.340000000000003"/>
    <x v="6"/>
    <x v="40"/>
    <s v="LF Blacktail CH"/>
    <d v="2023-09-11T00:00:00"/>
    <n v="24.9"/>
    <n v="22"/>
    <m/>
    <x v="1"/>
    <m/>
    <m/>
    <m/>
    <m/>
    <m/>
    <m/>
    <m/>
    <m/>
    <m/>
    <m/>
    <m/>
    <m/>
    <n v="18.3"/>
    <m/>
    <m/>
    <m/>
    <m/>
    <m/>
    <n v="19.899999999999999"/>
    <m/>
    <m/>
    <n v="20.6"/>
    <m/>
    <m/>
    <m/>
    <n v="20.8"/>
    <m/>
    <m/>
    <m/>
    <m/>
    <m/>
    <n v="22.2"/>
    <m/>
    <m/>
    <m/>
    <n v="23.4"/>
    <m/>
    <m/>
    <s v="23.2*"/>
    <m/>
    <m/>
    <m/>
    <m/>
    <m/>
    <m/>
    <n v="24.9"/>
    <m/>
    <m/>
    <m/>
    <m/>
    <m/>
    <m/>
    <m/>
    <m/>
    <m/>
    <m/>
    <m/>
    <m/>
    <m/>
    <m/>
    <m/>
    <m/>
    <m/>
    <m/>
    <m/>
    <m/>
    <m/>
    <m/>
    <m/>
    <m/>
    <m/>
    <m/>
    <m/>
    <m/>
    <m/>
    <m/>
    <m/>
    <m/>
    <m/>
    <m/>
    <m/>
    <m/>
    <m/>
    <m/>
    <m/>
    <m/>
    <m/>
    <m/>
    <m/>
    <m/>
    <m/>
    <m/>
    <m/>
    <m/>
    <m/>
    <m/>
    <m/>
    <m/>
    <m/>
    <m/>
    <m/>
    <m/>
    <m/>
    <m/>
    <m/>
    <m/>
    <m/>
    <m/>
    <m/>
    <m/>
    <m/>
    <m/>
    <m/>
    <m/>
    <m/>
    <m/>
  </r>
  <r>
    <m/>
    <s v="Y"/>
    <x v="1"/>
    <n v="18.41"/>
    <x v="6"/>
    <x v="41"/>
    <s v="LF Davis B3 CH"/>
    <d v="2023-09-07T00:00:00"/>
    <n v="22.3"/>
    <m/>
    <n v="23.8"/>
    <x v="1"/>
    <m/>
    <m/>
    <m/>
    <m/>
    <m/>
    <m/>
    <m/>
    <n v="14.5"/>
    <m/>
    <m/>
    <m/>
    <m/>
    <n v="16.5"/>
    <m/>
    <m/>
    <m/>
    <m/>
    <m/>
    <n v="18"/>
    <m/>
    <m/>
    <m/>
    <m/>
    <m/>
    <m/>
    <m/>
    <m/>
    <n v="19.2"/>
    <m/>
    <m/>
    <m/>
    <m/>
    <m/>
    <n v="21.8"/>
    <m/>
    <m/>
    <m/>
    <m/>
    <m/>
    <m/>
    <m/>
    <n v="22.3"/>
    <m/>
    <m/>
    <m/>
    <m/>
    <m/>
    <m/>
    <m/>
    <m/>
    <m/>
    <m/>
    <m/>
    <m/>
    <m/>
    <m/>
    <m/>
    <m/>
    <m/>
    <m/>
    <m/>
    <m/>
    <m/>
    <m/>
    <m/>
    <m/>
    <m/>
    <m/>
    <m/>
    <m/>
    <m/>
    <m/>
    <m/>
    <m/>
    <m/>
    <m/>
    <m/>
    <m/>
    <m/>
    <m/>
    <m/>
    <m/>
    <m/>
    <m/>
    <m/>
    <m/>
    <m/>
    <m/>
    <m/>
    <m/>
    <m/>
    <m/>
    <m/>
    <m/>
    <m/>
    <m/>
    <m/>
    <m/>
    <m/>
    <m/>
    <m/>
    <m/>
    <m/>
    <m/>
    <m/>
    <m/>
    <m/>
    <m/>
    <m/>
    <m/>
    <m/>
    <m/>
    <m/>
    <m/>
    <m/>
    <m/>
  </r>
  <r>
    <m/>
    <s v="Y"/>
    <x v="2"/>
    <n v="66.53"/>
    <x v="6"/>
    <x v="42"/>
    <s v="Merrill-Johnson B1 CH"/>
    <d v="2023-09-13T00:00:00"/>
    <n v="21.4"/>
    <m/>
    <n v="23.8"/>
    <x v="1"/>
    <m/>
    <m/>
    <m/>
    <m/>
    <m/>
    <m/>
    <n v="10.6"/>
    <m/>
    <m/>
    <m/>
    <m/>
    <m/>
    <m/>
    <m/>
    <m/>
    <n v="13.2"/>
    <m/>
    <m/>
    <m/>
    <m/>
    <n v="15.6"/>
    <m/>
    <m/>
    <m/>
    <m/>
    <s v="16.4*"/>
    <m/>
    <m/>
    <m/>
    <m/>
    <m/>
    <m/>
    <m/>
    <m/>
    <m/>
    <n v="19"/>
    <m/>
    <m/>
    <m/>
    <m/>
    <m/>
    <s v="19.0*"/>
    <m/>
    <m/>
    <m/>
    <m/>
    <m/>
    <n v="21.4"/>
    <m/>
    <m/>
    <m/>
    <m/>
    <m/>
    <m/>
    <m/>
    <m/>
    <m/>
    <m/>
    <m/>
    <m/>
    <m/>
    <m/>
    <m/>
    <m/>
    <m/>
    <m/>
    <m/>
    <m/>
    <m/>
    <m/>
    <m/>
    <m/>
    <m/>
    <m/>
    <m/>
    <m/>
    <m/>
    <m/>
    <m/>
    <m/>
    <m/>
    <m/>
    <m/>
    <m/>
    <m/>
    <m/>
    <m/>
    <m/>
    <m/>
    <m/>
    <m/>
    <m/>
    <m/>
    <m/>
    <m/>
    <m/>
    <m/>
    <m/>
    <m/>
    <m/>
    <m/>
    <m/>
    <m/>
    <m/>
    <m/>
    <m/>
    <m/>
    <m/>
    <m/>
    <m/>
    <m/>
    <m/>
    <m/>
    <m/>
    <m/>
    <m/>
  </r>
  <r>
    <s v="Y"/>
    <s v="Y"/>
    <x v="1"/>
    <n v="37.82"/>
    <x v="6"/>
    <x v="43"/>
    <s v="North River B1 CH (North)"/>
    <d v="2023-08-07T00:00:00"/>
    <n v="15.7"/>
    <n v="17"/>
    <m/>
    <x v="8"/>
    <n v="13"/>
    <m/>
    <m/>
    <m/>
    <m/>
    <n v="15.4"/>
    <m/>
    <m/>
    <m/>
    <m/>
    <n v="15.7"/>
    <m/>
    <m/>
    <m/>
    <m/>
    <m/>
    <m/>
    <m/>
    <m/>
    <m/>
    <m/>
    <m/>
    <m/>
    <m/>
    <m/>
    <m/>
    <m/>
    <m/>
    <m/>
    <m/>
    <m/>
    <m/>
    <m/>
    <m/>
    <m/>
    <m/>
    <m/>
    <m/>
    <m/>
    <m/>
    <m/>
    <m/>
    <m/>
    <m/>
    <m/>
    <m/>
    <m/>
    <m/>
    <m/>
    <m/>
    <m/>
    <m/>
    <m/>
    <m/>
    <m/>
    <m/>
    <m/>
    <m/>
    <m/>
    <m/>
    <m/>
    <m/>
    <m/>
    <m/>
    <m/>
    <m/>
    <m/>
    <m/>
    <m/>
    <m/>
    <m/>
    <m/>
    <m/>
    <m/>
    <m/>
    <m/>
    <m/>
    <m/>
    <m/>
    <m/>
    <m/>
    <m/>
    <m/>
    <m/>
    <m/>
    <m/>
    <m/>
    <m/>
    <m/>
    <m/>
    <m/>
    <m/>
    <m/>
    <m/>
    <m/>
    <m/>
    <m/>
    <m/>
    <m/>
    <m/>
    <m/>
    <m/>
    <m/>
    <m/>
    <m/>
    <m/>
    <m/>
    <m/>
    <m/>
    <m/>
    <m/>
    <m/>
    <m/>
    <m/>
    <m/>
    <m/>
  </r>
  <r>
    <s v="Y"/>
    <s v="Y"/>
    <x v="1"/>
    <n v="37.82"/>
    <x v="6"/>
    <x v="43"/>
    <s v="North River B1 CH (Rows 1-45)"/>
    <d v="2023-08-09T00:00:00"/>
    <n v="17.100000000000001"/>
    <n v="17"/>
    <m/>
    <x v="8"/>
    <m/>
    <m/>
    <m/>
    <m/>
    <m/>
    <m/>
    <m/>
    <m/>
    <m/>
    <m/>
    <m/>
    <m/>
    <n v="17.100000000000001"/>
    <m/>
    <m/>
    <m/>
    <m/>
    <m/>
    <m/>
    <m/>
    <m/>
    <m/>
    <m/>
    <m/>
    <m/>
    <m/>
    <m/>
    <m/>
    <m/>
    <m/>
    <m/>
    <m/>
    <m/>
    <m/>
    <m/>
    <m/>
    <m/>
    <m/>
    <m/>
    <m/>
    <m/>
    <m/>
    <m/>
    <m/>
    <m/>
    <m/>
    <m/>
    <m/>
    <m/>
    <m/>
    <m/>
    <m/>
    <m/>
    <m/>
    <m/>
    <m/>
    <m/>
    <m/>
    <m/>
    <m/>
    <m/>
    <m/>
    <m/>
    <m/>
    <m/>
    <m/>
    <m/>
    <m/>
    <m/>
    <m/>
    <m/>
    <m/>
    <m/>
    <m/>
    <m/>
    <m/>
    <m/>
    <m/>
    <m/>
    <m/>
    <m/>
    <m/>
    <m/>
    <m/>
    <m/>
    <m/>
    <m/>
    <m/>
    <m/>
    <m/>
    <m/>
    <m/>
    <m/>
    <m/>
    <m/>
    <m/>
    <m/>
    <m/>
    <m/>
    <m/>
    <m/>
    <m/>
    <m/>
    <m/>
    <m/>
    <m/>
    <m/>
    <m/>
    <m/>
    <m/>
    <m/>
    <m/>
    <m/>
    <m/>
    <m/>
    <m/>
  </r>
  <r>
    <s v="Y"/>
    <s v="Y"/>
    <x v="1"/>
    <n v="37.82"/>
    <x v="6"/>
    <x v="43"/>
    <s v="North River B1 CH (Rows 46-90)"/>
    <d v="2023-08-15T00:00:00"/>
    <n v="18.899999999999999"/>
    <n v="17"/>
    <m/>
    <x v="8"/>
    <m/>
    <m/>
    <m/>
    <m/>
    <m/>
    <m/>
    <m/>
    <m/>
    <m/>
    <m/>
    <m/>
    <m/>
    <n v="17"/>
    <m/>
    <m/>
    <m/>
    <m/>
    <m/>
    <n v="18.899999999999999"/>
    <m/>
    <m/>
    <m/>
    <m/>
    <m/>
    <m/>
    <m/>
    <m/>
    <m/>
    <m/>
    <m/>
    <m/>
    <m/>
    <m/>
    <m/>
    <m/>
    <m/>
    <m/>
    <m/>
    <m/>
    <m/>
    <m/>
    <m/>
    <m/>
    <m/>
    <m/>
    <m/>
    <m/>
    <m/>
    <m/>
    <m/>
    <m/>
    <m/>
    <m/>
    <m/>
    <m/>
    <m/>
    <m/>
    <m/>
    <m/>
    <m/>
    <m/>
    <m/>
    <m/>
    <m/>
    <m/>
    <m/>
    <m/>
    <m/>
    <m/>
    <m/>
    <m/>
    <m/>
    <m/>
    <m/>
    <m/>
    <m/>
    <m/>
    <m/>
    <m/>
    <m/>
    <m/>
    <m/>
    <m/>
    <m/>
    <m/>
    <m/>
    <m/>
    <m/>
    <m/>
    <m/>
    <m/>
    <m/>
    <m/>
    <m/>
    <m/>
    <m/>
    <m/>
    <m/>
    <m/>
    <m/>
    <m/>
    <m/>
    <m/>
    <m/>
    <m/>
    <m/>
    <m/>
    <m/>
    <m/>
    <m/>
    <m/>
    <m/>
    <m/>
    <m/>
    <m/>
    <m/>
  </r>
  <r>
    <m/>
    <s v="Y"/>
    <x v="1"/>
    <n v="37.82"/>
    <x v="6"/>
    <x v="43"/>
    <s v="North River B1 CH (Rows 91-136)"/>
    <d v="2023-09-02T00:00:00"/>
    <n v="23.2"/>
    <n v="17"/>
    <m/>
    <x v="8"/>
    <m/>
    <m/>
    <m/>
    <m/>
    <m/>
    <m/>
    <m/>
    <m/>
    <m/>
    <m/>
    <m/>
    <m/>
    <n v="16.399999999999999"/>
    <m/>
    <m/>
    <m/>
    <m/>
    <m/>
    <n v="18"/>
    <m/>
    <m/>
    <m/>
    <m/>
    <m/>
    <m/>
    <m/>
    <m/>
    <m/>
    <m/>
    <m/>
    <m/>
    <n v="22.2"/>
    <m/>
    <m/>
    <m/>
    <m/>
    <n v="23.2"/>
    <m/>
    <m/>
    <m/>
    <m/>
    <m/>
    <m/>
    <m/>
    <m/>
    <m/>
    <m/>
    <m/>
    <m/>
    <m/>
    <m/>
    <m/>
    <m/>
    <m/>
    <m/>
    <m/>
    <m/>
    <m/>
    <m/>
    <m/>
    <m/>
    <m/>
    <m/>
    <m/>
    <m/>
    <m/>
    <m/>
    <m/>
    <m/>
    <m/>
    <m/>
    <m/>
    <m/>
    <m/>
    <m/>
    <m/>
    <m/>
    <m/>
    <m/>
    <m/>
    <m/>
    <m/>
    <m/>
    <m/>
    <m/>
    <m/>
    <m/>
    <m/>
    <m/>
    <m/>
    <m/>
    <m/>
    <m/>
    <m/>
    <m/>
    <m/>
    <m/>
    <m/>
    <m/>
    <m/>
    <m/>
    <m/>
    <m/>
    <m/>
    <m/>
    <m/>
    <m/>
    <m/>
    <m/>
    <m/>
    <m/>
    <m/>
    <m/>
    <m/>
    <m/>
    <m/>
  </r>
  <r>
    <s v="Y"/>
    <s v="Y"/>
    <x v="1"/>
    <n v="37.82"/>
    <x v="6"/>
    <x v="43"/>
    <s v="North River B1 CH (Rows 137-End)"/>
    <d v="2023-08-15T00:00:00"/>
    <n v="18"/>
    <n v="17"/>
    <m/>
    <x v="8"/>
    <n v="12.2"/>
    <m/>
    <m/>
    <m/>
    <m/>
    <n v="14.8"/>
    <m/>
    <m/>
    <m/>
    <m/>
    <n v="16.600000000000001"/>
    <m/>
    <n v="17"/>
    <m/>
    <m/>
    <m/>
    <m/>
    <m/>
    <n v="18"/>
    <m/>
    <m/>
    <m/>
    <m/>
    <m/>
    <m/>
    <m/>
    <m/>
    <m/>
    <m/>
    <m/>
    <m/>
    <m/>
    <m/>
    <m/>
    <m/>
    <m/>
    <m/>
    <m/>
    <m/>
    <m/>
    <m/>
    <m/>
    <m/>
    <m/>
    <m/>
    <m/>
    <m/>
    <m/>
    <m/>
    <m/>
    <m/>
    <m/>
    <m/>
    <m/>
    <m/>
    <m/>
    <m/>
    <m/>
    <m/>
    <m/>
    <m/>
    <m/>
    <m/>
    <m/>
    <m/>
    <m/>
    <m/>
    <m/>
    <m/>
    <m/>
    <m/>
    <m/>
    <m/>
    <m/>
    <m/>
    <m/>
    <m/>
    <m/>
    <m/>
    <m/>
    <m/>
    <m/>
    <m/>
    <m/>
    <m/>
    <m/>
    <m/>
    <m/>
    <m/>
    <m/>
    <m/>
    <m/>
    <m/>
    <m/>
    <m/>
    <m/>
    <m/>
    <m/>
    <m/>
    <m/>
    <m/>
    <m/>
    <m/>
    <m/>
    <m/>
    <m/>
    <m/>
    <m/>
    <m/>
    <m/>
    <m/>
    <m/>
    <m/>
    <m/>
    <m/>
    <m/>
  </r>
  <r>
    <m/>
    <m/>
    <x v="2"/>
    <n v="12.58"/>
    <x v="6"/>
    <x v="44"/>
    <s v="Prince B1 CH"/>
    <d v="2023-09-07T00:00:00"/>
    <n v="19.899999999999999"/>
    <n v="23"/>
    <m/>
    <x v="9"/>
    <m/>
    <m/>
    <m/>
    <m/>
    <m/>
    <m/>
    <n v="12"/>
    <m/>
    <m/>
    <m/>
    <m/>
    <m/>
    <m/>
    <m/>
    <m/>
    <n v="14.6"/>
    <m/>
    <m/>
    <m/>
    <m/>
    <m/>
    <m/>
    <m/>
    <m/>
    <m/>
    <m/>
    <n v="16.899999999999999"/>
    <m/>
    <m/>
    <m/>
    <m/>
    <m/>
    <m/>
    <m/>
    <n v="19"/>
    <m/>
    <m/>
    <m/>
    <m/>
    <m/>
    <m/>
    <n v="19.899999999999999"/>
    <m/>
    <m/>
    <m/>
    <m/>
    <m/>
    <m/>
    <m/>
    <m/>
    <m/>
    <m/>
    <m/>
    <m/>
    <m/>
    <m/>
    <m/>
    <m/>
    <m/>
    <m/>
    <m/>
    <m/>
    <m/>
    <m/>
    <m/>
    <m/>
    <m/>
    <m/>
    <m/>
    <m/>
    <m/>
    <m/>
    <m/>
    <m/>
    <m/>
    <m/>
    <m/>
    <m/>
    <m/>
    <m/>
    <m/>
    <m/>
    <m/>
    <m/>
    <m/>
    <m/>
    <m/>
    <m/>
    <m/>
    <m/>
    <m/>
    <m/>
    <m/>
    <m/>
    <m/>
    <m/>
    <m/>
    <m/>
    <m/>
    <m/>
    <m/>
    <m/>
    <m/>
    <m/>
    <m/>
    <m/>
    <m/>
    <m/>
    <m/>
    <m/>
    <m/>
    <m/>
    <m/>
    <m/>
    <m/>
    <m/>
  </r>
  <r>
    <m/>
    <m/>
    <x v="2"/>
    <n v="9.75"/>
    <x v="6"/>
    <x v="45"/>
    <s v="Prince B21 CH"/>
    <d v="2023-09-07T00:00:00"/>
    <n v="21.1"/>
    <n v="23"/>
    <m/>
    <x v="10"/>
    <m/>
    <m/>
    <m/>
    <m/>
    <m/>
    <m/>
    <m/>
    <m/>
    <m/>
    <m/>
    <m/>
    <m/>
    <m/>
    <m/>
    <m/>
    <n v="15.2"/>
    <m/>
    <m/>
    <m/>
    <m/>
    <m/>
    <m/>
    <m/>
    <m/>
    <m/>
    <m/>
    <n v="18.100000000000001"/>
    <m/>
    <m/>
    <m/>
    <m/>
    <m/>
    <m/>
    <m/>
    <n v="20.8"/>
    <m/>
    <m/>
    <m/>
    <m/>
    <m/>
    <m/>
    <n v="21.1"/>
    <m/>
    <m/>
    <m/>
    <m/>
    <m/>
    <m/>
    <m/>
    <m/>
    <m/>
    <m/>
    <m/>
    <m/>
    <m/>
    <m/>
    <m/>
    <m/>
    <m/>
    <m/>
    <m/>
    <m/>
    <m/>
    <m/>
    <m/>
    <m/>
    <m/>
    <m/>
    <m/>
    <m/>
    <m/>
    <m/>
    <m/>
    <m/>
    <m/>
    <m/>
    <m/>
    <m/>
    <m/>
    <m/>
    <m/>
    <m/>
    <m/>
    <m/>
    <m/>
    <m/>
    <m/>
    <m/>
    <m/>
    <m/>
    <m/>
    <m/>
    <m/>
    <m/>
    <m/>
    <m/>
    <m/>
    <m/>
    <m/>
    <m/>
    <m/>
    <m/>
    <m/>
    <m/>
    <m/>
    <m/>
    <m/>
    <m/>
    <m/>
    <m/>
    <m/>
    <m/>
    <m/>
    <m/>
    <m/>
    <m/>
  </r>
  <r>
    <m/>
    <m/>
    <x v="3"/>
    <n v="41.7"/>
    <x v="6"/>
    <x v="46"/>
    <s v="Proplant Betsey Rose B3 CH"/>
    <d v="2023-09-13T00:00:00"/>
    <n v="19.600000000000001"/>
    <n v="21.5"/>
    <m/>
    <x v="6"/>
    <m/>
    <m/>
    <m/>
    <m/>
    <m/>
    <m/>
    <m/>
    <n v="10"/>
    <m/>
    <m/>
    <m/>
    <m/>
    <n v="15.5"/>
    <m/>
    <m/>
    <m/>
    <m/>
    <m/>
    <m/>
    <m/>
    <m/>
    <m/>
    <m/>
    <m/>
    <m/>
    <m/>
    <m/>
    <m/>
    <n v="16"/>
    <m/>
    <m/>
    <m/>
    <m/>
    <m/>
    <m/>
    <m/>
    <m/>
    <m/>
    <m/>
    <m/>
    <m/>
    <m/>
    <m/>
    <m/>
    <m/>
    <m/>
    <m/>
    <n v="19.600000000000001"/>
    <m/>
    <m/>
    <m/>
    <m/>
    <m/>
    <m/>
    <m/>
    <m/>
    <m/>
    <m/>
    <m/>
    <m/>
    <m/>
    <m/>
    <m/>
    <m/>
    <m/>
    <m/>
    <m/>
    <m/>
    <m/>
    <m/>
    <m/>
    <m/>
    <m/>
    <m/>
    <m/>
    <m/>
    <m/>
    <m/>
    <m/>
    <m/>
    <m/>
    <m/>
    <m/>
    <m/>
    <m/>
    <m/>
    <m/>
    <m/>
    <m/>
    <m/>
    <m/>
    <m/>
    <m/>
    <m/>
    <m/>
    <m/>
    <m/>
    <m/>
    <m/>
    <m/>
    <m/>
    <m/>
    <m/>
    <m/>
    <m/>
    <m/>
    <m/>
    <m/>
    <m/>
    <m/>
    <m/>
    <m/>
    <m/>
    <m/>
    <m/>
    <m/>
  </r>
  <r>
    <m/>
    <m/>
    <x v="3"/>
    <m/>
    <x v="6"/>
    <x v="46"/>
    <s v="Proplant Betsey Rose B3 CH (East)"/>
    <d v="2023-08-24T00:00:00"/>
    <n v="15.8"/>
    <n v="21.5"/>
    <m/>
    <x v="6"/>
    <m/>
    <m/>
    <m/>
    <m/>
    <m/>
    <m/>
    <m/>
    <m/>
    <m/>
    <m/>
    <m/>
    <m/>
    <m/>
    <m/>
    <m/>
    <m/>
    <m/>
    <n v="14"/>
    <m/>
    <m/>
    <m/>
    <m/>
    <m/>
    <m/>
    <m/>
    <m/>
    <m/>
    <n v="15.8"/>
    <m/>
    <m/>
    <m/>
    <m/>
    <m/>
    <m/>
    <m/>
    <m/>
    <m/>
    <m/>
    <m/>
    <m/>
    <m/>
    <m/>
    <m/>
    <m/>
    <m/>
    <m/>
    <m/>
    <m/>
    <m/>
    <m/>
    <m/>
    <m/>
    <m/>
    <m/>
    <m/>
    <m/>
    <m/>
    <m/>
    <m/>
    <m/>
    <m/>
    <m/>
    <m/>
    <m/>
    <m/>
    <m/>
    <m/>
    <m/>
    <m/>
    <m/>
    <m/>
    <m/>
    <m/>
    <m/>
    <m/>
    <m/>
    <m/>
    <m/>
    <m/>
    <m/>
    <m/>
    <m/>
    <m/>
    <m/>
    <m/>
    <m/>
    <m/>
    <m/>
    <m/>
    <m/>
    <m/>
    <m/>
    <m/>
    <m/>
    <m/>
    <m/>
    <m/>
    <m/>
    <m/>
    <m/>
    <m/>
    <m/>
    <m/>
    <m/>
    <m/>
    <m/>
    <m/>
    <m/>
    <m/>
    <m/>
    <m/>
    <m/>
    <m/>
    <m/>
    <m/>
    <m/>
  </r>
  <r>
    <m/>
    <m/>
    <x v="3"/>
    <m/>
    <x v="6"/>
    <x v="46"/>
    <s v="Proplant Betsey Rose B3 CH (MID)"/>
    <d v="2023-08-24T00:00:00"/>
    <n v="15.9"/>
    <n v="21.5"/>
    <m/>
    <x v="6"/>
    <m/>
    <m/>
    <m/>
    <m/>
    <m/>
    <m/>
    <m/>
    <m/>
    <m/>
    <m/>
    <m/>
    <m/>
    <m/>
    <m/>
    <m/>
    <m/>
    <m/>
    <n v="13.8"/>
    <m/>
    <m/>
    <m/>
    <m/>
    <m/>
    <m/>
    <m/>
    <m/>
    <m/>
    <n v="15.9"/>
    <m/>
    <m/>
    <m/>
    <m/>
    <m/>
    <m/>
    <m/>
    <m/>
    <m/>
    <m/>
    <m/>
    <m/>
    <m/>
    <m/>
    <m/>
    <m/>
    <m/>
    <m/>
    <m/>
    <m/>
    <m/>
    <m/>
    <m/>
    <m/>
    <m/>
    <m/>
    <m/>
    <m/>
    <m/>
    <m/>
    <m/>
    <m/>
    <m/>
    <m/>
    <m/>
    <m/>
    <m/>
    <m/>
    <m/>
    <m/>
    <m/>
    <m/>
    <m/>
    <m/>
    <m/>
    <m/>
    <m/>
    <m/>
    <m/>
    <m/>
    <m/>
    <m/>
    <m/>
    <m/>
    <m/>
    <m/>
    <m/>
    <m/>
    <m/>
    <m/>
    <m/>
    <m/>
    <m/>
    <m/>
    <m/>
    <m/>
    <m/>
    <m/>
    <m/>
    <m/>
    <m/>
    <m/>
    <m/>
    <m/>
    <m/>
    <m/>
    <m/>
    <m/>
    <m/>
    <m/>
    <m/>
    <m/>
    <m/>
    <m/>
    <m/>
    <m/>
    <m/>
    <m/>
  </r>
  <r>
    <m/>
    <m/>
    <x v="3"/>
    <m/>
    <x v="6"/>
    <x v="46"/>
    <s v="Proplant Betsey Rose B3 CH (West)"/>
    <s v=""/>
    <s v=" "/>
    <n v="21.5"/>
    <m/>
    <x v="6"/>
    <m/>
    <m/>
    <m/>
    <m/>
    <m/>
    <m/>
    <m/>
    <m/>
    <m/>
    <m/>
    <m/>
    <m/>
    <m/>
    <m/>
    <m/>
    <m/>
    <m/>
    <m/>
    <m/>
    <m/>
    <m/>
    <m/>
    <m/>
    <m/>
    <m/>
    <m/>
    <m/>
    <m/>
    <m/>
    <m/>
    <m/>
    <m/>
    <m/>
    <m/>
    <m/>
    <m/>
    <m/>
    <m/>
    <m/>
    <m/>
    <m/>
    <m/>
    <m/>
    <m/>
    <m/>
    <m/>
    <m/>
    <m/>
    <m/>
    <m/>
    <m/>
    <m/>
    <m/>
    <m/>
    <m/>
    <m/>
    <m/>
    <m/>
    <m/>
    <m/>
    <m/>
    <m/>
    <m/>
    <m/>
    <m/>
    <m/>
    <m/>
    <m/>
    <m/>
    <m/>
    <m/>
    <m/>
    <m/>
    <m/>
    <m/>
    <m/>
    <m/>
    <m/>
    <m/>
    <m/>
    <m/>
    <m/>
    <m/>
    <m/>
    <m/>
    <m/>
    <m/>
    <m/>
    <m/>
    <m/>
    <m/>
    <m/>
    <m/>
    <m/>
    <m/>
    <m/>
    <m/>
    <m/>
    <m/>
    <m/>
    <m/>
    <m/>
    <m/>
    <m/>
    <m/>
    <m/>
    <m/>
    <m/>
    <m/>
    <m/>
    <m/>
    <m/>
    <m/>
    <m/>
    <m/>
    <m/>
  </r>
  <r>
    <m/>
    <m/>
    <x v="3"/>
    <n v="52.56"/>
    <x v="6"/>
    <x v="47"/>
    <s v="Proplant CRAIG B2 CH"/>
    <d v="2023-09-08T00:00:00"/>
    <n v="21.4"/>
    <n v="22"/>
    <m/>
    <x v="1"/>
    <m/>
    <m/>
    <m/>
    <m/>
    <m/>
    <m/>
    <m/>
    <n v="11.6"/>
    <m/>
    <m/>
    <m/>
    <m/>
    <m/>
    <m/>
    <m/>
    <m/>
    <m/>
    <n v="15.2"/>
    <m/>
    <m/>
    <m/>
    <m/>
    <m/>
    <m/>
    <m/>
    <m/>
    <m/>
    <n v="17.5"/>
    <m/>
    <m/>
    <m/>
    <m/>
    <m/>
    <m/>
    <m/>
    <n v="19.5"/>
    <m/>
    <m/>
    <m/>
    <m/>
    <m/>
    <m/>
    <n v="21.4"/>
    <m/>
    <m/>
    <m/>
    <m/>
    <m/>
    <m/>
    <m/>
    <m/>
    <m/>
    <m/>
    <m/>
    <m/>
    <m/>
    <m/>
    <m/>
    <m/>
    <m/>
    <m/>
    <m/>
    <m/>
    <m/>
    <m/>
    <m/>
    <m/>
    <m/>
    <m/>
    <m/>
    <m/>
    <m/>
    <m/>
    <m/>
    <m/>
    <m/>
    <m/>
    <m/>
    <m/>
    <m/>
    <m/>
    <m/>
    <m/>
    <m/>
    <m/>
    <m/>
    <m/>
    <m/>
    <m/>
    <m/>
    <m/>
    <m/>
    <m/>
    <m/>
    <m/>
    <m/>
    <m/>
    <m/>
    <m/>
    <m/>
    <m/>
    <m/>
    <m/>
    <m/>
    <m/>
    <m/>
    <m/>
    <m/>
    <m/>
    <m/>
    <m/>
    <m/>
    <m/>
    <m/>
    <m/>
    <m/>
  </r>
  <r>
    <s v="Y"/>
    <s v="Y"/>
    <x v="3"/>
    <n v="67.209999999999994"/>
    <x v="6"/>
    <x v="48"/>
    <s v="Rootstock 2 BLK 3"/>
    <s v=""/>
    <s v=" "/>
    <s v="17.5-19.5; 21-22.5"/>
    <n v="18.5"/>
    <x v="1"/>
    <m/>
    <m/>
    <m/>
    <m/>
    <m/>
    <m/>
    <m/>
    <m/>
    <m/>
    <m/>
    <m/>
    <m/>
    <m/>
    <m/>
    <m/>
    <m/>
    <m/>
    <m/>
    <m/>
    <m/>
    <m/>
    <m/>
    <m/>
    <m/>
    <m/>
    <m/>
    <m/>
    <m/>
    <m/>
    <m/>
    <m/>
    <m/>
    <m/>
    <m/>
    <m/>
    <m/>
    <m/>
    <m/>
    <m/>
    <m/>
    <m/>
    <m/>
    <m/>
    <m/>
    <m/>
    <m/>
    <m/>
    <m/>
    <m/>
    <m/>
    <m/>
    <m/>
    <m/>
    <m/>
    <m/>
    <m/>
    <m/>
    <m/>
    <m/>
    <m/>
    <m/>
    <m/>
    <m/>
    <m/>
    <m/>
    <m/>
    <m/>
    <m/>
    <m/>
    <m/>
    <m/>
    <m/>
    <m/>
    <m/>
    <m/>
    <m/>
    <m/>
    <m/>
    <m/>
    <m/>
    <m/>
    <m/>
    <m/>
    <m/>
    <m/>
    <m/>
    <m/>
    <m/>
    <m/>
    <m/>
    <m/>
    <m/>
    <m/>
    <m/>
    <m/>
    <m/>
    <m/>
    <m/>
    <m/>
    <m/>
    <m/>
    <m/>
    <m/>
    <m/>
    <m/>
    <m/>
    <m/>
    <m/>
    <m/>
    <m/>
    <m/>
    <m/>
    <m/>
    <m/>
    <m/>
    <m/>
  </r>
  <r>
    <s v="Y"/>
    <s v="Y"/>
    <x v="3"/>
    <m/>
    <x v="6"/>
    <x v="48"/>
    <s v="Rootstock 2 BLK 3 North"/>
    <d v="2023-08-01T00:00:00"/>
    <n v="15.6"/>
    <s v="17.5-19.5; 21-22.5"/>
    <n v="18.5"/>
    <x v="1"/>
    <n v="14.6"/>
    <m/>
    <m/>
    <m/>
    <n v="15.6"/>
    <m/>
    <m/>
    <m/>
    <m/>
    <m/>
    <m/>
    <m/>
    <m/>
    <m/>
    <m/>
    <m/>
    <m/>
    <m/>
    <m/>
    <m/>
    <m/>
    <m/>
    <m/>
    <m/>
    <m/>
    <m/>
    <m/>
    <m/>
    <m/>
    <m/>
    <m/>
    <m/>
    <m/>
    <m/>
    <m/>
    <m/>
    <m/>
    <m/>
    <m/>
    <m/>
    <m/>
    <m/>
    <m/>
    <m/>
    <m/>
    <m/>
    <m/>
    <m/>
    <m/>
    <m/>
    <m/>
    <m/>
    <m/>
    <m/>
    <m/>
    <m/>
    <m/>
    <m/>
    <m/>
    <m/>
    <m/>
    <m/>
    <m/>
    <m/>
    <m/>
    <m/>
    <m/>
    <m/>
    <m/>
    <m/>
    <m/>
    <m/>
    <m/>
    <m/>
    <m/>
    <m/>
    <m/>
    <m/>
    <m/>
    <m/>
    <m/>
    <m/>
    <m/>
    <m/>
    <m/>
    <m/>
    <m/>
    <m/>
    <m/>
    <m/>
    <m/>
    <m/>
    <m/>
    <m/>
    <m/>
    <m/>
    <m/>
    <m/>
    <m/>
    <m/>
    <m/>
    <m/>
    <m/>
    <m/>
    <m/>
    <m/>
    <m/>
    <m/>
    <m/>
    <m/>
    <m/>
    <m/>
    <m/>
    <m/>
    <m/>
    <m/>
  </r>
  <r>
    <s v="Y"/>
    <s v="Y"/>
    <x v="3"/>
    <m/>
    <x v="6"/>
    <x v="48"/>
    <s v="Rootstock 2  B3 CH (North East)"/>
    <d v="2023-08-21T00:00:00"/>
    <n v="21"/>
    <s v="17.5-19.5; 21-22.5"/>
    <s v="18.5/21.5"/>
    <x v="1"/>
    <m/>
    <m/>
    <m/>
    <m/>
    <m/>
    <m/>
    <m/>
    <m/>
    <m/>
    <m/>
    <n v="17.3"/>
    <m/>
    <m/>
    <s v="18.6;18.2"/>
    <m/>
    <m/>
    <m/>
    <m/>
    <m/>
    <m/>
    <m/>
    <m/>
    <m/>
    <m/>
    <n v="21"/>
    <m/>
    <m/>
    <m/>
    <m/>
    <m/>
    <m/>
    <m/>
    <m/>
    <m/>
    <m/>
    <m/>
    <m/>
    <m/>
    <m/>
    <m/>
    <m/>
    <m/>
    <m/>
    <m/>
    <m/>
    <m/>
    <m/>
    <m/>
    <m/>
    <m/>
    <m/>
    <m/>
    <m/>
    <m/>
    <m/>
    <m/>
    <m/>
    <m/>
    <m/>
    <m/>
    <m/>
    <m/>
    <m/>
    <m/>
    <m/>
    <m/>
    <m/>
    <m/>
    <m/>
    <m/>
    <m/>
    <m/>
    <m/>
    <m/>
    <m/>
    <m/>
    <m/>
    <m/>
    <m/>
    <m/>
    <m/>
    <m/>
    <m/>
    <m/>
    <m/>
    <m/>
    <m/>
    <m/>
    <m/>
    <m/>
    <m/>
    <m/>
    <m/>
    <m/>
    <m/>
    <m/>
    <m/>
    <m/>
    <m/>
    <m/>
    <m/>
    <m/>
    <m/>
    <m/>
    <m/>
    <m/>
    <m/>
    <m/>
    <m/>
    <m/>
    <m/>
    <m/>
    <m/>
    <m/>
    <m/>
    <m/>
  </r>
  <r>
    <s v="Y"/>
    <s v="Y"/>
    <x v="3"/>
    <m/>
    <x v="6"/>
    <x v="48"/>
    <s v="Rootstock 2  B3 CH (North West)"/>
    <d v="2023-08-25T00:00:00"/>
    <n v="20.8"/>
    <s v="17.5-19.5; 21-22.5"/>
    <s v="18.5/21.5"/>
    <x v="1"/>
    <m/>
    <m/>
    <m/>
    <m/>
    <m/>
    <m/>
    <m/>
    <m/>
    <m/>
    <m/>
    <n v="17.399999999999999"/>
    <m/>
    <m/>
    <n v="17.600000000000001"/>
    <m/>
    <m/>
    <m/>
    <m/>
    <m/>
    <n v="19.100000000000001"/>
    <m/>
    <m/>
    <m/>
    <m/>
    <n v="19.8"/>
    <m/>
    <m/>
    <m/>
    <n v="20.8"/>
    <m/>
    <m/>
    <m/>
    <m/>
    <m/>
    <m/>
    <m/>
    <m/>
    <m/>
    <m/>
    <m/>
    <m/>
    <m/>
    <m/>
    <m/>
    <m/>
    <m/>
    <m/>
    <m/>
    <m/>
    <m/>
    <m/>
    <m/>
    <m/>
    <m/>
    <m/>
    <m/>
    <m/>
    <m/>
    <m/>
    <m/>
    <m/>
    <m/>
    <m/>
    <m/>
    <m/>
    <m/>
    <m/>
    <m/>
    <m/>
    <m/>
    <m/>
    <m/>
    <m/>
    <m/>
    <m/>
    <m/>
    <m/>
    <m/>
    <m/>
    <m/>
    <m/>
    <m/>
    <m/>
    <m/>
    <m/>
    <m/>
    <m/>
    <m/>
    <m/>
    <m/>
    <m/>
    <m/>
    <m/>
    <m/>
    <m/>
    <m/>
    <m/>
    <m/>
    <m/>
    <m/>
    <m/>
    <m/>
    <m/>
    <m/>
    <m/>
    <m/>
    <m/>
    <m/>
    <m/>
    <m/>
    <m/>
    <m/>
    <m/>
    <m/>
    <m/>
    <m/>
  </r>
  <r>
    <s v="Y"/>
    <s v="Y"/>
    <x v="3"/>
    <m/>
    <x v="6"/>
    <x v="48"/>
    <s v="Rootstock 2  B3 CH (South)"/>
    <d v="2023-08-25T00:00:00"/>
    <n v="21.4"/>
    <s v="17.5-19.5; 21-22.5"/>
    <s v="18.5/21.5"/>
    <x v="1"/>
    <n v="13.8"/>
    <m/>
    <m/>
    <m/>
    <n v="16.399999999999999"/>
    <m/>
    <m/>
    <m/>
    <m/>
    <m/>
    <n v="16.600000000000001"/>
    <m/>
    <m/>
    <n v="18"/>
    <m/>
    <m/>
    <m/>
    <m/>
    <m/>
    <n v="19.3"/>
    <m/>
    <m/>
    <m/>
    <m/>
    <n v="20.100000000000001"/>
    <m/>
    <m/>
    <m/>
    <n v="21.4"/>
    <m/>
    <m/>
    <m/>
    <m/>
    <m/>
    <m/>
    <m/>
    <m/>
    <m/>
    <m/>
    <m/>
    <m/>
    <m/>
    <m/>
    <m/>
    <m/>
    <m/>
    <m/>
    <m/>
    <m/>
    <m/>
    <m/>
    <m/>
    <m/>
    <m/>
    <m/>
    <m/>
    <m/>
    <m/>
    <m/>
    <m/>
    <m/>
    <m/>
    <m/>
    <m/>
    <m/>
    <m/>
    <m/>
    <m/>
    <m/>
    <m/>
    <m/>
    <m/>
    <m/>
    <m/>
    <m/>
    <m/>
    <m/>
    <m/>
    <m/>
    <m/>
    <m/>
    <m/>
    <m/>
    <m/>
    <m/>
    <m/>
    <m/>
    <m/>
    <m/>
    <m/>
    <m/>
    <m/>
    <m/>
    <m/>
    <m/>
    <m/>
    <m/>
    <m/>
    <m/>
    <m/>
    <m/>
    <m/>
    <m/>
    <m/>
    <m/>
    <m/>
    <m/>
    <m/>
    <m/>
    <m/>
    <m/>
    <m/>
    <m/>
    <m/>
    <m/>
    <m/>
  </r>
  <r>
    <m/>
    <m/>
    <x v="3"/>
    <n v="21.5"/>
    <x v="6"/>
    <x v="49"/>
    <s v="Rootstock 1 B3 CH"/>
    <d v="2023-09-08T00:00:00"/>
    <n v="23.7"/>
    <n v="22"/>
    <n v="22"/>
    <x v="1"/>
    <m/>
    <m/>
    <m/>
    <m/>
    <m/>
    <m/>
    <m/>
    <n v="14"/>
    <m/>
    <m/>
    <m/>
    <m/>
    <m/>
    <n v="16"/>
    <m/>
    <m/>
    <m/>
    <m/>
    <m/>
    <m/>
    <m/>
    <m/>
    <m/>
    <m/>
    <n v="18.899999999999999"/>
    <m/>
    <m/>
    <m/>
    <m/>
    <m/>
    <m/>
    <n v="20.7"/>
    <m/>
    <m/>
    <m/>
    <m/>
    <m/>
    <m/>
    <n v="22.5"/>
    <m/>
    <m/>
    <m/>
    <n v="23.7"/>
    <m/>
    <m/>
    <m/>
    <m/>
    <m/>
    <m/>
    <m/>
    <m/>
    <m/>
    <m/>
    <m/>
    <m/>
    <m/>
    <m/>
    <m/>
    <m/>
    <m/>
    <m/>
    <m/>
    <m/>
    <m/>
    <m/>
    <m/>
    <m/>
    <m/>
    <m/>
    <m/>
    <m/>
    <m/>
    <m/>
    <m/>
    <m/>
    <m/>
    <m/>
    <m/>
    <m/>
    <m/>
    <m/>
    <m/>
    <m/>
    <m/>
    <m/>
    <m/>
    <m/>
    <m/>
    <m/>
    <m/>
    <m/>
    <m/>
    <m/>
    <m/>
    <m/>
    <m/>
    <m/>
    <m/>
    <m/>
    <m/>
    <m/>
    <m/>
    <m/>
    <m/>
    <m/>
    <m/>
    <m/>
    <m/>
    <m/>
    <m/>
    <m/>
    <m/>
    <m/>
    <m/>
    <m/>
    <m/>
  </r>
  <r>
    <m/>
    <s v="Y"/>
    <x v="1"/>
    <n v="19.13"/>
    <x v="6"/>
    <x v="50"/>
    <s v="Stanton B3 CH"/>
    <d v="2023-09-12T00:00:00"/>
    <n v="22.7"/>
    <n v="18"/>
    <m/>
    <x v="11"/>
    <m/>
    <m/>
    <m/>
    <m/>
    <m/>
    <m/>
    <m/>
    <m/>
    <m/>
    <m/>
    <m/>
    <m/>
    <n v="15"/>
    <m/>
    <m/>
    <m/>
    <m/>
    <m/>
    <m/>
    <n v="17.2"/>
    <m/>
    <m/>
    <m/>
    <m/>
    <m/>
    <m/>
    <m/>
    <m/>
    <n v="19.600000000000001"/>
    <m/>
    <m/>
    <m/>
    <m/>
    <m/>
    <n v="20.6"/>
    <m/>
    <m/>
    <m/>
    <m/>
    <m/>
    <m/>
    <m/>
    <m/>
    <m/>
    <m/>
    <m/>
    <n v="22.7"/>
    <m/>
    <m/>
    <m/>
    <m/>
    <m/>
    <m/>
    <m/>
    <m/>
    <m/>
    <m/>
    <m/>
    <m/>
    <m/>
    <m/>
    <m/>
    <m/>
    <m/>
    <m/>
    <m/>
    <m/>
    <m/>
    <m/>
    <m/>
    <m/>
    <m/>
    <m/>
    <m/>
    <m/>
    <m/>
    <m/>
    <m/>
    <m/>
    <m/>
    <m/>
    <m/>
    <m/>
    <m/>
    <m/>
    <m/>
    <m/>
    <m/>
    <m/>
    <m/>
    <m/>
    <m/>
    <m/>
    <m/>
    <m/>
    <m/>
    <m/>
    <m/>
    <m/>
    <m/>
    <m/>
    <m/>
    <m/>
    <m/>
    <m/>
    <m/>
    <m/>
    <m/>
    <m/>
    <m/>
    <m/>
    <m/>
    <m/>
    <m/>
    <m/>
    <m/>
  </r>
  <r>
    <m/>
    <m/>
    <x v="3"/>
    <m/>
    <x v="6"/>
    <x v="51"/>
    <s v="Webster (All)"/>
    <s v=""/>
    <s v=" "/>
    <n v="22"/>
    <m/>
    <x v="11"/>
    <m/>
    <m/>
    <m/>
    <m/>
    <m/>
    <m/>
    <m/>
    <m/>
    <m/>
    <m/>
    <m/>
    <m/>
    <m/>
    <m/>
    <m/>
    <m/>
    <m/>
    <m/>
    <m/>
    <m/>
    <m/>
    <m/>
    <m/>
    <m/>
    <m/>
    <m/>
    <m/>
    <m/>
    <m/>
    <m/>
    <m/>
    <m/>
    <m/>
    <m/>
    <m/>
    <m/>
    <m/>
    <m/>
    <m/>
    <m/>
    <m/>
    <m/>
    <m/>
    <m/>
    <m/>
    <m/>
    <m/>
    <m/>
    <m/>
    <m/>
    <m/>
    <m/>
    <m/>
    <m/>
    <m/>
    <m/>
    <m/>
    <m/>
    <m/>
    <m/>
    <m/>
    <m/>
    <m/>
    <m/>
    <m/>
    <m/>
    <m/>
    <m/>
    <m/>
    <m/>
    <m/>
    <m/>
    <m/>
    <m/>
    <m/>
    <m/>
    <m/>
    <m/>
    <m/>
    <m/>
    <m/>
    <m/>
    <m/>
    <m/>
    <m/>
    <m/>
    <m/>
    <m/>
    <m/>
    <m/>
    <m/>
    <m/>
    <m/>
    <m/>
    <m/>
    <m/>
    <m/>
    <m/>
    <m/>
    <m/>
    <m/>
    <m/>
    <m/>
    <m/>
    <m/>
    <m/>
    <m/>
    <m/>
    <m/>
    <m/>
    <m/>
    <m/>
    <m/>
    <m/>
    <m/>
    <m/>
  </r>
  <r>
    <m/>
    <m/>
    <x v="3"/>
    <n v="26.79"/>
    <x v="6"/>
    <x v="51"/>
    <s v="Webster / Garliepp,Zolezzi - South"/>
    <d v="2023-09-06T00:00:00"/>
    <n v="23.2"/>
    <n v="22"/>
    <m/>
    <x v="11"/>
    <m/>
    <m/>
    <m/>
    <m/>
    <m/>
    <m/>
    <m/>
    <n v="12.8"/>
    <m/>
    <m/>
    <m/>
    <m/>
    <m/>
    <m/>
    <m/>
    <m/>
    <m/>
    <n v="17.7"/>
    <m/>
    <m/>
    <m/>
    <m/>
    <m/>
    <m/>
    <m/>
    <m/>
    <m/>
    <n v="20.8"/>
    <m/>
    <m/>
    <m/>
    <m/>
    <m/>
    <n v="22"/>
    <m/>
    <m/>
    <m/>
    <m/>
    <m/>
    <m/>
    <n v="23.2"/>
    <m/>
    <m/>
    <m/>
    <m/>
    <m/>
    <m/>
    <m/>
    <m/>
    <m/>
    <m/>
    <m/>
    <m/>
    <m/>
    <m/>
    <m/>
    <m/>
    <m/>
    <m/>
    <m/>
    <m/>
    <m/>
    <m/>
    <m/>
    <m/>
    <m/>
    <m/>
    <m/>
    <m/>
    <m/>
    <m/>
    <m/>
    <m/>
    <m/>
    <m/>
    <m/>
    <m/>
    <m/>
    <m/>
    <m/>
    <m/>
    <m/>
    <m/>
    <m/>
    <m/>
    <m/>
    <m/>
    <m/>
    <m/>
    <m/>
    <m/>
    <m/>
    <m/>
    <m/>
    <m/>
    <m/>
    <m/>
    <m/>
    <m/>
    <m/>
    <m/>
    <m/>
    <m/>
    <m/>
    <m/>
    <m/>
    <m/>
    <m/>
    <m/>
    <m/>
    <m/>
    <m/>
    <m/>
    <m/>
    <m/>
    <m/>
  </r>
  <r>
    <m/>
    <m/>
    <x v="3"/>
    <n v="26.24"/>
    <x v="6"/>
    <x v="51"/>
    <s v="Webster / Georgatos -North"/>
    <d v="2023-09-06T00:00:00"/>
    <n v="23.5"/>
    <n v="22"/>
    <m/>
    <x v="11"/>
    <m/>
    <m/>
    <m/>
    <m/>
    <m/>
    <m/>
    <m/>
    <n v="14.2"/>
    <m/>
    <m/>
    <m/>
    <m/>
    <m/>
    <m/>
    <m/>
    <m/>
    <m/>
    <n v="17.5"/>
    <m/>
    <m/>
    <m/>
    <m/>
    <m/>
    <m/>
    <m/>
    <m/>
    <m/>
    <n v="20.399999999999999"/>
    <m/>
    <m/>
    <m/>
    <m/>
    <m/>
    <n v="22.2"/>
    <m/>
    <m/>
    <m/>
    <m/>
    <m/>
    <m/>
    <n v="23.5"/>
    <m/>
    <m/>
    <m/>
    <m/>
    <m/>
    <m/>
    <m/>
    <m/>
    <m/>
    <m/>
    <m/>
    <m/>
    <m/>
    <m/>
    <m/>
    <m/>
    <m/>
    <m/>
    <m/>
    <m/>
    <m/>
    <m/>
    <m/>
    <m/>
    <m/>
    <m/>
    <m/>
    <m/>
    <m/>
    <m/>
    <m/>
    <m/>
    <m/>
    <m/>
    <m/>
    <m/>
    <m/>
    <m/>
    <m/>
    <m/>
    <m/>
    <m/>
    <m/>
    <m/>
    <m/>
    <m/>
    <m/>
    <m/>
    <m/>
    <m/>
    <m/>
    <m/>
    <m/>
    <m/>
    <m/>
    <m/>
    <m/>
    <m/>
    <m/>
    <m/>
    <m/>
    <m/>
    <m/>
    <m/>
    <m/>
    <m/>
    <m/>
    <m/>
    <m/>
    <m/>
    <m/>
    <m/>
    <m/>
    <m/>
    <m/>
  </r>
  <r>
    <m/>
    <m/>
    <x v="0"/>
    <m/>
    <x v="7"/>
    <x v="0"/>
    <s v="CABERNET SAUVIGNON"/>
    <m/>
    <m/>
    <m/>
    <m/>
    <x v="0"/>
    <m/>
    <m/>
    <m/>
    <m/>
    <m/>
    <m/>
    <m/>
    <m/>
    <m/>
    <m/>
    <m/>
    <m/>
    <m/>
    <m/>
    <m/>
    <m/>
    <m/>
    <m/>
    <m/>
    <m/>
    <m/>
    <m/>
    <m/>
    <m/>
    <m/>
    <m/>
    <m/>
    <m/>
    <m/>
    <m/>
    <m/>
    <m/>
    <m/>
    <m/>
    <m/>
    <m/>
    <m/>
    <m/>
    <m/>
    <m/>
    <m/>
    <m/>
    <m/>
    <m/>
    <m/>
    <m/>
    <m/>
    <m/>
    <m/>
    <m/>
    <m/>
    <m/>
    <m/>
    <m/>
    <m/>
    <m/>
    <m/>
    <m/>
    <m/>
    <m/>
    <m/>
    <m/>
    <m/>
    <m/>
    <m/>
    <m/>
    <m/>
    <m/>
    <m/>
    <m/>
    <m/>
    <m/>
    <m/>
    <m/>
    <m/>
    <m/>
    <m/>
    <m/>
    <m/>
    <m/>
    <m/>
    <m/>
    <m/>
    <m/>
    <m/>
    <m/>
    <m/>
    <m/>
    <m/>
    <m/>
    <m/>
    <m/>
    <m/>
    <m/>
    <m/>
    <m/>
    <m/>
    <m/>
    <m/>
    <m/>
    <m/>
    <m/>
    <m/>
    <m/>
    <m/>
    <m/>
    <m/>
    <m/>
    <m/>
    <m/>
    <m/>
    <m/>
    <m/>
    <m/>
    <m/>
    <m/>
  </r>
  <r>
    <m/>
    <m/>
    <x v="3"/>
    <n v="22.95"/>
    <x v="7"/>
    <x v="52"/>
    <s v="98 Oaks B1 CS"/>
    <d v="2023-09-13T00:00:00"/>
    <n v="21.1"/>
    <m/>
    <n v="25"/>
    <x v="1"/>
    <m/>
    <m/>
    <m/>
    <m/>
    <m/>
    <m/>
    <m/>
    <m/>
    <m/>
    <m/>
    <m/>
    <m/>
    <m/>
    <m/>
    <m/>
    <m/>
    <m/>
    <m/>
    <m/>
    <m/>
    <m/>
    <m/>
    <m/>
    <m/>
    <m/>
    <m/>
    <m/>
    <m/>
    <m/>
    <m/>
    <m/>
    <m/>
    <m/>
    <m/>
    <m/>
    <m/>
    <m/>
    <m/>
    <m/>
    <m/>
    <n v="19"/>
    <m/>
    <m/>
    <m/>
    <m/>
    <m/>
    <m/>
    <n v="21.1"/>
    <m/>
    <m/>
    <m/>
    <m/>
    <m/>
    <m/>
    <m/>
    <m/>
    <m/>
    <m/>
    <m/>
    <m/>
    <m/>
    <m/>
    <m/>
    <m/>
    <m/>
    <m/>
    <m/>
    <m/>
    <m/>
    <m/>
    <m/>
    <m/>
    <m/>
    <m/>
    <m/>
    <m/>
    <m/>
    <m/>
    <m/>
    <m/>
    <m/>
    <m/>
    <m/>
    <m/>
    <m/>
    <m/>
    <m/>
    <m/>
    <m/>
    <m/>
    <m/>
    <m/>
    <m/>
    <m/>
    <m/>
    <m/>
    <m/>
    <m/>
    <m/>
    <m/>
    <m/>
    <m/>
    <m/>
    <m/>
    <m/>
    <m/>
    <m/>
    <m/>
    <m/>
    <m/>
    <m/>
    <m/>
    <m/>
    <m/>
    <m/>
    <m/>
  </r>
  <r>
    <m/>
    <m/>
    <x v="3"/>
    <n v="15.91"/>
    <x v="7"/>
    <x v="53"/>
    <s v="98 Oaks B2 CS"/>
    <d v="2023-09-13T00:00:00"/>
    <n v="21"/>
    <m/>
    <n v="25"/>
    <x v="1"/>
    <m/>
    <m/>
    <m/>
    <m/>
    <m/>
    <m/>
    <m/>
    <m/>
    <m/>
    <m/>
    <m/>
    <m/>
    <m/>
    <m/>
    <m/>
    <m/>
    <m/>
    <m/>
    <m/>
    <m/>
    <m/>
    <m/>
    <m/>
    <m/>
    <m/>
    <m/>
    <m/>
    <m/>
    <m/>
    <m/>
    <m/>
    <m/>
    <m/>
    <m/>
    <m/>
    <m/>
    <m/>
    <m/>
    <m/>
    <m/>
    <n v="21.3"/>
    <m/>
    <m/>
    <m/>
    <m/>
    <m/>
    <m/>
    <n v="21"/>
    <m/>
    <m/>
    <m/>
    <m/>
    <m/>
    <m/>
    <m/>
    <m/>
    <m/>
    <m/>
    <m/>
    <m/>
    <m/>
    <m/>
    <m/>
    <m/>
    <m/>
    <m/>
    <m/>
    <m/>
    <m/>
    <m/>
    <m/>
    <m/>
    <m/>
    <m/>
    <m/>
    <m/>
    <m/>
    <m/>
    <m/>
    <m/>
    <m/>
    <m/>
    <m/>
    <m/>
    <m/>
    <m/>
    <m/>
    <m/>
    <m/>
    <m/>
    <m/>
    <m/>
    <m/>
    <m/>
    <m/>
    <m/>
    <m/>
    <m/>
    <m/>
    <m/>
    <m/>
    <m/>
    <m/>
    <m/>
    <m/>
    <m/>
    <m/>
    <m/>
    <m/>
    <m/>
    <m/>
    <m/>
    <m/>
    <m/>
    <m/>
    <m/>
  </r>
  <r>
    <m/>
    <m/>
    <x v="3"/>
    <n v="26.53"/>
    <x v="7"/>
    <x v="54"/>
    <s v="98 Oaks B4 CS"/>
    <d v="2023-09-06T00:00:00"/>
    <n v="19.399999999999999"/>
    <m/>
    <n v="25"/>
    <x v="1"/>
    <m/>
    <m/>
    <m/>
    <m/>
    <m/>
    <m/>
    <m/>
    <m/>
    <m/>
    <m/>
    <m/>
    <m/>
    <m/>
    <m/>
    <m/>
    <m/>
    <m/>
    <m/>
    <m/>
    <m/>
    <m/>
    <m/>
    <m/>
    <m/>
    <m/>
    <m/>
    <m/>
    <m/>
    <m/>
    <m/>
    <m/>
    <m/>
    <m/>
    <m/>
    <m/>
    <m/>
    <m/>
    <m/>
    <m/>
    <m/>
    <n v="19.399999999999999"/>
    <m/>
    <m/>
    <m/>
    <m/>
    <m/>
    <m/>
    <m/>
    <m/>
    <m/>
    <m/>
    <m/>
    <m/>
    <m/>
    <m/>
    <m/>
    <m/>
    <m/>
    <m/>
    <m/>
    <m/>
    <m/>
    <m/>
    <m/>
    <m/>
    <m/>
    <m/>
    <m/>
    <m/>
    <m/>
    <m/>
    <m/>
    <m/>
    <m/>
    <m/>
    <m/>
    <m/>
    <m/>
    <m/>
    <m/>
    <m/>
    <m/>
    <m/>
    <m/>
    <m/>
    <m/>
    <m/>
    <m/>
    <m/>
    <m/>
    <m/>
    <m/>
    <m/>
    <m/>
    <m/>
    <m/>
    <m/>
    <m/>
    <m/>
    <m/>
    <m/>
    <m/>
    <m/>
    <m/>
    <m/>
    <m/>
    <m/>
    <m/>
    <m/>
    <m/>
    <m/>
    <m/>
    <m/>
    <m/>
    <m/>
    <m/>
  </r>
  <r>
    <m/>
    <m/>
    <x v="3"/>
    <n v="20.23"/>
    <x v="7"/>
    <x v="55"/>
    <s v="98 Oaks B5 CS"/>
    <d v="2023-09-06T00:00:00"/>
    <n v="19.399999999999999"/>
    <m/>
    <n v="25"/>
    <x v="1"/>
    <m/>
    <m/>
    <m/>
    <m/>
    <m/>
    <m/>
    <m/>
    <m/>
    <m/>
    <m/>
    <m/>
    <m/>
    <m/>
    <m/>
    <m/>
    <m/>
    <m/>
    <m/>
    <m/>
    <m/>
    <m/>
    <m/>
    <m/>
    <m/>
    <m/>
    <m/>
    <m/>
    <m/>
    <m/>
    <m/>
    <m/>
    <m/>
    <m/>
    <m/>
    <m/>
    <m/>
    <m/>
    <m/>
    <m/>
    <m/>
    <n v="19.399999999999999"/>
    <m/>
    <m/>
    <m/>
    <m/>
    <m/>
    <m/>
    <m/>
    <m/>
    <m/>
    <m/>
    <m/>
    <m/>
    <m/>
    <m/>
    <m/>
    <m/>
    <m/>
    <m/>
    <m/>
    <m/>
    <m/>
    <m/>
    <m/>
    <m/>
    <m/>
    <m/>
    <m/>
    <m/>
    <m/>
    <m/>
    <m/>
    <m/>
    <m/>
    <m/>
    <m/>
    <m/>
    <m/>
    <m/>
    <m/>
    <m/>
    <m/>
    <m/>
    <m/>
    <m/>
    <m/>
    <m/>
    <m/>
    <m/>
    <m/>
    <m/>
    <m/>
    <m/>
    <m/>
    <m/>
    <m/>
    <m/>
    <m/>
    <m/>
    <m/>
    <m/>
    <m/>
    <m/>
    <m/>
    <m/>
    <m/>
    <m/>
    <m/>
    <m/>
    <m/>
    <m/>
    <m/>
    <m/>
    <m/>
    <m/>
    <m/>
  </r>
  <r>
    <m/>
    <m/>
    <x v="3"/>
    <n v="22.56"/>
    <x v="7"/>
    <x v="56"/>
    <s v="98 Oaks B6 CS"/>
    <d v="2023-09-12T00:00:00"/>
    <n v="25.6"/>
    <m/>
    <n v="25"/>
    <x v="1"/>
    <m/>
    <m/>
    <m/>
    <m/>
    <m/>
    <m/>
    <m/>
    <m/>
    <m/>
    <m/>
    <m/>
    <m/>
    <m/>
    <m/>
    <m/>
    <m/>
    <m/>
    <m/>
    <m/>
    <m/>
    <m/>
    <m/>
    <m/>
    <m/>
    <m/>
    <m/>
    <m/>
    <m/>
    <m/>
    <m/>
    <m/>
    <m/>
    <m/>
    <m/>
    <m/>
    <m/>
    <n v="23.2"/>
    <m/>
    <m/>
    <m/>
    <n v="23.5"/>
    <m/>
    <m/>
    <m/>
    <m/>
    <m/>
    <n v="25.6"/>
    <m/>
    <m/>
    <m/>
    <m/>
    <m/>
    <m/>
    <m/>
    <m/>
    <m/>
    <m/>
    <m/>
    <m/>
    <m/>
    <m/>
    <m/>
    <m/>
    <m/>
    <m/>
    <m/>
    <m/>
    <m/>
    <m/>
    <m/>
    <m/>
    <m/>
    <m/>
    <m/>
    <m/>
    <m/>
    <m/>
    <m/>
    <m/>
    <m/>
    <m/>
    <m/>
    <m/>
    <m/>
    <m/>
    <m/>
    <m/>
    <m/>
    <m/>
    <m/>
    <m/>
    <m/>
    <m/>
    <m/>
    <m/>
    <m/>
    <m/>
    <m/>
    <m/>
    <m/>
    <m/>
    <m/>
    <m/>
    <m/>
    <m/>
    <m/>
    <m/>
    <m/>
    <m/>
    <m/>
    <m/>
    <m/>
    <m/>
    <m/>
    <m/>
    <m/>
  </r>
  <r>
    <m/>
    <m/>
    <x v="3"/>
    <n v="38.49"/>
    <x v="7"/>
    <x v="57"/>
    <s v="98 Oaks B9 CS"/>
    <d v="2023-09-12T00:00:00"/>
    <n v="22.8"/>
    <m/>
    <n v="25"/>
    <x v="1"/>
    <m/>
    <m/>
    <m/>
    <m/>
    <m/>
    <m/>
    <m/>
    <m/>
    <m/>
    <m/>
    <m/>
    <m/>
    <m/>
    <m/>
    <m/>
    <m/>
    <m/>
    <m/>
    <m/>
    <m/>
    <m/>
    <m/>
    <m/>
    <m/>
    <m/>
    <m/>
    <m/>
    <m/>
    <m/>
    <m/>
    <m/>
    <m/>
    <m/>
    <m/>
    <m/>
    <m/>
    <n v="20.6"/>
    <m/>
    <m/>
    <m/>
    <m/>
    <m/>
    <m/>
    <m/>
    <m/>
    <m/>
    <n v="22.8"/>
    <m/>
    <m/>
    <m/>
    <m/>
    <m/>
    <m/>
    <m/>
    <m/>
    <m/>
    <m/>
    <m/>
    <m/>
    <m/>
    <m/>
    <m/>
    <m/>
    <m/>
    <m/>
    <m/>
    <m/>
    <m/>
    <m/>
    <m/>
    <m/>
    <m/>
    <m/>
    <m/>
    <m/>
    <m/>
    <m/>
    <m/>
    <m/>
    <m/>
    <m/>
    <m/>
    <m/>
    <m/>
    <m/>
    <m/>
    <m/>
    <m/>
    <m/>
    <m/>
    <m/>
    <m/>
    <m/>
    <m/>
    <m/>
    <m/>
    <m/>
    <m/>
    <m/>
    <m/>
    <m/>
    <m/>
    <m/>
    <m/>
    <m/>
    <m/>
    <m/>
    <m/>
    <m/>
    <m/>
    <m/>
    <m/>
    <m/>
    <m/>
    <m/>
    <m/>
  </r>
  <r>
    <m/>
    <m/>
    <x v="3"/>
    <n v="45.32"/>
    <x v="7"/>
    <x v="58"/>
    <s v="Birmingham Clements Hills CS -B1"/>
    <s v=""/>
    <s v=" "/>
    <n v="22.5"/>
    <m/>
    <x v="6"/>
    <m/>
    <m/>
    <m/>
    <m/>
    <m/>
    <m/>
    <m/>
    <m/>
    <m/>
    <m/>
    <m/>
    <m/>
    <m/>
    <m/>
    <m/>
    <m/>
    <m/>
    <m/>
    <m/>
    <m/>
    <m/>
    <m/>
    <m/>
    <m/>
    <m/>
    <m/>
    <m/>
    <m/>
    <m/>
    <m/>
    <m/>
    <m/>
    <m/>
    <m/>
    <m/>
    <m/>
    <m/>
    <m/>
    <m/>
    <m/>
    <m/>
    <m/>
    <m/>
    <m/>
    <m/>
    <m/>
    <m/>
    <m/>
    <m/>
    <m/>
    <m/>
    <m/>
    <m/>
    <m/>
    <m/>
    <m/>
    <m/>
    <m/>
    <m/>
    <m/>
    <m/>
    <m/>
    <m/>
    <m/>
    <m/>
    <m/>
    <m/>
    <m/>
    <m/>
    <m/>
    <m/>
    <m/>
    <m/>
    <m/>
    <m/>
    <m/>
    <m/>
    <m/>
    <m/>
    <m/>
    <m/>
    <m/>
    <m/>
    <m/>
    <m/>
    <m/>
    <m/>
    <m/>
    <m/>
    <m/>
    <m/>
    <m/>
    <m/>
    <m/>
    <m/>
    <m/>
    <m/>
    <m/>
    <m/>
    <m/>
    <m/>
    <m/>
    <m/>
    <m/>
    <m/>
    <m/>
    <m/>
    <m/>
    <m/>
    <m/>
    <m/>
    <m/>
    <m/>
    <m/>
    <m/>
    <m/>
  </r>
  <r>
    <m/>
    <m/>
    <x v="3"/>
    <m/>
    <x v="7"/>
    <x v="58"/>
    <s v="Birmingham Clements Hills CS -B1, B2, B3, B6"/>
    <s v=""/>
    <s v=" "/>
    <n v="22.5"/>
    <m/>
    <x v="6"/>
    <m/>
    <m/>
    <m/>
    <m/>
    <m/>
    <m/>
    <m/>
    <m/>
    <m/>
    <m/>
    <m/>
    <m/>
    <m/>
    <m/>
    <m/>
    <m/>
    <m/>
    <m/>
    <m/>
    <m/>
    <m/>
    <m/>
    <m/>
    <m/>
    <m/>
    <m/>
    <m/>
    <m/>
    <m/>
    <m/>
    <m/>
    <m/>
    <m/>
    <m/>
    <m/>
    <m/>
    <m/>
    <m/>
    <m/>
    <m/>
    <m/>
    <m/>
    <m/>
    <m/>
    <m/>
    <m/>
    <m/>
    <m/>
    <m/>
    <m/>
    <m/>
    <m/>
    <m/>
    <m/>
    <m/>
    <m/>
    <m/>
    <m/>
    <m/>
    <m/>
    <m/>
    <m/>
    <m/>
    <m/>
    <m/>
    <m/>
    <m/>
    <m/>
    <m/>
    <m/>
    <m/>
    <m/>
    <m/>
    <m/>
    <m/>
    <m/>
    <m/>
    <m/>
    <m/>
    <m/>
    <m/>
    <m/>
    <m/>
    <m/>
    <m/>
    <m/>
    <m/>
    <m/>
    <m/>
    <m/>
    <m/>
    <m/>
    <m/>
    <m/>
    <m/>
    <m/>
    <m/>
    <m/>
    <m/>
    <m/>
    <m/>
    <m/>
    <m/>
    <m/>
    <m/>
    <m/>
    <m/>
    <m/>
    <m/>
    <m/>
    <m/>
    <m/>
    <m/>
    <m/>
    <m/>
    <m/>
  </r>
  <r>
    <m/>
    <m/>
    <x v="3"/>
    <m/>
    <x v="7"/>
    <x v="58"/>
    <s v="Birmingham Clements Hills CS -B10"/>
    <s v=""/>
    <s v=" "/>
    <n v="22.5"/>
    <m/>
    <x v="6"/>
    <m/>
    <m/>
    <m/>
    <m/>
    <m/>
    <m/>
    <m/>
    <m/>
    <m/>
    <m/>
    <m/>
    <m/>
    <m/>
    <m/>
    <m/>
    <m/>
    <m/>
    <m/>
    <m/>
    <m/>
    <m/>
    <m/>
    <m/>
    <m/>
    <m/>
    <m/>
    <m/>
    <m/>
    <m/>
    <m/>
    <m/>
    <m/>
    <m/>
    <m/>
    <m/>
    <m/>
    <m/>
    <m/>
    <m/>
    <m/>
    <m/>
    <m/>
    <m/>
    <m/>
    <m/>
    <m/>
    <m/>
    <m/>
    <m/>
    <m/>
    <m/>
    <m/>
    <m/>
    <m/>
    <m/>
    <m/>
    <m/>
    <m/>
    <m/>
    <m/>
    <m/>
    <m/>
    <m/>
    <m/>
    <m/>
    <m/>
    <m/>
    <m/>
    <m/>
    <m/>
    <m/>
    <m/>
    <m/>
    <m/>
    <m/>
    <m/>
    <m/>
    <m/>
    <m/>
    <m/>
    <m/>
    <m/>
    <m/>
    <m/>
    <m/>
    <m/>
    <m/>
    <m/>
    <m/>
    <m/>
    <m/>
    <m/>
    <m/>
    <m/>
    <m/>
    <m/>
    <m/>
    <m/>
    <m/>
    <m/>
    <m/>
    <m/>
    <m/>
    <m/>
    <m/>
    <m/>
    <m/>
    <m/>
    <m/>
    <m/>
    <m/>
    <m/>
    <m/>
    <m/>
    <m/>
    <m/>
  </r>
  <r>
    <m/>
    <m/>
    <x v="3"/>
    <m/>
    <x v="7"/>
    <x v="58"/>
    <s v="Birmingham Clements Hills CS -B11"/>
    <s v=""/>
    <s v=" "/>
    <n v="22.5"/>
    <m/>
    <x v="6"/>
    <m/>
    <m/>
    <m/>
    <m/>
    <m/>
    <m/>
    <m/>
    <m/>
    <m/>
    <m/>
    <m/>
    <m/>
    <m/>
    <m/>
    <m/>
    <m/>
    <m/>
    <m/>
    <m/>
    <m/>
    <m/>
    <m/>
    <m/>
    <m/>
    <m/>
    <m/>
    <m/>
    <m/>
    <m/>
    <m/>
    <m/>
    <m/>
    <m/>
    <m/>
    <m/>
    <m/>
    <m/>
    <m/>
    <m/>
    <m/>
    <m/>
    <m/>
    <m/>
    <m/>
    <m/>
    <m/>
    <m/>
    <m/>
    <m/>
    <m/>
    <m/>
    <m/>
    <m/>
    <m/>
    <m/>
    <m/>
    <m/>
    <m/>
    <m/>
    <m/>
    <m/>
    <m/>
    <m/>
    <m/>
    <m/>
    <m/>
    <m/>
    <m/>
    <m/>
    <m/>
    <m/>
    <m/>
    <m/>
    <m/>
    <m/>
    <m/>
    <m/>
    <m/>
    <m/>
    <m/>
    <m/>
    <m/>
    <m/>
    <m/>
    <m/>
    <m/>
    <m/>
    <m/>
    <m/>
    <m/>
    <m/>
    <m/>
    <m/>
    <m/>
    <m/>
    <m/>
    <m/>
    <m/>
    <m/>
    <m/>
    <m/>
    <m/>
    <m/>
    <m/>
    <m/>
    <m/>
    <m/>
    <m/>
    <m/>
    <m/>
    <m/>
    <m/>
    <m/>
    <m/>
    <m/>
    <m/>
  </r>
  <r>
    <m/>
    <m/>
    <x v="3"/>
    <m/>
    <x v="7"/>
    <x v="58"/>
    <s v="Birmingham Clements Hills CS -B12"/>
    <s v=""/>
    <s v=" "/>
    <n v="22.5"/>
    <m/>
    <x v="6"/>
    <m/>
    <m/>
    <m/>
    <m/>
    <m/>
    <m/>
    <m/>
    <m/>
    <m/>
    <m/>
    <m/>
    <m/>
    <m/>
    <m/>
    <m/>
    <m/>
    <m/>
    <m/>
    <m/>
    <m/>
    <m/>
    <m/>
    <m/>
    <m/>
    <m/>
    <m/>
    <m/>
    <m/>
    <m/>
    <m/>
    <m/>
    <m/>
    <m/>
    <m/>
    <m/>
    <m/>
    <m/>
    <m/>
    <m/>
    <m/>
    <m/>
    <m/>
    <m/>
    <m/>
    <m/>
    <m/>
    <m/>
    <m/>
    <m/>
    <m/>
    <m/>
    <m/>
    <m/>
    <m/>
    <m/>
    <m/>
    <m/>
    <m/>
    <m/>
    <m/>
    <m/>
    <m/>
    <m/>
    <m/>
    <m/>
    <m/>
    <m/>
    <m/>
    <m/>
    <m/>
    <m/>
    <m/>
    <m/>
    <m/>
    <m/>
    <m/>
    <m/>
    <m/>
    <m/>
    <m/>
    <m/>
    <m/>
    <m/>
    <m/>
    <m/>
    <m/>
    <m/>
    <m/>
    <m/>
    <m/>
    <m/>
    <m/>
    <m/>
    <m/>
    <m/>
    <m/>
    <m/>
    <m/>
    <m/>
    <m/>
    <m/>
    <m/>
    <m/>
    <m/>
    <m/>
    <m/>
    <m/>
    <m/>
    <m/>
    <m/>
    <m/>
    <m/>
    <m/>
    <m/>
    <m/>
    <m/>
  </r>
  <r>
    <m/>
    <m/>
    <x v="3"/>
    <m/>
    <x v="7"/>
    <x v="58"/>
    <s v="Birmingham Clements Hills CS -B13"/>
    <s v=""/>
    <s v=" "/>
    <n v="22.5"/>
    <m/>
    <x v="6"/>
    <m/>
    <m/>
    <m/>
    <m/>
    <m/>
    <m/>
    <m/>
    <m/>
    <m/>
    <m/>
    <m/>
    <m/>
    <m/>
    <m/>
    <m/>
    <m/>
    <m/>
    <m/>
    <m/>
    <m/>
    <m/>
    <m/>
    <m/>
    <m/>
    <m/>
    <m/>
    <m/>
    <m/>
    <m/>
    <m/>
    <m/>
    <m/>
    <m/>
    <m/>
    <m/>
    <m/>
    <m/>
    <m/>
    <m/>
    <m/>
    <m/>
    <m/>
    <m/>
    <m/>
    <m/>
    <m/>
    <m/>
    <m/>
    <m/>
    <m/>
    <m/>
    <m/>
    <m/>
    <m/>
    <m/>
    <m/>
    <m/>
    <m/>
    <m/>
    <m/>
    <m/>
    <m/>
    <m/>
    <m/>
    <m/>
    <m/>
    <m/>
    <m/>
    <m/>
    <m/>
    <m/>
    <m/>
    <m/>
    <m/>
    <m/>
    <m/>
    <m/>
    <m/>
    <m/>
    <m/>
    <m/>
    <m/>
    <m/>
    <m/>
    <m/>
    <m/>
    <m/>
    <m/>
    <m/>
    <m/>
    <m/>
    <m/>
    <m/>
    <m/>
    <m/>
    <m/>
    <m/>
    <m/>
    <m/>
    <m/>
    <m/>
    <m/>
    <m/>
    <m/>
    <m/>
    <m/>
    <m/>
    <m/>
    <m/>
    <m/>
    <m/>
    <m/>
    <m/>
    <m/>
    <m/>
    <m/>
  </r>
  <r>
    <m/>
    <m/>
    <x v="3"/>
    <m/>
    <x v="7"/>
    <x v="58"/>
    <s v="Birmingham Clements Hills CS -B2"/>
    <s v=""/>
    <s v=" "/>
    <n v="22.5"/>
    <m/>
    <x v="6"/>
    <m/>
    <m/>
    <m/>
    <m/>
    <m/>
    <m/>
    <m/>
    <m/>
    <m/>
    <m/>
    <m/>
    <m/>
    <m/>
    <m/>
    <m/>
    <m/>
    <m/>
    <m/>
    <m/>
    <m/>
    <m/>
    <m/>
    <m/>
    <m/>
    <m/>
    <m/>
    <m/>
    <m/>
    <m/>
    <m/>
    <m/>
    <m/>
    <m/>
    <m/>
    <m/>
    <m/>
    <m/>
    <m/>
    <m/>
    <m/>
    <m/>
    <m/>
    <m/>
    <m/>
    <m/>
    <m/>
    <m/>
    <m/>
    <m/>
    <m/>
    <m/>
    <m/>
    <m/>
    <m/>
    <m/>
    <m/>
    <m/>
    <m/>
    <m/>
    <m/>
    <m/>
    <m/>
    <m/>
    <m/>
    <m/>
    <m/>
    <m/>
    <m/>
    <m/>
    <m/>
    <m/>
    <m/>
    <m/>
    <m/>
    <m/>
    <m/>
    <m/>
    <m/>
    <m/>
    <m/>
    <m/>
    <m/>
    <m/>
    <m/>
    <m/>
    <m/>
    <m/>
    <m/>
    <m/>
    <m/>
    <m/>
    <m/>
    <m/>
    <m/>
    <m/>
    <m/>
    <m/>
    <m/>
    <m/>
    <m/>
    <m/>
    <m/>
    <m/>
    <m/>
    <m/>
    <m/>
    <m/>
    <m/>
    <m/>
    <m/>
    <m/>
    <m/>
    <m/>
    <m/>
    <m/>
    <m/>
  </r>
  <r>
    <m/>
    <m/>
    <x v="3"/>
    <m/>
    <x v="7"/>
    <x v="58"/>
    <s v="Birmingham Clements Hills CS -B3"/>
    <s v=""/>
    <s v=" "/>
    <n v="22.5"/>
    <m/>
    <x v="6"/>
    <m/>
    <m/>
    <m/>
    <m/>
    <m/>
    <m/>
    <m/>
    <m/>
    <m/>
    <m/>
    <m/>
    <m/>
    <m/>
    <m/>
    <m/>
    <m/>
    <m/>
    <m/>
    <m/>
    <m/>
    <m/>
    <m/>
    <m/>
    <m/>
    <m/>
    <m/>
    <m/>
    <m/>
    <m/>
    <m/>
    <m/>
    <m/>
    <m/>
    <m/>
    <m/>
    <m/>
    <m/>
    <m/>
    <m/>
    <m/>
    <m/>
    <m/>
    <m/>
    <m/>
    <m/>
    <m/>
    <m/>
    <m/>
    <m/>
    <m/>
    <m/>
    <m/>
    <m/>
    <m/>
    <m/>
    <m/>
    <m/>
    <m/>
    <m/>
    <m/>
    <m/>
    <m/>
    <m/>
    <m/>
    <m/>
    <m/>
    <m/>
    <m/>
    <m/>
    <m/>
    <m/>
    <m/>
    <m/>
    <m/>
    <m/>
    <m/>
    <m/>
    <m/>
    <m/>
    <m/>
    <m/>
    <m/>
    <m/>
    <m/>
    <m/>
    <m/>
    <m/>
    <m/>
    <m/>
    <m/>
    <m/>
    <m/>
    <m/>
    <m/>
    <m/>
    <m/>
    <m/>
    <m/>
    <m/>
    <m/>
    <m/>
    <m/>
    <m/>
    <m/>
    <m/>
    <m/>
    <m/>
    <m/>
    <m/>
    <m/>
    <m/>
    <m/>
    <m/>
    <m/>
    <m/>
    <m/>
  </r>
  <r>
    <m/>
    <m/>
    <x v="3"/>
    <m/>
    <x v="7"/>
    <x v="58"/>
    <s v="Birmingham Clements Hills CS -B4"/>
    <s v=""/>
    <s v=" "/>
    <n v="22.5"/>
    <m/>
    <x v="6"/>
    <m/>
    <m/>
    <m/>
    <m/>
    <m/>
    <m/>
    <m/>
    <m/>
    <m/>
    <m/>
    <m/>
    <m/>
    <m/>
    <m/>
    <m/>
    <m/>
    <m/>
    <m/>
    <m/>
    <m/>
    <m/>
    <m/>
    <m/>
    <m/>
    <m/>
    <m/>
    <m/>
    <m/>
    <m/>
    <m/>
    <m/>
    <m/>
    <m/>
    <m/>
    <m/>
    <m/>
    <m/>
    <m/>
    <m/>
    <m/>
    <m/>
    <m/>
    <m/>
    <m/>
    <m/>
    <m/>
    <m/>
    <m/>
    <m/>
    <m/>
    <m/>
    <m/>
    <m/>
    <m/>
    <m/>
    <m/>
    <m/>
    <m/>
    <m/>
    <m/>
    <m/>
    <m/>
    <m/>
    <m/>
    <m/>
    <m/>
    <m/>
    <m/>
    <m/>
    <m/>
    <m/>
    <m/>
    <m/>
    <m/>
    <m/>
    <m/>
    <m/>
    <m/>
    <m/>
    <m/>
    <m/>
    <m/>
    <m/>
    <m/>
    <m/>
    <m/>
    <m/>
    <m/>
    <m/>
    <m/>
    <m/>
    <m/>
    <m/>
    <m/>
    <m/>
    <m/>
    <m/>
    <m/>
    <m/>
    <m/>
    <m/>
    <m/>
    <m/>
    <m/>
    <m/>
    <m/>
    <m/>
    <m/>
    <m/>
    <m/>
    <m/>
    <m/>
    <m/>
    <m/>
    <m/>
    <m/>
  </r>
  <r>
    <m/>
    <m/>
    <x v="3"/>
    <m/>
    <x v="7"/>
    <x v="58"/>
    <s v="Birmingham Clements Hills CS -B5"/>
    <s v=""/>
    <s v=" "/>
    <n v="22.5"/>
    <m/>
    <x v="6"/>
    <m/>
    <m/>
    <m/>
    <m/>
    <m/>
    <m/>
    <m/>
    <m/>
    <m/>
    <m/>
    <m/>
    <m/>
    <m/>
    <m/>
    <m/>
    <m/>
    <m/>
    <m/>
    <m/>
    <m/>
    <m/>
    <m/>
    <m/>
    <m/>
    <m/>
    <m/>
    <m/>
    <m/>
    <m/>
    <m/>
    <m/>
    <m/>
    <m/>
    <m/>
    <m/>
    <m/>
    <m/>
    <m/>
    <m/>
    <m/>
    <m/>
    <m/>
    <m/>
    <m/>
    <m/>
    <m/>
    <m/>
    <m/>
    <m/>
    <m/>
    <m/>
    <m/>
    <m/>
    <m/>
    <m/>
    <m/>
    <m/>
    <m/>
    <m/>
    <m/>
    <m/>
    <m/>
    <m/>
    <m/>
    <m/>
    <m/>
    <m/>
    <m/>
    <m/>
    <m/>
    <m/>
    <m/>
    <m/>
    <m/>
    <m/>
    <m/>
    <m/>
    <m/>
    <m/>
    <m/>
    <m/>
    <m/>
    <m/>
    <m/>
    <m/>
    <m/>
    <m/>
    <m/>
    <m/>
    <m/>
    <m/>
    <m/>
    <m/>
    <m/>
    <m/>
    <m/>
    <m/>
    <m/>
    <m/>
    <m/>
    <m/>
    <m/>
    <m/>
    <m/>
    <m/>
    <m/>
    <m/>
    <m/>
    <m/>
    <m/>
    <m/>
    <m/>
    <m/>
    <m/>
    <m/>
    <m/>
  </r>
  <r>
    <m/>
    <m/>
    <x v="3"/>
    <m/>
    <x v="7"/>
    <x v="58"/>
    <s v="Birmingham Clements Hills CS -B6"/>
    <s v=""/>
    <s v=" "/>
    <n v="22.5"/>
    <m/>
    <x v="6"/>
    <m/>
    <m/>
    <m/>
    <m/>
    <m/>
    <m/>
    <m/>
    <m/>
    <m/>
    <m/>
    <m/>
    <m/>
    <m/>
    <m/>
    <m/>
    <m/>
    <m/>
    <m/>
    <m/>
    <m/>
    <m/>
    <m/>
    <m/>
    <m/>
    <m/>
    <m/>
    <m/>
    <m/>
    <m/>
    <m/>
    <m/>
    <m/>
    <m/>
    <m/>
    <m/>
    <m/>
    <m/>
    <m/>
    <m/>
    <m/>
    <m/>
    <m/>
    <m/>
    <m/>
    <m/>
    <m/>
    <m/>
    <m/>
    <m/>
    <m/>
    <m/>
    <m/>
    <m/>
    <m/>
    <m/>
    <m/>
    <m/>
    <m/>
    <m/>
    <m/>
    <m/>
    <m/>
    <m/>
    <m/>
    <m/>
    <m/>
    <m/>
    <m/>
    <m/>
    <m/>
    <m/>
    <m/>
    <m/>
    <m/>
    <m/>
    <m/>
    <m/>
    <m/>
    <m/>
    <m/>
    <m/>
    <m/>
    <m/>
    <m/>
    <m/>
    <m/>
    <m/>
    <m/>
    <m/>
    <m/>
    <m/>
    <m/>
    <m/>
    <m/>
    <m/>
    <m/>
    <m/>
    <m/>
    <m/>
    <m/>
    <m/>
    <m/>
    <m/>
    <m/>
    <m/>
    <m/>
    <m/>
    <m/>
    <m/>
    <m/>
    <m/>
    <m/>
    <m/>
    <m/>
    <m/>
    <m/>
  </r>
  <r>
    <m/>
    <m/>
    <x v="3"/>
    <m/>
    <x v="7"/>
    <x v="58"/>
    <s v="Birmingham Clements Hills CS -B7"/>
    <s v=""/>
    <s v=" "/>
    <n v="22.5"/>
    <m/>
    <x v="6"/>
    <m/>
    <m/>
    <m/>
    <m/>
    <m/>
    <m/>
    <m/>
    <m/>
    <m/>
    <m/>
    <m/>
    <m/>
    <m/>
    <m/>
    <m/>
    <m/>
    <m/>
    <m/>
    <m/>
    <m/>
    <m/>
    <m/>
    <m/>
    <m/>
    <m/>
    <m/>
    <m/>
    <m/>
    <m/>
    <m/>
    <m/>
    <m/>
    <m/>
    <m/>
    <m/>
    <m/>
    <m/>
    <m/>
    <m/>
    <m/>
    <m/>
    <m/>
    <m/>
    <m/>
    <m/>
    <m/>
    <m/>
    <m/>
    <m/>
    <m/>
    <m/>
    <m/>
    <m/>
    <m/>
    <m/>
    <m/>
    <m/>
    <m/>
    <m/>
    <m/>
    <m/>
    <m/>
    <m/>
    <m/>
    <m/>
    <m/>
    <m/>
    <m/>
    <m/>
    <m/>
    <m/>
    <m/>
    <m/>
    <m/>
    <m/>
    <m/>
    <m/>
    <m/>
    <m/>
    <m/>
    <m/>
    <m/>
    <m/>
    <m/>
    <m/>
    <m/>
    <m/>
    <m/>
    <m/>
    <m/>
    <m/>
    <m/>
    <m/>
    <m/>
    <m/>
    <m/>
    <m/>
    <m/>
    <m/>
    <m/>
    <m/>
    <m/>
    <m/>
    <m/>
    <m/>
    <m/>
    <m/>
    <m/>
    <m/>
    <m/>
    <m/>
    <m/>
    <m/>
    <m/>
    <m/>
    <m/>
  </r>
  <r>
    <m/>
    <m/>
    <x v="3"/>
    <m/>
    <x v="7"/>
    <x v="58"/>
    <s v="Birmingham Clements Hills CS -B7, B8, B9"/>
    <s v=""/>
    <s v=" "/>
    <n v="22.5"/>
    <m/>
    <x v="6"/>
    <m/>
    <m/>
    <m/>
    <m/>
    <m/>
    <m/>
    <m/>
    <m/>
    <m/>
    <m/>
    <m/>
    <m/>
    <m/>
    <m/>
    <m/>
    <m/>
    <m/>
    <m/>
    <m/>
    <m/>
    <m/>
    <m/>
    <m/>
    <m/>
    <m/>
    <m/>
    <m/>
    <m/>
    <m/>
    <m/>
    <m/>
    <m/>
    <m/>
    <m/>
    <m/>
    <m/>
    <m/>
    <m/>
    <m/>
    <m/>
    <m/>
    <m/>
    <m/>
    <m/>
    <m/>
    <m/>
    <m/>
    <m/>
    <m/>
    <m/>
    <m/>
    <m/>
    <m/>
    <m/>
    <m/>
    <m/>
    <m/>
    <m/>
    <m/>
    <m/>
    <m/>
    <m/>
    <m/>
    <m/>
    <m/>
    <m/>
    <m/>
    <m/>
    <m/>
    <m/>
    <m/>
    <m/>
    <m/>
    <m/>
    <m/>
    <m/>
    <m/>
    <m/>
    <m/>
    <m/>
    <m/>
    <m/>
    <m/>
    <m/>
    <m/>
    <m/>
    <m/>
    <m/>
    <m/>
    <m/>
    <m/>
    <m/>
    <m/>
    <m/>
    <m/>
    <m/>
    <m/>
    <m/>
    <m/>
    <m/>
    <m/>
    <m/>
    <m/>
    <m/>
    <m/>
    <m/>
    <m/>
    <m/>
    <m/>
    <m/>
    <m/>
    <m/>
    <m/>
    <m/>
    <m/>
    <m/>
  </r>
  <r>
    <m/>
    <m/>
    <x v="3"/>
    <m/>
    <x v="7"/>
    <x v="58"/>
    <s v="Birmingham Clements Hills CS -B8"/>
    <s v=""/>
    <s v=" "/>
    <n v="22.5"/>
    <m/>
    <x v="6"/>
    <m/>
    <m/>
    <m/>
    <m/>
    <m/>
    <m/>
    <m/>
    <m/>
    <m/>
    <m/>
    <m/>
    <m/>
    <m/>
    <m/>
    <m/>
    <m/>
    <m/>
    <m/>
    <m/>
    <m/>
    <m/>
    <m/>
    <m/>
    <m/>
    <m/>
    <m/>
    <m/>
    <m/>
    <m/>
    <m/>
    <m/>
    <m/>
    <m/>
    <m/>
    <m/>
    <m/>
    <m/>
    <m/>
    <m/>
    <m/>
    <m/>
    <m/>
    <m/>
    <m/>
    <m/>
    <m/>
    <m/>
    <m/>
    <m/>
    <m/>
    <m/>
    <m/>
    <m/>
    <m/>
    <m/>
    <m/>
    <m/>
    <m/>
    <m/>
    <m/>
    <m/>
    <m/>
    <m/>
    <m/>
    <m/>
    <m/>
    <m/>
    <m/>
    <m/>
    <m/>
    <m/>
    <m/>
    <m/>
    <m/>
    <m/>
    <m/>
    <m/>
    <m/>
    <m/>
    <m/>
    <m/>
    <m/>
    <m/>
    <m/>
    <m/>
    <m/>
    <m/>
    <m/>
    <m/>
    <m/>
    <m/>
    <m/>
    <m/>
    <m/>
    <m/>
    <m/>
    <m/>
    <m/>
    <m/>
    <m/>
    <m/>
    <m/>
    <m/>
    <m/>
    <m/>
    <m/>
    <m/>
    <m/>
    <m/>
    <m/>
    <m/>
    <m/>
    <m/>
    <m/>
    <m/>
    <m/>
  </r>
  <r>
    <m/>
    <m/>
    <x v="3"/>
    <m/>
    <x v="7"/>
    <x v="58"/>
    <s v="Birmingham Clements Hills CS -B9"/>
    <s v=""/>
    <s v=" "/>
    <n v="22.5"/>
    <m/>
    <x v="6"/>
    <m/>
    <m/>
    <m/>
    <m/>
    <m/>
    <m/>
    <m/>
    <m/>
    <m/>
    <m/>
    <m/>
    <m/>
    <m/>
    <m/>
    <m/>
    <m/>
    <m/>
    <m/>
    <m/>
    <m/>
    <m/>
    <m/>
    <m/>
    <m/>
    <m/>
    <m/>
    <m/>
    <m/>
    <m/>
    <m/>
    <m/>
    <m/>
    <m/>
    <m/>
    <m/>
    <m/>
    <m/>
    <m/>
    <m/>
    <m/>
    <m/>
    <m/>
    <m/>
    <m/>
    <m/>
    <m/>
    <m/>
    <m/>
    <m/>
    <m/>
    <m/>
    <m/>
    <m/>
    <m/>
    <m/>
    <m/>
    <m/>
    <m/>
    <m/>
    <m/>
    <m/>
    <m/>
    <m/>
    <m/>
    <m/>
    <m/>
    <m/>
    <m/>
    <m/>
    <m/>
    <m/>
    <m/>
    <m/>
    <m/>
    <m/>
    <m/>
    <m/>
    <m/>
    <m/>
    <m/>
    <m/>
    <m/>
    <m/>
    <m/>
    <m/>
    <m/>
    <m/>
    <m/>
    <m/>
    <m/>
    <m/>
    <m/>
    <m/>
    <m/>
    <m/>
    <m/>
    <m/>
    <m/>
    <m/>
    <m/>
    <m/>
    <m/>
    <m/>
    <m/>
    <m/>
    <m/>
    <m/>
    <m/>
    <m/>
    <m/>
    <m/>
    <m/>
    <m/>
    <m/>
    <m/>
    <m/>
  </r>
  <r>
    <m/>
    <m/>
    <x v="3"/>
    <m/>
    <x v="7"/>
    <x v="58"/>
    <s v="Birmingham Clements Hills CS -Hills"/>
    <s v=""/>
    <s v=" "/>
    <n v="22.5"/>
    <m/>
    <x v="6"/>
    <m/>
    <m/>
    <m/>
    <m/>
    <m/>
    <m/>
    <m/>
    <m/>
    <m/>
    <m/>
    <m/>
    <m/>
    <m/>
    <m/>
    <m/>
    <m/>
    <m/>
    <m/>
    <m/>
    <m/>
    <m/>
    <m/>
    <m/>
    <m/>
    <m/>
    <m/>
    <m/>
    <m/>
    <m/>
    <m/>
    <m/>
    <m/>
    <m/>
    <m/>
    <m/>
    <m/>
    <m/>
    <m/>
    <m/>
    <m/>
    <m/>
    <m/>
    <m/>
    <m/>
    <m/>
    <m/>
    <m/>
    <m/>
    <m/>
    <m/>
    <m/>
    <m/>
    <m/>
    <m/>
    <m/>
    <m/>
    <m/>
    <m/>
    <m/>
    <m/>
    <m/>
    <m/>
    <m/>
    <m/>
    <m/>
    <m/>
    <m/>
    <m/>
    <m/>
    <m/>
    <m/>
    <m/>
    <m/>
    <m/>
    <m/>
    <m/>
    <m/>
    <m/>
    <m/>
    <m/>
    <m/>
    <m/>
    <m/>
    <m/>
    <m/>
    <m/>
    <m/>
    <m/>
    <m/>
    <m/>
    <m/>
    <m/>
    <m/>
    <m/>
    <m/>
    <m/>
    <m/>
    <m/>
    <m/>
    <m/>
    <m/>
    <m/>
    <m/>
    <m/>
    <m/>
    <m/>
    <m/>
    <m/>
    <m/>
    <m/>
    <m/>
    <m/>
    <m/>
    <m/>
    <m/>
    <m/>
  </r>
  <r>
    <m/>
    <m/>
    <x v="3"/>
    <m/>
    <x v="7"/>
    <x v="58"/>
    <s v="Birmingham Clements Hills CS -Lowlands"/>
    <s v=""/>
    <s v=" "/>
    <n v="22.5"/>
    <m/>
    <x v="6"/>
    <m/>
    <m/>
    <m/>
    <m/>
    <m/>
    <m/>
    <m/>
    <m/>
    <m/>
    <m/>
    <m/>
    <m/>
    <m/>
    <m/>
    <m/>
    <m/>
    <m/>
    <m/>
    <m/>
    <m/>
    <m/>
    <m/>
    <m/>
    <m/>
    <m/>
    <m/>
    <m/>
    <m/>
    <m/>
    <m/>
    <m/>
    <m/>
    <m/>
    <m/>
    <m/>
    <m/>
    <m/>
    <m/>
    <m/>
    <m/>
    <m/>
    <m/>
    <m/>
    <m/>
    <m/>
    <m/>
    <m/>
    <m/>
    <m/>
    <m/>
    <m/>
    <m/>
    <m/>
    <m/>
    <m/>
    <m/>
    <m/>
    <m/>
    <m/>
    <m/>
    <m/>
    <m/>
    <m/>
    <m/>
    <m/>
    <m/>
    <m/>
    <m/>
    <m/>
    <m/>
    <m/>
    <m/>
    <m/>
    <m/>
    <m/>
    <m/>
    <m/>
    <m/>
    <m/>
    <m/>
    <m/>
    <m/>
    <m/>
    <m/>
    <m/>
    <m/>
    <m/>
    <m/>
    <m/>
    <m/>
    <m/>
    <m/>
    <m/>
    <m/>
    <m/>
    <m/>
    <m/>
    <m/>
    <m/>
    <m/>
    <m/>
    <m/>
    <m/>
    <m/>
    <m/>
    <m/>
    <m/>
    <m/>
    <m/>
    <m/>
    <m/>
    <m/>
    <m/>
    <m/>
    <m/>
    <m/>
  </r>
  <r>
    <m/>
    <s v="Y"/>
    <x v="3"/>
    <n v="5"/>
    <x v="7"/>
    <x v="59"/>
    <s v="Blue Star"/>
    <s v=""/>
    <s v=" "/>
    <n v="24"/>
    <m/>
    <x v="7"/>
    <m/>
    <m/>
    <m/>
    <m/>
    <m/>
    <m/>
    <m/>
    <m/>
    <m/>
    <m/>
    <m/>
    <m/>
    <m/>
    <m/>
    <m/>
    <m/>
    <m/>
    <m/>
    <m/>
    <m/>
    <m/>
    <m/>
    <m/>
    <m/>
    <m/>
    <m/>
    <m/>
    <m/>
    <m/>
    <m/>
    <m/>
    <m/>
    <m/>
    <m/>
    <m/>
    <m/>
    <m/>
    <m/>
    <m/>
    <m/>
    <m/>
    <m/>
    <m/>
    <m/>
    <m/>
    <m/>
    <m/>
    <m/>
    <m/>
    <m/>
    <m/>
    <m/>
    <m/>
    <m/>
    <m/>
    <m/>
    <m/>
    <m/>
    <m/>
    <m/>
    <m/>
    <m/>
    <m/>
    <m/>
    <m/>
    <m/>
    <m/>
    <m/>
    <m/>
    <m/>
    <m/>
    <m/>
    <m/>
    <m/>
    <m/>
    <m/>
    <m/>
    <m/>
    <m/>
    <m/>
    <m/>
    <m/>
    <m/>
    <m/>
    <m/>
    <m/>
    <m/>
    <m/>
    <m/>
    <m/>
    <m/>
    <m/>
    <m/>
    <m/>
    <m/>
    <m/>
    <m/>
    <m/>
    <m/>
    <m/>
    <m/>
    <m/>
    <m/>
    <m/>
    <m/>
    <m/>
    <m/>
    <m/>
    <m/>
    <m/>
    <m/>
    <m/>
    <m/>
    <m/>
    <m/>
    <m/>
  </r>
  <r>
    <m/>
    <s v="Y"/>
    <x v="3"/>
    <n v="104.19"/>
    <x v="7"/>
    <x v="60"/>
    <s v="Clements 3 Oaks BLK 2"/>
    <s v=""/>
    <s v=" "/>
    <m/>
    <n v="24.5"/>
    <x v="1"/>
    <m/>
    <m/>
    <m/>
    <m/>
    <m/>
    <m/>
    <m/>
    <m/>
    <m/>
    <m/>
    <m/>
    <m/>
    <m/>
    <m/>
    <m/>
    <m/>
    <m/>
    <m/>
    <m/>
    <m/>
    <m/>
    <m/>
    <m/>
    <m/>
    <m/>
    <m/>
    <m/>
    <m/>
    <m/>
    <m/>
    <m/>
    <m/>
    <m/>
    <m/>
    <m/>
    <m/>
    <m/>
    <m/>
    <m/>
    <m/>
    <m/>
    <m/>
    <m/>
    <m/>
    <m/>
    <m/>
    <m/>
    <m/>
    <m/>
    <m/>
    <m/>
    <m/>
    <m/>
    <m/>
    <m/>
    <m/>
    <m/>
    <m/>
    <m/>
    <m/>
    <m/>
    <m/>
    <m/>
    <m/>
    <m/>
    <m/>
    <m/>
    <m/>
    <m/>
    <m/>
    <m/>
    <m/>
    <m/>
    <m/>
    <m/>
    <m/>
    <m/>
    <m/>
    <m/>
    <m/>
    <m/>
    <m/>
    <m/>
    <m/>
    <m/>
    <m/>
    <m/>
    <m/>
    <m/>
    <m/>
    <m/>
    <m/>
    <m/>
    <m/>
    <m/>
    <m/>
    <m/>
    <m/>
    <m/>
    <m/>
    <m/>
    <m/>
    <m/>
    <m/>
    <m/>
    <m/>
    <m/>
    <m/>
    <m/>
    <m/>
    <m/>
    <m/>
    <m/>
    <m/>
    <m/>
    <m/>
  </r>
  <r>
    <m/>
    <s v="Y"/>
    <x v="3"/>
    <m/>
    <x v="7"/>
    <x v="60"/>
    <s v="Clements 3 Oaks BLK 2 - M"/>
    <s v=""/>
    <s v=" "/>
    <m/>
    <n v="24.5"/>
    <x v="1"/>
    <m/>
    <m/>
    <m/>
    <m/>
    <m/>
    <m/>
    <m/>
    <m/>
    <m/>
    <m/>
    <m/>
    <m/>
    <m/>
    <m/>
    <m/>
    <m/>
    <m/>
    <m/>
    <m/>
    <m/>
    <m/>
    <m/>
    <m/>
    <m/>
    <m/>
    <m/>
    <m/>
    <m/>
    <m/>
    <m/>
    <m/>
    <m/>
    <m/>
    <m/>
    <m/>
    <m/>
    <m/>
    <m/>
    <m/>
    <m/>
    <m/>
    <m/>
    <m/>
    <m/>
    <m/>
    <m/>
    <m/>
    <m/>
    <m/>
    <m/>
    <m/>
    <m/>
    <m/>
    <m/>
    <m/>
    <m/>
    <m/>
    <m/>
    <m/>
    <m/>
    <m/>
    <m/>
    <m/>
    <m/>
    <m/>
    <m/>
    <m/>
    <m/>
    <m/>
    <m/>
    <m/>
    <m/>
    <m/>
    <m/>
    <m/>
    <m/>
    <m/>
    <m/>
    <m/>
    <m/>
    <m/>
    <m/>
    <m/>
    <m/>
    <m/>
    <m/>
    <m/>
    <m/>
    <m/>
    <m/>
    <m/>
    <m/>
    <m/>
    <m/>
    <m/>
    <m/>
    <m/>
    <m/>
    <m/>
    <m/>
    <m/>
    <m/>
    <m/>
    <m/>
    <m/>
    <m/>
    <m/>
    <m/>
    <m/>
    <m/>
    <m/>
    <m/>
    <m/>
    <m/>
    <m/>
    <m/>
  </r>
  <r>
    <m/>
    <s v="Y"/>
    <x v="3"/>
    <m/>
    <x v="7"/>
    <x v="60"/>
    <s v="Clements 3 Oaks BLK 2 - N"/>
    <d v="2023-09-06T00:00:00"/>
    <n v="19.600000000000001"/>
    <m/>
    <n v="24.5"/>
    <x v="1"/>
    <m/>
    <m/>
    <m/>
    <m/>
    <m/>
    <m/>
    <m/>
    <m/>
    <m/>
    <m/>
    <m/>
    <m/>
    <m/>
    <m/>
    <m/>
    <m/>
    <m/>
    <m/>
    <m/>
    <m/>
    <m/>
    <m/>
    <m/>
    <m/>
    <m/>
    <m/>
    <m/>
    <m/>
    <m/>
    <m/>
    <m/>
    <m/>
    <m/>
    <m/>
    <m/>
    <m/>
    <m/>
    <m/>
    <m/>
    <m/>
    <n v="19.600000000000001"/>
    <m/>
    <m/>
    <m/>
    <m/>
    <m/>
    <m/>
    <m/>
    <m/>
    <m/>
    <m/>
    <m/>
    <m/>
    <m/>
    <m/>
    <m/>
    <m/>
    <m/>
    <m/>
    <m/>
    <m/>
    <m/>
    <m/>
    <m/>
    <m/>
    <m/>
    <m/>
    <m/>
    <m/>
    <m/>
    <m/>
    <m/>
    <m/>
    <m/>
    <m/>
    <m/>
    <m/>
    <m/>
    <m/>
    <m/>
    <m/>
    <m/>
    <m/>
    <m/>
    <m/>
    <m/>
    <m/>
    <m/>
    <m/>
    <m/>
    <m/>
    <m/>
    <m/>
    <m/>
    <m/>
    <m/>
    <m/>
    <m/>
    <m/>
    <m/>
    <m/>
    <m/>
    <m/>
    <m/>
    <m/>
    <m/>
    <m/>
    <m/>
    <m/>
    <m/>
    <m/>
    <m/>
    <m/>
    <m/>
    <m/>
    <m/>
  </r>
  <r>
    <m/>
    <s v="Y"/>
    <x v="3"/>
    <m/>
    <x v="7"/>
    <x v="60"/>
    <s v="Clements 3 Oaks BLK 2 - S"/>
    <d v="2023-09-06T00:00:00"/>
    <n v="20"/>
    <m/>
    <n v="24.5"/>
    <x v="1"/>
    <m/>
    <m/>
    <m/>
    <m/>
    <m/>
    <m/>
    <m/>
    <m/>
    <m/>
    <m/>
    <m/>
    <m/>
    <m/>
    <m/>
    <m/>
    <m/>
    <m/>
    <m/>
    <m/>
    <m/>
    <m/>
    <m/>
    <m/>
    <m/>
    <m/>
    <m/>
    <m/>
    <m/>
    <m/>
    <m/>
    <m/>
    <m/>
    <m/>
    <m/>
    <m/>
    <m/>
    <m/>
    <m/>
    <m/>
    <m/>
    <n v="20"/>
    <m/>
    <m/>
    <m/>
    <m/>
    <m/>
    <m/>
    <m/>
    <m/>
    <m/>
    <m/>
    <m/>
    <m/>
    <m/>
    <m/>
    <m/>
    <m/>
    <m/>
    <m/>
    <m/>
    <m/>
    <m/>
    <m/>
    <m/>
    <m/>
    <m/>
    <m/>
    <m/>
    <m/>
    <m/>
    <m/>
    <m/>
    <m/>
    <m/>
    <m/>
    <m/>
    <m/>
    <m/>
    <m/>
    <m/>
    <m/>
    <m/>
    <m/>
    <m/>
    <m/>
    <m/>
    <m/>
    <m/>
    <m/>
    <m/>
    <m/>
    <m/>
    <m/>
    <m/>
    <m/>
    <m/>
    <m/>
    <m/>
    <m/>
    <m/>
    <m/>
    <m/>
    <m/>
    <m/>
    <m/>
    <m/>
    <m/>
    <m/>
    <m/>
    <m/>
    <m/>
    <m/>
    <m/>
    <m/>
    <m/>
    <m/>
  </r>
  <r>
    <m/>
    <s v="Y"/>
    <x v="3"/>
    <n v="53"/>
    <x v="7"/>
    <x v="61"/>
    <s v="Clements AAA BLK 3"/>
    <s v=""/>
    <s v=" "/>
    <n v="24"/>
    <n v="24.5"/>
    <x v="1"/>
    <m/>
    <m/>
    <m/>
    <m/>
    <m/>
    <m/>
    <m/>
    <m/>
    <m/>
    <m/>
    <m/>
    <m/>
    <m/>
    <m/>
    <m/>
    <m/>
    <m/>
    <m/>
    <m/>
    <m/>
    <m/>
    <m/>
    <m/>
    <m/>
    <m/>
    <m/>
    <m/>
    <m/>
    <m/>
    <m/>
    <m/>
    <m/>
    <m/>
    <m/>
    <m/>
    <m/>
    <m/>
    <m/>
    <m/>
    <m/>
    <m/>
    <m/>
    <m/>
    <m/>
    <m/>
    <m/>
    <m/>
    <m/>
    <m/>
    <m/>
    <m/>
    <m/>
    <m/>
    <m/>
    <m/>
    <m/>
    <m/>
    <m/>
    <m/>
    <m/>
    <m/>
    <m/>
    <m/>
    <m/>
    <m/>
    <m/>
    <m/>
    <m/>
    <m/>
    <m/>
    <m/>
    <m/>
    <m/>
    <m/>
    <m/>
    <m/>
    <m/>
    <m/>
    <m/>
    <m/>
    <m/>
    <m/>
    <m/>
    <m/>
    <m/>
    <m/>
    <m/>
    <m/>
    <m/>
    <m/>
    <m/>
    <m/>
    <m/>
    <m/>
    <m/>
    <m/>
    <m/>
    <m/>
    <m/>
    <m/>
    <m/>
    <m/>
    <m/>
    <m/>
    <m/>
    <m/>
    <m/>
    <m/>
    <m/>
    <m/>
    <m/>
    <m/>
    <m/>
    <m/>
    <m/>
    <m/>
  </r>
  <r>
    <m/>
    <m/>
    <x v="3"/>
    <n v="39.83"/>
    <x v="7"/>
    <x v="62"/>
    <s v="Clements Atkins BLK 1 - NORTH"/>
    <s v=""/>
    <s v=" "/>
    <n v="24.5"/>
    <m/>
    <x v="11"/>
    <m/>
    <m/>
    <m/>
    <m/>
    <m/>
    <m/>
    <m/>
    <m/>
    <m/>
    <m/>
    <m/>
    <m/>
    <m/>
    <m/>
    <m/>
    <m/>
    <m/>
    <m/>
    <m/>
    <m/>
    <m/>
    <m/>
    <m/>
    <m/>
    <m/>
    <m/>
    <m/>
    <m/>
    <m/>
    <m/>
    <m/>
    <m/>
    <m/>
    <m/>
    <m/>
    <m/>
    <m/>
    <m/>
    <m/>
    <m/>
    <m/>
    <m/>
    <m/>
    <m/>
    <m/>
    <m/>
    <m/>
    <m/>
    <m/>
    <m/>
    <m/>
    <m/>
    <m/>
    <m/>
    <m/>
    <m/>
    <m/>
    <m/>
    <m/>
    <m/>
    <m/>
    <m/>
    <m/>
    <m/>
    <m/>
    <m/>
    <m/>
    <m/>
    <m/>
    <m/>
    <m/>
    <m/>
    <m/>
    <m/>
    <m/>
    <m/>
    <m/>
    <m/>
    <m/>
    <m/>
    <m/>
    <m/>
    <m/>
    <m/>
    <m/>
    <m/>
    <m/>
    <m/>
    <m/>
    <m/>
    <m/>
    <m/>
    <m/>
    <m/>
    <m/>
    <m/>
    <m/>
    <m/>
    <m/>
    <m/>
    <m/>
    <m/>
    <m/>
    <m/>
    <m/>
    <m/>
    <m/>
    <m/>
    <m/>
    <m/>
    <m/>
    <m/>
    <m/>
    <m/>
    <m/>
    <m/>
  </r>
  <r>
    <m/>
    <m/>
    <x v="3"/>
    <n v="34.92"/>
    <x v="7"/>
    <x v="63"/>
    <s v="Clements Atkins BLK 5 - SOUTH"/>
    <s v=""/>
    <s v=" "/>
    <n v="24.5"/>
    <m/>
    <x v="11"/>
    <m/>
    <m/>
    <m/>
    <m/>
    <m/>
    <m/>
    <m/>
    <m/>
    <m/>
    <m/>
    <m/>
    <m/>
    <m/>
    <m/>
    <m/>
    <m/>
    <m/>
    <m/>
    <m/>
    <m/>
    <m/>
    <m/>
    <m/>
    <m/>
    <m/>
    <m/>
    <m/>
    <m/>
    <m/>
    <m/>
    <m/>
    <m/>
    <m/>
    <m/>
    <m/>
    <m/>
    <m/>
    <m/>
    <m/>
    <m/>
    <m/>
    <m/>
    <m/>
    <m/>
    <m/>
    <m/>
    <m/>
    <m/>
    <m/>
    <m/>
    <m/>
    <m/>
    <m/>
    <m/>
    <m/>
    <m/>
    <m/>
    <m/>
    <m/>
    <m/>
    <m/>
    <m/>
    <m/>
    <m/>
    <m/>
    <m/>
    <m/>
    <m/>
    <m/>
    <m/>
    <m/>
    <m/>
    <m/>
    <m/>
    <m/>
    <m/>
    <m/>
    <m/>
    <m/>
    <m/>
    <m/>
    <m/>
    <m/>
    <m/>
    <m/>
    <m/>
    <m/>
    <m/>
    <m/>
    <m/>
    <m/>
    <m/>
    <m/>
    <m/>
    <m/>
    <m/>
    <m/>
    <m/>
    <m/>
    <m/>
    <m/>
    <m/>
    <m/>
    <m/>
    <m/>
    <m/>
    <m/>
    <m/>
    <m/>
    <m/>
    <m/>
    <m/>
    <m/>
    <m/>
    <m/>
    <m/>
  </r>
  <r>
    <m/>
    <m/>
    <x v="3"/>
    <n v="59.72"/>
    <x v="7"/>
    <x v="64"/>
    <s v="Clements Norgaard BLK 1"/>
    <s v=""/>
    <s v=" "/>
    <n v="22.5"/>
    <m/>
    <x v="6"/>
    <m/>
    <m/>
    <m/>
    <m/>
    <m/>
    <m/>
    <m/>
    <m/>
    <m/>
    <m/>
    <m/>
    <m/>
    <m/>
    <m/>
    <m/>
    <m/>
    <m/>
    <m/>
    <m/>
    <m/>
    <m/>
    <m/>
    <m/>
    <m/>
    <m/>
    <m/>
    <m/>
    <m/>
    <m/>
    <m/>
    <m/>
    <m/>
    <m/>
    <m/>
    <m/>
    <m/>
    <m/>
    <m/>
    <m/>
    <m/>
    <m/>
    <m/>
    <m/>
    <m/>
    <m/>
    <m/>
    <m/>
    <m/>
    <m/>
    <m/>
    <m/>
    <m/>
    <m/>
    <m/>
    <m/>
    <m/>
    <m/>
    <m/>
    <m/>
    <m/>
    <m/>
    <m/>
    <m/>
    <m/>
    <m/>
    <m/>
    <m/>
    <m/>
    <m/>
    <m/>
    <m/>
    <m/>
    <m/>
    <m/>
    <m/>
    <m/>
    <m/>
    <m/>
    <m/>
    <m/>
    <m/>
    <m/>
    <m/>
    <m/>
    <m/>
    <m/>
    <m/>
    <m/>
    <m/>
    <m/>
    <m/>
    <m/>
    <m/>
    <m/>
    <m/>
    <m/>
    <m/>
    <m/>
    <m/>
    <m/>
    <m/>
    <m/>
    <m/>
    <m/>
    <m/>
    <m/>
    <m/>
    <m/>
    <m/>
    <m/>
    <m/>
    <m/>
    <m/>
    <m/>
    <m/>
    <m/>
  </r>
  <r>
    <m/>
    <m/>
    <x v="3"/>
    <n v="86.1"/>
    <x v="7"/>
    <x v="65"/>
    <s v="Clements Paddy Creek BLK 7"/>
    <s v=""/>
    <s v=" "/>
    <n v="24"/>
    <m/>
    <x v="2"/>
    <m/>
    <m/>
    <m/>
    <m/>
    <m/>
    <m/>
    <m/>
    <m/>
    <m/>
    <m/>
    <m/>
    <m/>
    <m/>
    <m/>
    <m/>
    <m/>
    <m/>
    <m/>
    <m/>
    <m/>
    <m/>
    <m/>
    <m/>
    <m/>
    <m/>
    <m/>
    <m/>
    <m/>
    <m/>
    <m/>
    <m/>
    <m/>
    <m/>
    <m/>
    <m/>
    <m/>
    <m/>
    <m/>
    <m/>
    <m/>
    <m/>
    <m/>
    <m/>
    <m/>
    <m/>
    <m/>
    <m/>
    <m/>
    <m/>
    <m/>
    <m/>
    <m/>
    <m/>
    <m/>
    <m/>
    <m/>
    <m/>
    <m/>
    <m/>
    <m/>
    <m/>
    <m/>
    <m/>
    <m/>
    <m/>
    <m/>
    <m/>
    <m/>
    <m/>
    <m/>
    <m/>
    <m/>
    <m/>
    <m/>
    <m/>
    <m/>
    <m/>
    <m/>
    <m/>
    <m/>
    <m/>
    <m/>
    <m/>
    <m/>
    <m/>
    <m/>
    <m/>
    <m/>
    <m/>
    <m/>
    <m/>
    <m/>
    <m/>
    <m/>
    <m/>
    <m/>
    <m/>
    <m/>
    <m/>
    <m/>
    <m/>
    <m/>
    <m/>
    <m/>
    <m/>
    <m/>
    <m/>
    <m/>
    <m/>
    <m/>
    <m/>
    <m/>
    <m/>
    <m/>
    <m/>
    <m/>
  </r>
  <r>
    <m/>
    <m/>
    <x v="3"/>
    <m/>
    <x v="7"/>
    <x v="65"/>
    <s v="Clements Paddy Creek BLK 7 - N"/>
    <s v=""/>
    <s v=" "/>
    <n v="24"/>
    <m/>
    <x v="2"/>
    <m/>
    <m/>
    <m/>
    <m/>
    <m/>
    <m/>
    <m/>
    <m/>
    <m/>
    <m/>
    <m/>
    <m/>
    <m/>
    <m/>
    <m/>
    <m/>
    <m/>
    <m/>
    <m/>
    <m/>
    <m/>
    <m/>
    <m/>
    <m/>
    <m/>
    <m/>
    <m/>
    <m/>
    <m/>
    <m/>
    <m/>
    <m/>
    <m/>
    <m/>
    <m/>
    <m/>
    <m/>
    <m/>
    <m/>
    <m/>
    <m/>
    <m/>
    <m/>
    <m/>
    <m/>
    <m/>
    <m/>
    <m/>
    <m/>
    <m/>
    <m/>
    <m/>
    <m/>
    <m/>
    <m/>
    <m/>
    <m/>
    <m/>
    <m/>
    <m/>
    <m/>
    <m/>
    <m/>
    <m/>
    <m/>
    <m/>
    <m/>
    <m/>
    <m/>
    <m/>
    <m/>
    <m/>
    <m/>
    <m/>
    <m/>
    <m/>
    <m/>
    <m/>
    <m/>
    <m/>
    <m/>
    <m/>
    <m/>
    <m/>
    <m/>
    <m/>
    <m/>
    <m/>
    <m/>
    <m/>
    <m/>
    <m/>
    <m/>
    <m/>
    <m/>
    <m/>
    <m/>
    <m/>
    <m/>
    <m/>
    <m/>
    <m/>
    <m/>
    <m/>
    <m/>
    <m/>
    <m/>
    <m/>
    <m/>
    <m/>
    <m/>
    <m/>
    <m/>
    <m/>
    <m/>
    <m/>
  </r>
  <r>
    <m/>
    <m/>
    <x v="3"/>
    <m/>
    <x v="7"/>
    <x v="65"/>
    <s v="Clements Paddy Creek BLK 7 - S"/>
    <s v=""/>
    <s v=" "/>
    <n v="24"/>
    <m/>
    <x v="2"/>
    <m/>
    <m/>
    <m/>
    <m/>
    <m/>
    <m/>
    <m/>
    <m/>
    <m/>
    <m/>
    <m/>
    <m/>
    <m/>
    <m/>
    <m/>
    <m/>
    <m/>
    <m/>
    <m/>
    <m/>
    <m/>
    <m/>
    <m/>
    <m/>
    <m/>
    <m/>
    <m/>
    <m/>
    <m/>
    <m/>
    <m/>
    <m/>
    <m/>
    <m/>
    <m/>
    <m/>
    <m/>
    <m/>
    <m/>
    <m/>
    <m/>
    <m/>
    <m/>
    <m/>
    <m/>
    <m/>
    <m/>
    <m/>
    <m/>
    <m/>
    <m/>
    <m/>
    <m/>
    <m/>
    <m/>
    <m/>
    <m/>
    <m/>
    <m/>
    <m/>
    <m/>
    <m/>
    <m/>
    <m/>
    <m/>
    <m/>
    <m/>
    <m/>
    <m/>
    <m/>
    <m/>
    <m/>
    <m/>
    <m/>
    <m/>
    <m/>
    <m/>
    <m/>
    <m/>
    <m/>
    <m/>
    <m/>
    <m/>
    <m/>
    <m/>
    <m/>
    <m/>
    <m/>
    <m/>
    <m/>
    <m/>
    <m/>
    <m/>
    <m/>
    <m/>
    <m/>
    <m/>
    <m/>
    <m/>
    <m/>
    <m/>
    <m/>
    <m/>
    <m/>
    <m/>
    <m/>
    <m/>
    <m/>
    <m/>
    <m/>
    <m/>
    <m/>
    <m/>
    <m/>
    <m/>
    <m/>
  </r>
  <r>
    <m/>
    <s v="Y"/>
    <x v="3"/>
    <n v="83.51"/>
    <x v="7"/>
    <x v="66"/>
    <s v="Clements Peters"/>
    <s v=""/>
    <s v=" "/>
    <n v="24"/>
    <n v="24.5"/>
    <x v="12"/>
    <m/>
    <m/>
    <m/>
    <m/>
    <m/>
    <m/>
    <m/>
    <m/>
    <m/>
    <m/>
    <m/>
    <m/>
    <m/>
    <m/>
    <m/>
    <m/>
    <m/>
    <m/>
    <m/>
    <m/>
    <m/>
    <m/>
    <m/>
    <m/>
    <m/>
    <m/>
    <m/>
    <m/>
    <m/>
    <m/>
    <m/>
    <m/>
    <m/>
    <m/>
    <m/>
    <m/>
    <m/>
    <m/>
    <m/>
    <m/>
    <m/>
    <m/>
    <m/>
    <m/>
    <m/>
    <m/>
    <m/>
    <m/>
    <m/>
    <m/>
    <m/>
    <m/>
    <m/>
    <m/>
    <m/>
    <m/>
    <m/>
    <m/>
    <m/>
    <m/>
    <m/>
    <m/>
    <m/>
    <m/>
    <m/>
    <m/>
    <m/>
    <m/>
    <m/>
    <m/>
    <m/>
    <m/>
    <m/>
    <m/>
    <m/>
    <m/>
    <m/>
    <m/>
    <m/>
    <m/>
    <m/>
    <m/>
    <m/>
    <m/>
    <m/>
    <m/>
    <m/>
    <m/>
    <m/>
    <m/>
    <m/>
    <m/>
    <m/>
    <m/>
    <m/>
    <m/>
    <m/>
    <m/>
    <m/>
    <m/>
    <m/>
    <m/>
    <m/>
    <m/>
    <m/>
    <m/>
    <m/>
    <m/>
    <m/>
    <m/>
    <m/>
    <m/>
    <m/>
    <m/>
    <m/>
    <m/>
  </r>
  <r>
    <m/>
    <s v="Y"/>
    <x v="3"/>
    <m/>
    <x v="7"/>
    <x v="66"/>
    <s v="Clements Peters - N"/>
    <s v=""/>
    <s v=" "/>
    <n v="24"/>
    <n v="24.5"/>
    <x v="12"/>
    <m/>
    <m/>
    <m/>
    <m/>
    <m/>
    <m/>
    <m/>
    <m/>
    <m/>
    <m/>
    <m/>
    <m/>
    <m/>
    <m/>
    <m/>
    <m/>
    <m/>
    <m/>
    <m/>
    <m/>
    <m/>
    <m/>
    <m/>
    <m/>
    <m/>
    <m/>
    <m/>
    <m/>
    <m/>
    <m/>
    <m/>
    <m/>
    <m/>
    <m/>
    <m/>
    <m/>
    <m/>
    <m/>
    <m/>
    <m/>
    <m/>
    <m/>
    <m/>
    <m/>
    <m/>
    <m/>
    <m/>
    <m/>
    <m/>
    <m/>
    <m/>
    <m/>
    <m/>
    <m/>
    <m/>
    <m/>
    <m/>
    <m/>
    <m/>
    <m/>
    <m/>
    <m/>
    <m/>
    <m/>
    <m/>
    <m/>
    <m/>
    <m/>
    <m/>
    <m/>
    <m/>
    <m/>
    <m/>
    <m/>
    <m/>
    <m/>
    <m/>
    <m/>
    <m/>
    <m/>
    <m/>
    <m/>
    <m/>
    <m/>
    <m/>
    <m/>
    <m/>
    <m/>
    <m/>
    <m/>
    <m/>
    <m/>
    <m/>
    <m/>
    <m/>
    <m/>
    <m/>
    <m/>
    <m/>
    <m/>
    <m/>
    <m/>
    <m/>
    <m/>
    <m/>
    <m/>
    <m/>
    <m/>
    <m/>
    <m/>
    <m/>
    <m/>
    <m/>
    <m/>
    <m/>
    <m/>
  </r>
  <r>
    <m/>
    <s v="Y"/>
    <x v="3"/>
    <m/>
    <x v="7"/>
    <x v="66"/>
    <s v="Clements Peters - S"/>
    <s v=""/>
    <s v=" "/>
    <n v="24"/>
    <n v="24.5"/>
    <x v="12"/>
    <m/>
    <m/>
    <m/>
    <m/>
    <m/>
    <m/>
    <m/>
    <m/>
    <m/>
    <m/>
    <m/>
    <m/>
    <m/>
    <m/>
    <m/>
    <m/>
    <m/>
    <m/>
    <m/>
    <m/>
    <m/>
    <m/>
    <m/>
    <m/>
    <m/>
    <m/>
    <m/>
    <m/>
    <m/>
    <m/>
    <m/>
    <m/>
    <m/>
    <m/>
    <m/>
    <m/>
    <m/>
    <m/>
    <m/>
    <m/>
    <m/>
    <m/>
    <m/>
    <m/>
    <m/>
    <m/>
    <m/>
    <m/>
    <m/>
    <m/>
    <m/>
    <m/>
    <m/>
    <m/>
    <m/>
    <m/>
    <m/>
    <m/>
    <m/>
    <m/>
    <m/>
    <m/>
    <m/>
    <m/>
    <m/>
    <m/>
    <m/>
    <m/>
    <m/>
    <m/>
    <m/>
    <m/>
    <m/>
    <m/>
    <m/>
    <m/>
    <m/>
    <m/>
    <m/>
    <m/>
    <m/>
    <m/>
    <m/>
    <m/>
    <m/>
    <m/>
    <m/>
    <m/>
    <m/>
    <m/>
    <m/>
    <m/>
    <m/>
    <m/>
    <m/>
    <m/>
    <m/>
    <m/>
    <m/>
    <m/>
    <m/>
    <m/>
    <m/>
    <m/>
    <m/>
    <m/>
    <m/>
    <m/>
    <m/>
    <m/>
    <m/>
    <m/>
    <m/>
    <m/>
    <m/>
    <m/>
  </r>
  <r>
    <m/>
    <s v="Y"/>
    <x v="3"/>
    <n v="33.39"/>
    <x v="7"/>
    <x v="67"/>
    <s v="Cook BLK 1"/>
    <s v=""/>
    <s v=" "/>
    <n v="24"/>
    <n v="24.5"/>
    <x v="1"/>
    <m/>
    <m/>
    <m/>
    <m/>
    <m/>
    <m/>
    <m/>
    <m/>
    <m/>
    <m/>
    <m/>
    <m/>
    <m/>
    <m/>
    <m/>
    <m/>
    <m/>
    <m/>
    <m/>
    <m/>
    <m/>
    <m/>
    <m/>
    <m/>
    <m/>
    <m/>
    <m/>
    <m/>
    <m/>
    <m/>
    <m/>
    <m/>
    <m/>
    <m/>
    <m/>
    <m/>
    <m/>
    <m/>
    <m/>
    <m/>
    <m/>
    <m/>
    <m/>
    <m/>
    <m/>
    <m/>
    <m/>
    <m/>
    <m/>
    <m/>
    <m/>
    <m/>
    <m/>
    <m/>
    <m/>
    <m/>
    <m/>
    <m/>
    <m/>
    <m/>
    <m/>
    <m/>
    <m/>
    <m/>
    <m/>
    <m/>
    <m/>
    <m/>
    <m/>
    <m/>
    <m/>
    <m/>
    <m/>
    <m/>
    <m/>
    <m/>
    <m/>
    <m/>
    <m/>
    <m/>
    <m/>
    <m/>
    <m/>
    <m/>
    <m/>
    <m/>
    <m/>
    <m/>
    <m/>
    <m/>
    <m/>
    <m/>
    <m/>
    <m/>
    <m/>
    <m/>
    <m/>
    <m/>
    <m/>
    <m/>
    <m/>
    <m/>
    <m/>
    <m/>
    <m/>
    <m/>
    <m/>
    <m/>
    <m/>
    <m/>
    <m/>
    <m/>
    <m/>
    <m/>
    <m/>
    <m/>
  </r>
  <r>
    <m/>
    <s v="Y"/>
    <x v="1"/>
    <n v="7.58"/>
    <x v="7"/>
    <x v="68"/>
    <s v="Donald, Brian Airport BLK 1 (Old)"/>
    <d v="2023-09-06T00:00:00"/>
    <n v="15.8"/>
    <m/>
    <n v="24.5"/>
    <x v="1"/>
    <m/>
    <m/>
    <m/>
    <m/>
    <m/>
    <m/>
    <m/>
    <m/>
    <m/>
    <m/>
    <m/>
    <m/>
    <m/>
    <m/>
    <m/>
    <m/>
    <m/>
    <m/>
    <m/>
    <m/>
    <m/>
    <m/>
    <m/>
    <m/>
    <m/>
    <m/>
    <m/>
    <m/>
    <m/>
    <m/>
    <m/>
    <m/>
    <m/>
    <m/>
    <m/>
    <m/>
    <m/>
    <m/>
    <m/>
    <m/>
    <n v="15.8"/>
    <m/>
    <m/>
    <m/>
    <m/>
    <m/>
    <m/>
    <m/>
    <m/>
    <m/>
    <m/>
    <m/>
    <m/>
    <m/>
    <m/>
    <m/>
    <m/>
    <m/>
    <m/>
    <m/>
    <m/>
    <m/>
    <m/>
    <m/>
    <m/>
    <m/>
    <m/>
    <m/>
    <m/>
    <m/>
    <m/>
    <m/>
    <m/>
    <m/>
    <m/>
    <m/>
    <m/>
    <m/>
    <m/>
    <m/>
    <m/>
    <m/>
    <m/>
    <m/>
    <m/>
    <m/>
    <m/>
    <m/>
    <m/>
    <m/>
    <m/>
    <m/>
    <m/>
    <m/>
    <m/>
    <m/>
    <m/>
    <m/>
    <m/>
    <m/>
    <m/>
    <m/>
    <m/>
    <m/>
    <m/>
    <m/>
    <m/>
    <m/>
    <m/>
    <m/>
    <m/>
    <m/>
    <m/>
    <m/>
    <m/>
    <m/>
  </r>
  <r>
    <m/>
    <s v="Y"/>
    <x v="1"/>
    <n v="9.27"/>
    <x v="7"/>
    <x v="69"/>
    <s v="Donald, Brian Airport BLK 4"/>
    <d v="2023-09-06T00:00:00"/>
    <n v="19"/>
    <m/>
    <n v="24.5"/>
    <x v="1"/>
    <m/>
    <m/>
    <m/>
    <m/>
    <m/>
    <m/>
    <m/>
    <m/>
    <m/>
    <m/>
    <m/>
    <m/>
    <m/>
    <m/>
    <m/>
    <m/>
    <m/>
    <m/>
    <m/>
    <m/>
    <m/>
    <m/>
    <m/>
    <m/>
    <m/>
    <m/>
    <m/>
    <m/>
    <m/>
    <m/>
    <m/>
    <m/>
    <m/>
    <m/>
    <m/>
    <m/>
    <m/>
    <m/>
    <m/>
    <m/>
    <n v="19"/>
    <m/>
    <m/>
    <m/>
    <m/>
    <m/>
    <m/>
    <m/>
    <m/>
    <m/>
    <m/>
    <m/>
    <m/>
    <m/>
    <m/>
    <m/>
    <m/>
    <m/>
    <m/>
    <m/>
    <m/>
    <m/>
    <m/>
    <m/>
    <m/>
    <m/>
    <m/>
    <m/>
    <m/>
    <m/>
    <m/>
    <m/>
    <m/>
    <m/>
    <m/>
    <m/>
    <m/>
    <m/>
    <m/>
    <m/>
    <m/>
    <m/>
    <m/>
    <m/>
    <m/>
    <m/>
    <m/>
    <m/>
    <m/>
    <m/>
    <m/>
    <m/>
    <m/>
    <m/>
    <m/>
    <m/>
    <m/>
    <m/>
    <m/>
    <m/>
    <m/>
    <m/>
    <m/>
    <m/>
    <m/>
    <m/>
    <m/>
    <m/>
    <m/>
    <m/>
    <m/>
    <m/>
    <m/>
    <m/>
    <m/>
    <m/>
  </r>
  <r>
    <m/>
    <s v="Y"/>
    <x v="1"/>
    <n v="28.83"/>
    <x v="7"/>
    <x v="70"/>
    <s v="Donald, Fred Davis BLK 1"/>
    <s v=""/>
    <s v=" "/>
    <n v="22.5"/>
    <n v="24.5"/>
    <x v="1"/>
    <m/>
    <m/>
    <m/>
    <m/>
    <m/>
    <m/>
    <m/>
    <m/>
    <m/>
    <m/>
    <m/>
    <m/>
    <m/>
    <m/>
    <m/>
    <m/>
    <m/>
    <m/>
    <m/>
    <m/>
    <m/>
    <m/>
    <m/>
    <m/>
    <m/>
    <m/>
    <m/>
    <m/>
    <m/>
    <m/>
    <m/>
    <m/>
    <m/>
    <m/>
    <m/>
    <m/>
    <m/>
    <m/>
    <m/>
    <m/>
    <m/>
    <m/>
    <m/>
    <m/>
    <m/>
    <m/>
    <m/>
    <m/>
    <m/>
    <m/>
    <m/>
    <m/>
    <m/>
    <m/>
    <m/>
    <m/>
    <m/>
    <m/>
    <m/>
    <m/>
    <m/>
    <m/>
    <m/>
    <m/>
    <m/>
    <m/>
    <m/>
    <m/>
    <m/>
    <m/>
    <m/>
    <m/>
    <m/>
    <m/>
    <m/>
    <m/>
    <m/>
    <m/>
    <m/>
    <m/>
    <m/>
    <m/>
    <m/>
    <m/>
    <m/>
    <m/>
    <m/>
    <m/>
    <m/>
    <m/>
    <m/>
    <m/>
    <m/>
    <m/>
    <m/>
    <m/>
    <m/>
    <m/>
    <m/>
    <m/>
    <m/>
    <m/>
    <m/>
    <m/>
    <m/>
    <m/>
    <m/>
    <m/>
    <m/>
    <m/>
    <m/>
    <m/>
    <m/>
    <m/>
    <m/>
    <m/>
  </r>
  <r>
    <m/>
    <s v="Y"/>
    <x v="1"/>
    <n v="6.97"/>
    <x v="7"/>
    <x v="71"/>
    <s v="Donald, Fred Davis BLK 6 - Rubens"/>
    <s v=""/>
    <s v=" "/>
    <m/>
    <n v="24.5"/>
    <x v="1"/>
    <m/>
    <m/>
    <m/>
    <m/>
    <m/>
    <m/>
    <m/>
    <m/>
    <m/>
    <m/>
    <m/>
    <m/>
    <m/>
    <m/>
    <m/>
    <m/>
    <m/>
    <m/>
    <m/>
    <m/>
    <m/>
    <m/>
    <m/>
    <m/>
    <m/>
    <m/>
    <m/>
    <m/>
    <m/>
    <m/>
    <m/>
    <m/>
    <m/>
    <m/>
    <m/>
    <m/>
    <m/>
    <m/>
    <m/>
    <m/>
    <m/>
    <m/>
    <m/>
    <m/>
    <m/>
    <m/>
    <m/>
    <m/>
    <m/>
    <m/>
    <m/>
    <m/>
    <m/>
    <m/>
    <m/>
    <m/>
    <m/>
    <m/>
    <m/>
    <m/>
    <m/>
    <m/>
    <m/>
    <m/>
    <m/>
    <m/>
    <m/>
    <m/>
    <m/>
    <m/>
    <m/>
    <m/>
    <m/>
    <m/>
    <m/>
    <m/>
    <m/>
    <m/>
    <m/>
    <m/>
    <m/>
    <m/>
    <m/>
    <m/>
    <m/>
    <m/>
    <m/>
    <m/>
    <m/>
    <m/>
    <m/>
    <m/>
    <m/>
    <m/>
    <m/>
    <m/>
    <m/>
    <m/>
    <m/>
    <m/>
    <m/>
    <m/>
    <m/>
    <m/>
    <m/>
    <m/>
    <m/>
    <m/>
    <m/>
    <m/>
    <m/>
    <m/>
    <m/>
    <m/>
    <m/>
    <m/>
  </r>
  <r>
    <m/>
    <s v="Y"/>
    <x v="1"/>
    <n v="17.14"/>
    <x v="7"/>
    <x v="72"/>
    <s v="Henretty"/>
    <s v=""/>
    <s v=" "/>
    <m/>
    <n v="24.5"/>
    <x v="1"/>
    <m/>
    <m/>
    <m/>
    <m/>
    <m/>
    <m/>
    <m/>
    <m/>
    <m/>
    <m/>
    <m/>
    <m/>
    <m/>
    <m/>
    <m/>
    <m/>
    <m/>
    <m/>
    <m/>
    <m/>
    <m/>
    <m/>
    <m/>
    <m/>
    <m/>
    <m/>
    <m/>
    <m/>
    <m/>
    <m/>
    <m/>
    <m/>
    <m/>
    <m/>
    <m/>
    <m/>
    <m/>
    <m/>
    <m/>
    <m/>
    <m/>
    <m/>
    <m/>
    <m/>
    <m/>
    <m/>
    <m/>
    <m/>
    <m/>
    <m/>
    <m/>
    <m/>
    <m/>
    <m/>
    <m/>
    <m/>
    <m/>
    <m/>
    <m/>
    <m/>
    <m/>
    <m/>
    <m/>
    <m/>
    <m/>
    <m/>
    <m/>
    <m/>
    <m/>
    <m/>
    <m/>
    <m/>
    <m/>
    <m/>
    <m/>
    <m/>
    <m/>
    <m/>
    <m/>
    <m/>
    <m/>
    <m/>
    <m/>
    <m/>
    <m/>
    <m/>
    <m/>
    <m/>
    <m/>
    <m/>
    <m/>
    <m/>
    <m/>
    <m/>
    <m/>
    <m/>
    <m/>
    <m/>
    <m/>
    <m/>
    <m/>
    <m/>
    <m/>
    <m/>
    <m/>
    <m/>
    <m/>
    <m/>
    <m/>
    <m/>
    <m/>
    <m/>
    <m/>
    <m/>
    <m/>
    <m/>
  </r>
  <r>
    <m/>
    <s v="Y"/>
    <x v="1"/>
    <n v="44.56"/>
    <x v="7"/>
    <x v="73"/>
    <s v="Hilder Vines B4 CS"/>
    <d v="2023-08-31T00:00:00"/>
    <n v="19"/>
    <n v="25"/>
    <m/>
    <x v="7"/>
    <m/>
    <m/>
    <m/>
    <m/>
    <m/>
    <m/>
    <m/>
    <m/>
    <m/>
    <m/>
    <m/>
    <m/>
    <m/>
    <m/>
    <m/>
    <m/>
    <m/>
    <m/>
    <m/>
    <m/>
    <m/>
    <m/>
    <m/>
    <m/>
    <m/>
    <m/>
    <m/>
    <m/>
    <m/>
    <m/>
    <m/>
    <m/>
    <m/>
    <m/>
    <n v="19"/>
    <m/>
    <m/>
    <m/>
    <m/>
    <m/>
    <m/>
    <m/>
    <m/>
    <m/>
    <m/>
    <m/>
    <m/>
    <m/>
    <m/>
    <m/>
    <m/>
    <m/>
    <m/>
    <m/>
    <m/>
    <m/>
    <m/>
    <m/>
    <m/>
    <m/>
    <m/>
    <m/>
    <m/>
    <m/>
    <m/>
    <m/>
    <m/>
    <m/>
    <m/>
    <m/>
    <m/>
    <m/>
    <m/>
    <m/>
    <m/>
    <m/>
    <m/>
    <m/>
    <m/>
    <m/>
    <m/>
    <m/>
    <m/>
    <m/>
    <m/>
    <m/>
    <m/>
    <m/>
    <m/>
    <m/>
    <m/>
    <m/>
    <m/>
    <m/>
    <m/>
    <m/>
    <m/>
    <m/>
    <m/>
    <m/>
    <m/>
    <m/>
    <m/>
    <m/>
    <m/>
    <m/>
    <m/>
    <m/>
    <m/>
    <m/>
    <m/>
    <m/>
    <m/>
    <m/>
    <m/>
    <m/>
  </r>
  <r>
    <m/>
    <s v="Y"/>
    <x v="1"/>
    <m/>
    <x v="7"/>
    <x v="73"/>
    <s v="Hilder Vines BLK 4 (North)"/>
    <s v=""/>
    <s v=" "/>
    <n v="25"/>
    <m/>
    <x v="7"/>
    <m/>
    <m/>
    <m/>
    <m/>
    <m/>
    <m/>
    <m/>
    <m/>
    <m/>
    <m/>
    <m/>
    <m/>
    <m/>
    <m/>
    <m/>
    <m/>
    <m/>
    <m/>
    <m/>
    <m/>
    <m/>
    <m/>
    <m/>
    <m/>
    <m/>
    <m/>
    <m/>
    <m/>
    <m/>
    <m/>
    <m/>
    <m/>
    <m/>
    <m/>
    <m/>
    <m/>
    <m/>
    <m/>
    <m/>
    <m/>
    <m/>
    <m/>
    <m/>
    <m/>
    <m/>
    <m/>
    <m/>
    <m/>
    <m/>
    <m/>
    <m/>
    <m/>
    <m/>
    <m/>
    <m/>
    <m/>
    <m/>
    <m/>
    <m/>
    <m/>
    <m/>
    <m/>
    <m/>
    <m/>
    <m/>
    <m/>
    <m/>
    <m/>
    <m/>
    <m/>
    <m/>
    <m/>
    <m/>
    <m/>
    <m/>
    <m/>
    <m/>
    <m/>
    <m/>
    <m/>
    <m/>
    <m/>
    <m/>
    <m/>
    <m/>
    <m/>
    <m/>
    <m/>
    <m/>
    <m/>
    <m/>
    <m/>
    <m/>
    <m/>
    <m/>
    <m/>
    <m/>
    <m/>
    <m/>
    <m/>
    <m/>
    <m/>
    <m/>
    <m/>
    <m/>
    <m/>
    <m/>
    <m/>
    <m/>
    <m/>
    <m/>
    <m/>
    <m/>
    <m/>
    <m/>
    <m/>
  </r>
  <r>
    <m/>
    <s v="Y"/>
    <x v="1"/>
    <m/>
    <x v="7"/>
    <x v="73"/>
    <s v="Hilder Vines BLK 4 (South)"/>
    <s v=""/>
    <s v=" "/>
    <n v="25"/>
    <m/>
    <x v="7"/>
    <m/>
    <m/>
    <m/>
    <m/>
    <m/>
    <m/>
    <m/>
    <m/>
    <m/>
    <m/>
    <m/>
    <m/>
    <m/>
    <m/>
    <m/>
    <m/>
    <m/>
    <m/>
    <m/>
    <m/>
    <m/>
    <m/>
    <m/>
    <m/>
    <m/>
    <m/>
    <m/>
    <m/>
    <m/>
    <m/>
    <m/>
    <m/>
    <m/>
    <m/>
    <m/>
    <m/>
    <m/>
    <m/>
    <m/>
    <m/>
    <m/>
    <m/>
    <m/>
    <m/>
    <m/>
    <m/>
    <m/>
    <m/>
    <m/>
    <m/>
    <m/>
    <m/>
    <m/>
    <m/>
    <m/>
    <m/>
    <m/>
    <m/>
    <m/>
    <m/>
    <m/>
    <m/>
    <m/>
    <m/>
    <m/>
    <m/>
    <m/>
    <m/>
    <m/>
    <m/>
    <m/>
    <m/>
    <m/>
    <m/>
    <m/>
    <m/>
    <m/>
    <m/>
    <m/>
    <m/>
    <m/>
    <m/>
    <m/>
    <m/>
    <m/>
    <m/>
    <m/>
    <m/>
    <m/>
    <m/>
    <m/>
    <m/>
    <m/>
    <m/>
    <m/>
    <m/>
    <m/>
    <m/>
    <m/>
    <m/>
    <m/>
    <m/>
    <m/>
    <m/>
    <m/>
    <m/>
    <m/>
    <m/>
    <m/>
    <m/>
    <m/>
    <m/>
    <m/>
    <m/>
    <m/>
    <m/>
  </r>
  <r>
    <m/>
    <m/>
    <x v="1"/>
    <n v="3.95"/>
    <x v="7"/>
    <x v="74"/>
    <s v="Iffi Wahla BLK 1"/>
    <s v=""/>
    <s v=" "/>
    <m/>
    <n v="24.5"/>
    <x v="1"/>
    <m/>
    <m/>
    <m/>
    <m/>
    <m/>
    <m/>
    <m/>
    <m/>
    <m/>
    <m/>
    <m/>
    <m/>
    <m/>
    <m/>
    <m/>
    <m/>
    <m/>
    <m/>
    <m/>
    <m/>
    <m/>
    <m/>
    <m/>
    <m/>
    <m/>
    <m/>
    <m/>
    <m/>
    <m/>
    <m/>
    <m/>
    <m/>
    <m/>
    <m/>
    <m/>
    <m/>
    <m/>
    <m/>
    <m/>
    <m/>
    <m/>
    <m/>
    <m/>
    <m/>
    <m/>
    <m/>
    <m/>
    <m/>
    <m/>
    <m/>
    <m/>
    <m/>
    <m/>
    <m/>
    <m/>
    <m/>
    <m/>
    <m/>
    <m/>
    <m/>
    <m/>
    <m/>
    <m/>
    <m/>
    <m/>
    <m/>
    <m/>
    <m/>
    <m/>
    <m/>
    <m/>
    <m/>
    <m/>
    <m/>
    <m/>
    <m/>
    <m/>
    <m/>
    <m/>
    <m/>
    <m/>
    <m/>
    <m/>
    <m/>
    <m/>
    <m/>
    <m/>
    <m/>
    <m/>
    <m/>
    <m/>
    <m/>
    <m/>
    <m/>
    <m/>
    <m/>
    <m/>
    <m/>
    <m/>
    <m/>
    <m/>
    <m/>
    <m/>
    <m/>
    <m/>
    <m/>
    <m/>
    <m/>
    <m/>
    <m/>
    <m/>
    <m/>
    <m/>
    <m/>
    <m/>
    <m/>
  </r>
  <r>
    <m/>
    <m/>
    <x v="1"/>
    <n v="36.409999999999997"/>
    <x v="7"/>
    <x v="75"/>
    <s v="Kidd B4 CS"/>
    <d v="2023-08-31T00:00:00"/>
    <s v="19.6*"/>
    <m/>
    <m/>
    <x v="2"/>
    <m/>
    <m/>
    <m/>
    <m/>
    <m/>
    <m/>
    <m/>
    <m/>
    <m/>
    <m/>
    <m/>
    <m/>
    <m/>
    <m/>
    <m/>
    <m/>
    <m/>
    <m/>
    <m/>
    <m/>
    <m/>
    <m/>
    <m/>
    <m/>
    <m/>
    <m/>
    <m/>
    <m/>
    <m/>
    <m/>
    <m/>
    <m/>
    <m/>
    <m/>
    <s v="19.6*"/>
    <m/>
    <m/>
    <m/>
    <m/>
    <m/>
    <m/>
    <m/>
    <m/>
    <m/>
    <m/>
    <m/>
    <m/>
    <m/>
    <m/>
    <m/>
    <m/>
    <m/>
    <m/>
    <m/>
    <m/>
    <m/>
    <m/>
    <m/>
    <m/>
    <m/>
    <m/>
    <m/>
    <m/>
    <m/>
    <m/>
    <m/>
    <m/>
    <m/>
    <m/>
    <m/>
    <m/>
    <m/>
    <m/>
    <m/>
    <m/>
    <m/>
    <m/>
    <m/>
    <m/>
    <m/>
    <m/>
    <m/>
    <m/>
    <m/>
    <m/>
    <m/>
    <m/>
    <m/>
    <m/>
    <m/>
    <m/>
    <m/>
    <m/>
    <m/>
    <m/>
    <m/>
    <m/>
    <m/>
    <m/>
    <m/>
    <m/>
    <m/>
    <m/>
    <m/>
    <m/>
    <m/>
    <m/>
    <m/>
    <m/>
    <m/>
    <m/>
    <m/>
    <m/>
    <m/>
    <m/>
    <m/>
  </r>
  <r>
    <m/>
    <s v="Y"/>
    <x v="1"/>
    <n v="43.1"/>
    <x v="7"/>
    <x v="76"/>
    <s v="LaPrima - BLK 5"/>
    <s v=""/>
    <s v=" "/>
    <n v="25"/>
    <m/>
    <x v="13"/>
    <m/>
    <m/>
    <m/>
    <m/>
    <m/>
    <m/>
    <m/>
    <m/>
    <m/>
    <m/>
    <m/>
    <m/>
    <m/>
    <m/>
    <m/>
    <m/>
    <m/>
    <m/>
    <m/>
    <m/>
    <m/>
    <m/>
    <m/>
    <m/>
    <m/>
    <m/>
    <m/>
    <m/>
    <m/>
    <m/>
    <m/>
    <m/>
    <m/>
    <m/>
    <m/>
    <m/>
    <m/>
    <m/>
    <m/>
    <m/>
    <m/>
    <m/>
    <m/>
    <m/>
    <m/>
    <m/>
    <m/>
    <m/>
    <m/>
    <m/>
    <m/>
    <m/>
    <m/>
    <m/>
    <m/>
    <m/>
    <m/>
    <m/>
    <m/>
    <m/>
    <m/>
    <m/>
    <m/>
    <m/>
    <m/>
    <m/>
    <m/>
    <m/>
    <m/>
    <m/>
    <m/>
    <m/>
    <m/>
    <m/>
    <m/>
    <m/>
    <m/>
    <m/>
    <m/>
    <m/>
    <m/>
    <m/>
    <m/>
    <m/>
    <m/>
    <m/>
    <m/>
    <m/>
    <m/>
    <m/>
    <m/>
    <m/>
    <m/>
    <m/>
    <m/>
    <m/>
    <m/>
    <m/>
    <m/>
    <m/>
    <m/>
    <m/>
    <m/>
    <m/>
    <m/>
    <m/>
    <m/>
    <m/>
    <m/>
    <m/>
    <m/>
    <m/>
    <m/>
    <m/>
    <m/>
    <m/>
  </r>
  <r>
    <m/>
    <s v="Y"/>
    <x v="1"/>
    <m/>
    <x v="7"/>
    <x v="76"/>
    <s v="LaPrima - BLK 5 N"/>
    <s v=""/>
    <s v=" "/>
    <n v="25"/>
    <m/>
    <x v="13"/>
    <m/>
    <m/>
    <m/>
    <m/>
    <m/>
    <m/>
    <m/>
    <m/>
    <m/>
    <m/>
    <m/>
    <m/>
    <m/>
    <m/>
    <m/>
    <m/>
    <m/>
    <m/>
    <m/>
    <m/>
    <m/>
    <m/>
    <m/>
    <m/>
    <m/>
    <m/>
    <m/>
    <m/>
    <m/>
    <m/>
    <m/>
    <m/>
    <m/>
    <m/>
    <m/>
    <m/>
    <m/>
    <m/>
    <m/>
    <m/>
    <m/>
    <m/>
    <m/>
    <m/>
    <m/>
    <m/>
    <m/>
    <m/>
    <m/>
    <m/>
    <m/>
    <m/>
    <m/>
    <m/>
    <m/>
    <m/>
    <m/>
    <m/>
    <m/>
    <m/>
    <m/>
    <m/>
    <m/>
    <m/>
    <m/>
    <m/>
    <m/>
    <m/>
    <m/>
    <m/>
    <m/>
    <m/>
    <m/>
    <m/>
    <m/>
    <m/>
    <m/>
    <m/>
    <m/>
    <m/>
    <m/>
    <m/>
    <m/>
    <m/>
    <m/>
    <m/>
    <m/>
    <m/>
    <m/>
    <m/>
    <m/>
    <m/>
    <m/>
    <m/>
    <m/>
    <m/>
    <m/>
    <m/>
    <m/>
    <m/>
    <m/>
    <m/>
    <m/>
    <m/>
    <m/>
    <m/>
    <m/>
    <m/>
    <m/>
    <m/>
    <m/>
    <m/>
    <m/>
    <m/>
    <m/>
    <m/>
  </r>
  <r>
    <m/>
    <s v="Y"/>
    <x v="1"/>
    <m/>
    <x v="7"/>
    <x v="76"/>
    <s v="LaPrima - BLK 5 S"/>
    <s v=""/>
    <s v=" "/>
    <n v="25"/>
    <m/>
    <x v="13"/>
    <m/>
    <m/>
    <m/>
    <m/>
    <m/>
    <m/>
    <m/>
    <m/>
    <m/>
    <m/>
    <m/>
    <m/>
    <m/>
    <m/>
    <m/>
    <m/>
    <m/>
    <m/>
    <m/>
    <m/>
    <m/>
    <m/>
    <m/>
    <m/>
    <m/>
    <m/>
    <m/>
    <m/>
    <m/>
    <m/>
    <m/>
    <m/>
    <m/>
    <m/>
    <m/>
    <m/>
    <m/>
    <m/>
    <m/>
    <m/>
    <m/>
    <m/>
    <m/>
    <m/>
    <m/>
    <m/>
    <m/>
    <m/>
    <m/>
    <m/>
    <m/>
    <m/>
    <m/>
    <m/>
    <m/>
    <m/>
    <m/>
    <m/>
    <m/>
    <m/>
    <m/>
    <m/>
    <m/>
    <m/>
    <m/>
    <m/>
    <m/>
    <m/>
    <m/>
    <m/>
    <m/>
    <m/>
    <m/>
    <m/>
    <m/>
    <m/>
    <m/>
    <m/>
    <m/>
    <m/>
    <m/>
    <m/>
    <m/>
    <m/>
    <m/>
    <m/>
    <m/>
    <m/>
    <m/>
    <m/>
    <m/>
    <m/>
    <m/>
    <m/>
    <m/>
    <m/>
    <m/>
    <m/>
    <m/>
    <m/>
    <m/>
    <m/>
    <m/>
    <m/>
    <m/>
    <m/>
    <m/>
    <m/>
    <m/>
    <m/>
    <m/>
    <m/>
    <m/>
    <m/>
    <m/>
    <m/>
  </r>
  <r>
    <m/>
    <s v="Y"/>
    <x v="1"/>
    <n v="49.01"/>
    <x v="7"/>
    <x v="77"/>
    <s v="LF 100 HiWire"/>
    <d v="2023-09-05T00:00:00"/>
    <s v="20.0*"/>
    <m/>
    <m/>
    <x v="2"/>
    <m/>
    <m/>
    <m/>
    <m/>
    <m/>
    <m/>
    <m/>
    <m/>
    <m/>
    <m/>
    <m/>
    <m/>
    <m/>
    <m/>
    <m/>
    <m/>
    <m/>
    <m/>
    <m/>
    <m/>
    <m/>
    <m/>
    <m/>
    <m/>
    <m/>
    <m/>
    <m/>
    <m/>
    <m/>
    <m/>
    <m/>
    <m/>
    <s v="18.7*"/>
    <m/>
    <m/>
    <m/>
    <m/>
    <m/>
    <m/>
    <s v="20.0*"/>
    <m/>
    <m/>
    <m/>
    <m/>
    <m/>
    <m/>
    <m/>
    <m/>
    <m/>
    <m/>
    <m/>
    <m/>
    <m/>
    <m/>
    <m/>
    <m/>
    <m/>
    <m/>
    <m/>
    <m/>
    <m/>
    <m/>
    <m/>
    <m/>
    <m/>
    <m/>
    <m/>
    <m/>
    <m/>
    <m/>
    <m/>
    <m/>
    <m/>
    <m/>
    <m/>
    <m/>
    <m/>
    <m/>
    <m/>
    <m/>
    <m/>
    <m/>
    <m/>
    <m/>
    <m/>
    <m/>
    <m/>
    <m/>
    <m/>
    <m/>
    <m/>
    <m/>
    <m/>
    <m/>
    <m/>
    <m/>
    <m/>
    <m/>
    <m/>
    <m/>
    <m/>
    <m/>
    <m/>
    <m/>
    <m/>
    <m/>
    <m/>
    <m/>
    <m/>
    <m/>
    <m/>
    <m/>
    <m/>
    <m/>
    <m/>
    <m/>
  </r>
  <r>
    <m/>
    <s v="Y"/>
    <x v="1"/>
    <m/>
    <x v="7"/>
    <x v="77"/>
    <s v="LF 100 N"/>
    <s v=""/>
    <s v=" "/>
    <m/>
    <m/>
    <x v="2"/>
    <m/>
    <m/>
    <m/>
    <m/>
    <m/>
    <m/>
    <m/>
    <m/>
    <m/>
    <m/>
    <m/>
    <m/>
    <m/>
    <m/>
    <m/>
    <m/>
    <m/>
    <m/>
    <m/>
    <m/>
    <m/>
    <m/>
    <m/>
    <m/>
    <m/>
    <m/>
    <m/>
    <m/>
    <m/>
    <m/>
    <m/>
    <m/>
    <m/>
    <m/>
    <m/>
    <m/>
    <m/>
    <m/>
    <m/>
    <m/>
    <m/>
    <m/>
    <m/>
    <m/>
    <m/>
    <m/>
    <m/>
    <m/>
    <m/>
    <m/>
    <m/>
    <m/>
    <m/>
    <m/>
    <m/>
    <m/>
    <m/>
    <m/>
    <m/>
    <m/>
    <m/>
    <m/>
    <m/>
    <m/>
    <m/>
    <m/>
    <m/>
    <m/>
    <m/>
    <m/>
    <m/>
    <m/>
    <m/>
    <m/>
    <m/>
    <m/>
    <m/>
    <m/>
    <m/>
    <m/>
    <m/>
    <m/>
    <m/>
    <m/>
    <m/>
    <m/>
    <m/>
    <m/>
    <m/>
    <m/>
    <m/>
    <m/>
    <m/>
    <m/>
    <m/>
    <m/>
    <m/>
    <m/>
    <m/>
    <m/>
    <m/>
    <m/>
    <m/>
    <m/>
    <m/>
    <m/>
    <m/>
    <m/>
    <m/>
    <m/>
    <m/>
    <m/>
    <m/>
    <m/>
    <m/>
    <m/>
  </r>
  <r>
    <m/>
    <s v="Y"/>
    <x v="1"/>
    <m/>
    <x v="7"/>
    <x v="77"/>
    <s v="LF 100 S"/>
    <s v=""/>
    <s v=" "/>
    <m/>
    <m/>
    <x v="2"/>
    <m/>
    <m/>
    <m/>
    <m/>
    <m/>
    <m/>
    <m/>
    <m/>
    <m/>
    <m/>
    <m/>
    <m/>
    <m/>
    <m/>
    <m/>
    <m/>
    <m/>
    <m/>
    <m/>
    <m/>
    <m/>
    <m/>
    <m/>
    <m/>
    <m/>
    <m/>
    <m/>
    <m/>
    <m/>
    <m/>
    <m/>
    <m/>
    <m/>
    <m/>
    <m/>
    <m/>
    <m/>
    <m/>
    <m/>
    <m/>
    <m/>
    <m/>
    <m/>
    <m/>
    <m/>
    <m/>
    <m/>
    <m/>
    <m/>
    <m/>
    <m/>
    <m/>
    <m/>
    <m/>
    <m/>
    <m/>
    <m/>
    <m/>
    <m/>
    <m/>
    <m/>
    <m/>
    <m/>
    <m/>
    <m/>
    <m/>
    <m/>
    <m/>
    <m/>
    <m/>
    <m/>
    <m/>
    <m/>
    <m/>
    <m/>
    <m/>
    <m/>
    <m/>
    <m/>
    <m/>
    <m/>
    <m/>
    <m/>
    <m/>
    <m/>
    <m/>
    <m/>
    <m/>
    <m/>
    <m/>
    <m/>
    <m/>
    <m/>
    <m/>
    <m/>
    <m/>
    <m/>
    <m/>
    <m/>
    <m/>
    <m/>
    <m/>
    <m/>
    <m/>
    <m/>
    <m/>
    <m/>
    <m/>
    <m/>
    <m/>
    <m/>
    <m/>
    <m/>
    <m/>
    <m/>
    <m/>
  </r>
  <r>
    <m/>
    <s v="Y"/>
    <x v="1"/>
    <n v="48.52"/>
    <x v="7"/>
    <x v="78"/>
    <s v="LF 38 "/>
    <s v=""/>
    <s v=" "/>
    <m/>
    <n v="24.5"/>
    <x v="1"/>
    <m/>
    <m/>
    <m/>
    <m/>
    <m/>
    <m/>
    <m/>
    <m/>
    <m/>
    <m/>
    <m/>
    <m/>
    <m/>
    <m/>
    <m/>
    <m/>
    <m/>
    <m/>
    <m/>
    <m/>
    <m/>
    <m/>
    <m/>
    <m/>
    <m/>
    <m/>
    <m/>
    <m/>
    <m/>
    <m/>
    <m/>
    <m/>
    <m/>
    <m/>
    <m/>
    <m/>
    <m/>
    <m/>
    <m/>
    <m/>
    <m/>
    <m/>
    <m/>
    <m/>
    <m/>
    <m/>
    <m/>
    <m/>
    <m/>
    <m/>
    <m/>
    <m/>
    <m/>
    <m/>
    <m/>
    <m/>
    <m/>
    <m/>
    <m/>
    <m/>
    <m/>
    <m/>
    <m/>
    <m/>
    <m/>
    <m/>
    <m/>
    <m/>
    <m/>
    <m/>
    <m/>
    <m/>
    <m/>
    <m/>
    <m/>
    <m/>
    <m/>
    <m/>
    <m/>
    <m/>
    <m/>
    <m/>
    <m/>
    <m/>
    <m/>
    <m/>
    <m/>
    <m/>
    <m/>
    <m/>
    <m/>
    <m/>
    <m/>
    <m/>
    <m/>
    <m/>
    <m/>
    <m/>
    <m/>
    <m/>
    <m/>
    <m/>
    <m/>
    <m/>
    <m/>
    <m/>
    <m/>
    <m/>
    <m/>
    <m/>
    <m/>
    <m/>
    <m/>
    <m/>
    <m/>
    <m/>
  </r>
  <r>
    <m/>
    <s v="Y"/>
    <x v="1"/>
    <m/>
    <x v="7"/>
    <x v="78"/>
    <s v="LF 38 - N of pump"/>
    <s v=""/>
    <s v=" "/>
    <m/>
    <n v="24.5"/>
    <x v="1"/>
    <m/>
    <m/>
    <m/>
    <m/>
    <m/>
    <m/>
    <m/>
    <m/>
    <m/>
    <m/>
    <m/>
    <m/>
    <m/>
    <m/>
    <m/>
    <m/>
    <m/>
    <m/>
    <m/>
    <m/>
    <m/>
    <m/>
    <m/>
    <m/>
    <m/>
    <m/>
    <m/>
    <m/>
    <m/>
    <m/>
    <m/>
    <m/>
    <m/>
    <m/>
    <m/>
    <m/>
    <m/>
    <m/>
    <m/>
    <m/>
    <m/>
    <m/>
    <m/>
    <m/>
    <m/>
    <m/>
    <m/>
    <m/>
    <m/>
    <m/>
    <m/>
    <m/>
    <m/>
    <m/>
    <m/>
    <m/>
    <m/>
    <m/>
    <m/>
    <m/>
    <m/>
    <m/>
    <m/>
    <m/>
    <m/>
    <m/>
    <m/>
    <m/>
    <m/>
    <m/>
    <m/>
    <m/>
    <m/>
    <m/>
    <m/>
    <m/>
    <m/>
    <m/>
    <m/>
    <m/>
    <m/>
    <m/>
    <m/>
    <m/>
    <m/>
    <m/>
    <m/>
    <m/>
    <m/>
    <m/>
    <m/>
    <m/>
    <m/>
    <m/>
    <m/>
    <m/>
    <m/>
    <m/>
    <m/>
    <m/>
    <m/>
    <m/>
    <m/>
    <m/>
    <m/>
    <m/>
    <m/>
    <m/>
    <m/>
    <m/>
    <m/>
    <m/>
    <m/>
    <m/>
    <m/>
    <m/>
  </r>
  <r>
    <m/>
    <s v="Y"/>
    <x v="1"/>
    <m/>
    <x v="7"/>
    <x v="78"/>
    <s v="LF 38 - S of pump"/>
    <s v=""/>
    <s v=" "/>
    <m/>
    <n v="24.5"/>
    <x v="1"/>
    <m/>
    <m/>
    <m/>
    <m/>
    <m/>
    <m/>
    <m/>
    <m/>
    <m/>
    <m/>
    <m/>
    <m/>
    <m/>
    <m/>
    <m/>
    <m/>
    <m/>
    <m/>
    <m/>
    <m/>
    <m/>
    <m/>
    <m/>
    <m/>
    <m/>
    <m/>
    <m/>
    <m/>
    <m/>
    <m/>
    <m/>
    <m/>
    <m/>
    <m/>
    <m/>
    <m/>
    <m/>
    <m/>
    <m/>
    <m/>
    <m/>
    <m/>
    <m/>
    <m/>
    <m/>
    <m/>
    <m/>
    <m/>
    <m/>
    <m/>
    <m/>
    <m/>
    <m/>
    <m/>
    <m/>
    <m/>
    <m/>
    <m/>
    <m/>
    <m/>
    <m/>
    <m/>
    <m/>
    <m/>
    <m/>
    <m/>
    <m/>
    <m/>
    <m/>
    <m/>
    <m/>
    <m/>
    <m/>
    <m/>
    <m/>
    <m/>
    <m/>
    <m/>
    <m/>
    <m/>
    <m/>
    <m/>
    <m/>
    <m/>
    <m/>
    <m/>
    <m/>
    <m/>
    <m/>
    <m/>
    <m/>
    <m/>
    <m/>
    <m/>
    <m/>
    <m/>
    <m/>
    <m/>
    <m/>
    <m/>
    <m/>
    <m/>
    <m/>
    <m/>
    <m/>
    <m/>
    <m/>
    <m/>
    <m/>
    <m/>
    <m/>
    <m/>
    <m/>
    <m/>
    <m/>
    <m/>
  </r>
  <r>
    <m/>
    <m/>
    <x v="1"/>
    <n v="83.49"/>
    <x v="7"/>
    <x v="79"/>
    <s v="LF Gill Creek"/>
    <d v="2023-08-31T00:00:00"/>
    <n v="18.2"/>
    <n v="22.5"/>
    <m/>
    <x v="6"/>
    <m/>
    <m/>
    <m/>
    <m/>
    <m/>
    <m/>
    <m/>
    <m/>
    <m/>
    <m/>
    <m/>
    <m/>
    <m/>
    <m/>
    <m/>
    <m/>
    <m/>
    <m/>
    <m/>
    <m/>
    <m/>
    <m/>
    <m/>
    <m/>
    <m/>
    <m/>
    <m/>
    <m/>
    <m/>
    <m/>
    <m/>
    <m/>
    <m/>
    <m/>
    <n v="18.2"/>
    <m/>
    <m/>
    <m/>
    <m/>
    <m/>
    <m/>
    <m/>
    <m/>
    <m/>
    <m/>
    <m/>
    <m/>
    <m/>
    <m/>
    <m/>
    <m/>
    <m/>
    <m/>
    <m/>
    <m/>
    <m/>
    <m/>
    <m/>
    <m/>
    <m/>
    <m/>
    <m/>
    <m/>
    <m/>
    <m/>
    <m/>
    <m/>
    <m/>
    <m/>
    <m/>
    <m/>
    <m/>
    <m/>
    <m/>
    <m/>
    <m/>
    <m/>
    <m/>
    <m/>
    <m/>
    <m/>
    <m/>
    <m/>
    <m/>
    <m/>
    <m/>
    <m/>
    <m/>
    <m/>
    <m/>
    <m/>
    <m/>
    <m/>
    <m/>
    <m/>
    <m/>
    <m/>
    <m/>
    <m/>
    <m/>
    <m/>
    <m/>
    <m/>
    <m/>
    <m/>
    <m/>
    <m/>
    <m/>
    <m/>
    <m/>
    <m/>
    <m/>
    <m/>
    <m/>
    <m/>
    <m/>
  </r>
  <r>
    <m/>
    <m/>
    <x v="1"/>
    <m/>
    <x v="7"/>
    <x v="79"/>
    <s v="LF Gill Creek - N"/>
    <s v=""/>
    <s v=" "/>
    <n v="22.5"/>
    <m/>
    <x v="6"/>
    <m/>
    <m/>
    <m/>
    <m/>
    <m/>
    <m/>
    <m/>
    <m/>
    <m/>
    <m/>
    <m/>
    <m/>
    <m/>
    <m/>
    <m/>
    <m/>
    <m/>
    <m/>
    <m/>
    <m/>
    <m/>
    <m/>
    <m/>
    <m/>
    <m/>
    <m/>
    <m/>
    <m/>
    <m/>
    <m/>
    <m/>
    <m/>
    <m/>
    <m/>
    <m/>
    <m/>
    <m/>
    <m/>
    <m/>
    <m/>
    <m/>
    <m/>
    <m/>
    <m/>
    <m/>
    <m/>
    <m/>
    <m/>
    <m/>
    <m/>
    <m/>
    <m/>
    <m/>
    <m/>
    <m/>
    <m/>
    <m/>
    <m/>
    <m/>
    <m/>
    <m/>
    <m/>
    <m/>
    <m/>
    <m/>
    <m/>
    <m/>
    <m/>
    <m/>
    <m/>
    <m/>
    <m/>
    <m/>
    <m/>
    <m/>
    <m/>
    <m/>
    <m/>
    <m/>
    <m/>
    <m/>
    <m/>
    <m/>
    <m/>
    <m/>
    <m/>
    <m/>
    <m/>
    <m/>
    <m/>
    <m/>
    <m/>
    <m/>
    <m/>
    <m/>
    <m/>
    <m/>
    <m/>
    <m/>
    <m/>
    <m/>
    <m/>
    <m/>
    <m/>
    <m/>
    <m/>
    <m/>
    <m/>
    <m/>
    <m/>
    <m/>
    <m/>
    <m/>
    <m/>
    <m/>
    <m/>
  </r>
  <r>
    <m/>
    <m/>
    <x v="1"/>
    <m/>
    <x v="7"/>
    <x v="79"/>
    <s v="LF Gill Creek - S"/>
    <s v=""/>
    <s v=" "/>
    <n v="22.5"/>
    <m/>
    <x v="6"/>
    <m/>
    <m/>
    <m/>
    <m/>
    <m/>
    <m/>
    <m/>
    <m/>
    <m/>
    <m/>
    <m/>
    <m/>
    <m/>
    <m/>
    <m/>
    <m/>
    <m/>
    <m/>
    <m/>
    <m/>
    <m/>
    <m/>
    <m/>
    <m/>
    <m/>
    <m/>
    <m/>
    <m/>
    <m/>
    <m/>
    <m/>
    <m/>
    <m/>
    <m/>
    <m/>
    <m/>
    <m/>
    <m/>
    <m/>
    <m/>
    <m/>
    <m/>
    <m/>
    <m/>
    <m/>
    <m/>
    <m/>
    <m/>
    <m/>
    <m/>
    <m/>
    <m/>
    <m/>
    <m/>
    <m/>
    <m/>
    <m/>
    <m/>
    <m/>
    <m/>
    <m/>
    <m/>
    <m/>
    <m/>
    <m/>
    <m/>
    <m/>
    <m/>
    <m/>
    <m/>
    <m/>
    <m/>
    <m/>
    <m/>
    <m/>
    <m/>
    <m/>
    <m/>
    <m/>
    <m/>
    <m/>
    <m/>
    <m/>
    <m/>
    <m/>
    <m/>
    <m/>
    <m/>
    <m/>
    <m/>
    <m/>
    <m/>
    <m/>
    <m/>
    <m/>
    <m/>
    <m/>
    <m/>
    <m/>
    <m/>
    <m/>
    <m/>
    <m/>
    <m/>
    <m/>
    <m/>
    <m/>
    <m/>
    <m/>
    <m/>
    <m/>
    <m/>
    <m/>
    <m/>
    <m/>
    <m/>
  </r>
  <r>
    <m/>
    <m/>
    <x v="1"/>
    <n v="54.49"/>
    <x v="7"/>
    <x v="80"/>
    <s v="LF JW1 BLK 4"/>
    <s v=""/>
    <s v=" "/>
    <m/>
    <n v="24.5"/>
    <x v="1"/>
    <m/>
    <m/>
    <m/>
    <m/>
    <m/>
    <m/>
    <m/>
    <m/>
    <m/>
    <m/>
    <m/>
    <m/>
    <m/>
    <m/>
    <m/>
    <m/>
    <m/>
    <m/>
    <m/>
    <m/>
    <m/>
    <m/>
    <m/>
    <m/>
    <m/>
    <m/>
    <m/>
    <m/>
    <m/>
    <m/>
    <m/>
    <m/>
    <m/>
    <m/>
    <m/>
    <m/>
    <m/>
    <m/>
    <m/>
    <m/>
    <m/>
    <m/>
    <m/>
    <m/>
    <m/>
    <m/>
    <m/>
    <m/>
    <m/>
    <m/>
    <m/>
    <m/>
    <m/>
    <m/>
    <m/>
    <m/>
    <m/>
    <m/>
    <m/>
    <m/>
    <m/>
    <m/>
    <m/>
    <m/>
    <m/>
    <m/>
    <m/>
    <m/>
    <m/>
    <m/>
    <m/>
    <m/>
    <m/>
    <m/>
    <m/>
    <m/>
    <m/>
    <m/>
    <m/>
    <m/>
    <m/>
    <m/>
    <m/>
    <m/>
    <m/>
    <m/>
    <m/>
    <m/>
    <m/>
    <m/>
    <m/>
    <m/>
    <m/>
    <m/>
    <m/>
    <m/>
    <m/>
    <m/>
    <m/>
    <m/>
    <m/>
    <m/>
    <m/>
    <m/>
    <m/>
    <m/>
    <m/>
    <m/>
    <m/>
    <m/>
    <m/>
    <m/>
    <m/>
    <m/>
    <m/>
    <m/>
  </r>
  <r>
    <m/>
    <s v="Y"/>
    <x v="1"/>
    <n v="40.39"/>
    <x v="7"/>
    <x v="81"/>
    <s v="LF JW3 BLK 1 (Juans)"/>
    <s v=""/>
    <s v=" "/>
    <m/>
    <n v="24.5"/>
    <x v="1"/>
    <m/>
    <m/>
    <m/>
    <m/>
    <m/>
    <m/>
    <m/>
    <m/>
    <m/>
    <m/>
    <m/>
    <m/>
    <m/>
    <m/>
    <m/>
    <m/>
    <m/>
    <m/>
    <m/>
    <m/>
    <m/>
    <m/>
    <m/>
    <m/>
    <m/>
    <m/>
    <m/>
    <m/>
    <m/>
    <m/>
    <m/>
    <m/>
    <m/>
    <m/>
    <m/>
    <m/>
    <m/>
    <m/>
    <m/>
    <m/>
    <m/>
    <m/>
    <m/>
    <m/>
    <m/>
    <m/>
    <m/>
    <m/>
    <m/>
    <m/>
    <m/>
    <m/>
    <m/>
    <m/>
    <m/>
    <m/>
    <m/>
    <m/>
    <m/>
    <m/>
    <m/>
    <m/>
    <m/>
    <m/>
    <m/>
    <m/>
    <m/>
    <m/>
    <m/>
    <m/>
    <m/>
    <m/>
    <m/>
    <m/>
    <m/>
    <m/>
    <m/>
    <m/>
    <m/>
    <m/>
    <m/>
    <m/>
    <m/>
    <m/>
    <m/>
    <m/>
    <m/>
    <m/>
    <m/>
    <m/>
    <m/>
    <m/>
    <m/>
    <m/>
    <m/>
    <m/>
    <m/>
    <m/>
    <m/>
    <m/>
    <m/>
    <m/>
    <m/>
    <m/>
    <m/>
    <m/>
    <m/>
    <m/>
    <m/>
    <m/>
    <m/>
    <m/>
    <m/>
    <m/>
    <m/>
    <m/>
  </r>
  <r>
    <m/>
    <s v="Y"/>
    <x v="1"/>
    <m/>
    <x v="7"/>
    <x v="81"/>
    <s v="LF JW3 BLK 1 (Juans) - N"/>
    <s v=""/>
    <s v=" "/>
    <m/>
    <n v="24.5"/>
    <x v="1"/>
    <m/>
    <m/>
    <m/>
    <m/>
    <m/>
    <m/>
    <m/>
    <m/>
    <m/>
    <m/>
    <m/>
    <m/>
    <m/>
    <m/>
    <m/>
    <m/>
    <m/>
    <m/>
    <m/>
    <m/>
    <m/>
    <m/>
    <m/>
    <m/>
    <m/>
    <m/>
    <m/>
    <m/>
    <m/>
    <m/>
    <m/>
    <m/>
    <m/>
    <m/>
    <m/>
    <m/>
    <m/>
    <m/>
    <m/>
    <m/>
    <m/>
    <m/>
    <m/>
    <m/>
    <m/>
    <m/>
    <m/>
    <m/>
    <m/>
    <m/>
    <m/>
    <m/>
    <m/>
    <m/>
    <m/>
    <m/>
    <m/>
    <m/>
    <m/>
    <m/>
    <m/>
    <m/>
    <m/>
    <m/>
    <m/>
    <m/>
    <m/>
    <m/>
    <m/>
    <m/>
    <m/>
    <m/>
    <m/>
    <m/>
    <m/>
    <m/>
    <m/>
    <m/>
    <m/>
    <m/>
    <m/>
    <m/>
    <m/>
    <m/>
    <m/>
    <m/>
    <m/>
    <m/>
    <m/>
    <m/>
    <m/>
    <m/>
    <m/>
    <m/>
    <m/>
    <m/>
    <m/>
    <m/>
    <m/>
    <m/>
    <m/>
    <m/>
    <m/>
    <m/>
    <m/>
    <m/>
    <m/>
    <m/>
    <m/>
    <m/>
    <m/>
    <m/>
    <m/>
    <m/>
    <m/>
    <m/>
  </r>
  <r>
    <m/>
    <s v="Y"/>
    <x v="1"/>
    <m/>
    <x v="7"/>
    <x v="81"/>
    <s v="LF JW3 BLK 1 (Juans) - S"/>
    <s v=""/>
    <s v=" "/>
    <m/>
    <n v="24.5"/>
    <x v="1"/>
    <m/>
    <m/>
    <m/>
    <m/>
    <m/>
    <m/>
    <m/>
    <m/>
    <m/>
    <m/>
    <m/>
    <m/>
    <m/>
    <m/>
    <m/>
    <m/>
    <m/>
    <m/>
    <m/>
    <m/>
    <m/>
    <m/>
    <m/>
    <m/>
    <m/>
    <m/>
    <m/>
    <m/>
    <m/>
    <m/>
    <m/>
    <m/>
    <m/>
    <m/>
    <m/>
    <m/>
    <m/>
    <m/>
    <m/>
    <m/>
    <m/>
    <m/>
    <m/>
    <m/>
    <m/>
    <m/>
    <m/>
    <m/>
    <m/>
    <m/>
    <m/>
    <m/>
    <m/>
    <m/>
    <m/>
    <m/>
    <m/>
    <m/>
    <m/>
    <m/>
    <m/>
    <m/>
    <m/>
    <m/>
    <m/>
    <m/>
    <m/>
    <m/>
    <m/>
    <m/>
    <m/>
    <m/>
    <m/>
    <m/>
    <m/>
    <m/>
    <m/>
    <m/>
    <m/>
    <m/>
    <m/>
    <m/>
    <m/>
    <m/>
    <m/>
    <m/>
    <m/>
    <m/>
    <m/>
    <m/>
    <m/>
    <m/>
    <m/>
    <m/>
    <m/>
    <m/>
    <m/>
    <m/>
    <m/>
    <m/>
    <m/>
    <m/>
    <m/>
    <m/>
    <m/>
    <m/>
    <m/>
    <m/>
    <m/>
    <m/>
    <m/>
    <m/>
    <m/>
    <m/>
    <m/>
    <m/>
  </r>
  <r>
    <m/>
    <s v="Y"/>
    <x v="1"/>
    <n v="34.83"/>
    <x v="7"/>
    <x v="82"/>
    <s v="LF Railroad"/>
    <d v="2023-09-05T00:00:00"/>
    <n v="19.2"/>
    <n v="24"/>
    <n v="24.5"/>
    <x v="1"/>
    <m/>
    <m/>
    <m/>
    <m/>
    <m/>
    <m/>
    <m/>
    <m/>
    <m/>
    <m/>
    <m/>
    <m/>
    <m/>
    <m/>
    <m/>
    <m/>
    <m/>
    <m/>
    <m/>
    <m/>
    <m/>
    <m/>
    <m/>
    <m/>
    <m/>
    <m/>
    <m/>
    <m/>
    <m/>
    <m/>
    <m/>
    <m/>
    <m/>
    <m/>
    <m/>
    <m/>
    <m/>
    <m/>
    <m/>
    <n v="19.2"/>
    <m/>
    <m/>
    <m/>
    <m/>
    <m/>
    <m/>
    <m/>
    <m/>
    <m/>
    <m/>
    <m/>
    <m/>
    <m/>
    <m/>
    <m/>
    <m/>
    <m/>
    <m/>
    <m/>
    <m/>
    <m/>
    <m/>
    <m/>
    <m/>
    <m/>
    <m/>
    <m/>
    <m/>
    <m/>
    <m/>
    <m/>
    <m/>
    <m/>
    <m/>
    <m/>
    <m/>
    <m/>
    <m/>
    <m/>
    <m/>
    <m/>
    <m/>
    <m/>
    <m/>
    <m/>
    <m/>
    <m/>
    <m/>
    <m/>
    <m/>
    <m/>
    <m/>
    <m/>
    <m/>
    <m/>
    <m/>
    <m/>
    <m/>
    <m/>
    <m/>
    <m/>
    <m/>
    <m/>
    <m/>
    <m/>
    <m/>
    <m/>
    <m/>
    <m/>
    <m/>
    <m/>
    <m/>
    <m/>
    <m/>
    <m/>
    <m/>
  </r>
  <r>
    <m/>
    <s v="Y"/>
    <x v="1"/>
    <n v="11.29"/>
    <x v="7"/>
    <x v="83"/>
    <s v="LF River BLK 2"/>
    <d v="2023-09-09T00:00:00"/>
    <n v="18.399999999999999"/>
    <m/>
    <n v="24.5"/>
    <x v="1"/>
    <m/>
    <m/>
    <m/>
    <m/>
    <m/>
    <m/>
    <m/>
    <m/>
    <m/>
    <m/>
    <m/>
    <m/>
    <m/>
    <m/>
    <m/>
    <m/>
    <m/>
    <m/>
    <m/>
    <m/>
    <m/>
    <m/>
    <m/>
    <m/>
    <m/>
    <m/>
    <m/>
    <m/>
    <m/>
    <m/>
    <m/>
    <m/>
    <m/>
    <m/>
    <m/>
    <m/>
    <m/>
    <m/>
    <m/>
    <m/>
    <m/>
    <m/>
    <m/>
    <n v="18.399999999999999"/>
    <m/>
    <m/>
    <m/>
    <m/>
    <m/>
    <m/>
    <m/>
    <m/>
    <m/>
    <m/>
    <m/>
    <m/>
    <m/>
    <m/>
    <m/>
    <m/>
    <m/>
    <m/>
    <m/>
    <m/>
    <m/>
    <m/>
    <m/>
    <m/>
    <m/>
    <m/>
    <m/>
    <m/>
    <m/>
    <m/>
    <m/>
    <m/>
    <m/>
    <m/>
    <m/>
    <m/>
    <m/>
    <m/>
    <m/>
    <m/>
    <m/>
    <m/>
    <m/>
    <m/>
    <m/>
    <m/>
    <m/>
    <m/>
    <m/>
    <m/>
    <m/>
    <m/>
    <m/>
    <m/>
    <m/>
    <m/>
    <m/>
    <m/>
    <m/>
    <m/>
    <m/>
    <m/>
    <m/>
    <m/>
    <m/>
    <m/>
    <m/>
    <m/>
    <m/>
    <m/>
    <m/>
    <m/>
  </r>
  <r>
    <m/>
    <s v="Y"/>
    <x v="1"/>
    <n v="8.48"/>
    <x v="7"/>
    <x v="84"/>
    <s v="LF River BLK 4 (across slough)"/>
    <d v="2023-09-09T00:00:00"/>
    <n v="19.399999999999999"/>
    <m/>
    <n v="24.5"/>
    <x v="1"/>
    <m/>
    <m/>
    <m/>
    <m/>
    <m/>
    <m/>
    <m/>
    <m/>
    <m/>
    <m/>
    <m/>
    <m/>
    <m/>
    <m/>
    <m/>
    <m/>
    <m/>
    <m/>
    <m/>
    <m/>
    <m/>
    <m/>
    <m/>
    <m/>
    <m/>
    <m/>
    <m/>
    <m/>
    <m/>
    <m/>
    <m/>
    <m/>
    <m/>
    <m/>
    <m/>
    <m/>
    <m/>
    <m/>
    <m/>
    <m/>
    <m/>
    <m/>
    <m/>
    <n v="19.399999999999999"/>
    <m/>
    <m/>
    <m/>
    <m/>
    <m/>
    <m/>
    <m/>
    <m/>
    <m/>
    <m/>
    <m/>
    <m/>
    <m/>
    <m/>
    <m/>
    <m/>
    <m/>
    <m/>
    <m/>
    <m/>
    <m/>
    <m/>
    <m/>
    <m/>
    <m/>
    <m/>
    <m/>
    <m/>
    <m/>
    <m/>
    <m/>
    <m/>
    <m/>
    <m/>
    <m/>
    <m/>
    <m/>
    <m/>
    <m/>
    <m/>
    <m/>
    <m/>
    <m/>
    <m/>
    <m/>
    <m/>
    <m/>
    <m/>
    <m/>
    <m/>
    <m/>
    <m/>
    <m/>
    <m/>
    <m/>
    <m/>
    <m/>
    <m/>
    <m/>
    <m/>
    <m/>
    <m/>
    <m/>
    <m/>
    <m/>
    <m/>
    <m/>
    <m/>
    <m/>
    <m/>
    <m/>
    <m/>
  </r>
  <r>
    <m/>
    <s v="Y"/>
    <x v="1"/>
    <n v="57.29"/>
    <x v="7"/>
    <x v="85"/>
    <s v="LF Twin Oaks R1-64 (O39-16)"/>
    <s v=""/>
    <s v=" "/>
    <m/>
    <n v="24.5"/>
    <x v="1"/>
    <m/>
    <m/>
    <m/>
    <m/>
    <m/>
    <m/>
    <m/>
    <m/>
    <m/>
    <m/>
    <m/>
    <m/>
    <m/>
    <m/>
    <m/>
    <m/>
    <m/>
    <m/>
    <m/>
    <m/>
    <m/>
    <m/>
    <m/>
    <m/>
    <m/>
    <m/>
    <m/>
    <m/>
    <m/>
    <m/>
    <m/>
    <m/>
    <m/>
    <m/>
    <m/>
    <m/>
    <m/>
    <m/>
    <m/>
    <m/>
    <m/>
    <m/>
    <m/>
    <m/>
    <m/>
    <m/>
    <m/>
    <m/>
    <m/>
    <m/>
    <m/>
    <m/>
    <m/>
    <m/>
    <m/>
    <m/>
    <m/>
    <m/>
    <m/>
    <m/>
    <m/>
    <m/>
    <m/>
    <m/>
    <m/>
    <m/>
    <m/>
    <m/>
    <m/>
    <m/>
    <m/>
    <m/>
    <m/>
    <m/>
    <m/>
    <m/>
    <m/>
    <m/>
    <m/>
    <m/>
    <m/>
    <m/>
    <m/>
    <m/>
    <m/>
    <m/>
    <m/>
    <m/>
    <m/>
    <m/>
    <m/>
    <m/>
    <m/>
    <m/>
    <m/>
    <m/>
    <m/>
    <m/>
    <m/>
    <m/>
    <m/>
    <m/>
    <m/>
    <m/>
    <m/>
    <m/>
    <m/>
    <m/>
    <m/>
    <m/>
    <m/>
    <m/>
    <m/>
    <m/>
    <m/>
    <m/>
  </r>
  <r>
    <m/>
    <s v="Y"/>
    <x v="1"/>
    <m/>
    <x v="7"/>
    <x v="85"/>
    <s v="LF Twin Oaks R65-128 (GRN4)"/>
    <s v=""/>
    <s v=" "/>
    <m/>
    <n v="24.5"/>
    <x v="1"/>
    <m/>
    <m/>
    <m/>
    <m/>
    <m/>
    <m/>
    <m/>
    <m/>
    <m/>
    <m/>
    <m/>
    <m/>
    <m/>
    <m/>
    <m/>
    <m/>
    <m/>
    <m/>
    <m/>
    <m/>
    <m/>
    <m/>
    <m/>
    <m/>
    <m/>
    <m/>
    <m/>
    <m/>
    <m/>
    <m/>
    <m/>
    <m/>
    <m/>
    <m/>
    <m/>
    <m/>
    <m/>
    <m/>
    <m/>
    <m/>
    <m/>
    <m/>
    <m/>
    <m/>
    <m/>
    <m/>
    <m/>
    <m/>
    <m/>
    <m/>
    <m/>
    <m/>
    <m/>
    <m/>
    <m/>
    <m/>
    <m/>
    <m/>
    <m/>
    <m/>
    <m/>
    <m/>
    <m/>
    <m/>
    <m/>
    <m/>
    <m/>
    <m/>
    <m/>
    <m/>
    <m/>
    <m/>
    <m/>
    <m/>
    <m/>
    <m/>
    <m/>
    <m/>
    <m/>
    <m/>
    <m/>
    <m/>
    <m/>
    <m/>
    <m/>
    <m/>
    <m/>
    <m/>
    <m/>
    <m/>
    <m/>
    <m/>
    <m/>
    <m/>
    <m/>
    <m/>
    <m/>
    <m/>
    <m/>
    <m/>
    <m/>
    <m/>
    <m/>
    <m/>
    <m/>
    <m/>
    <m/>
    <m/>
    <m/>
    <m/>
    <m/>
    <m/>
    <m/>
    <m/>
    <m/>
    <m/>
  </r>
  <r>
    <m/>
    <m/>
    <x v="1"/>
    <n v="31.12"/>
    <x v="7"/>
    <x v="86"/>
    <s v="Mendonca B3 CS"/>
    <d v="2023-08-31T00:00:00"/>
    <s v="19.6*"/>
    <m/>
    <m/>
    <x v="2"/>
    <m/>
    <m/>
    <m/>
    <m/>
    <m/>
    <m/>
    <m/>
    <m/>
    <m/>
    <m/>
    <m/>
    <m/>
    <m/>
    <m/>
    <m/>
    <m/>
    <m/>
    <m/>
    <m/>
    <m/>
    <m/>
    <m/>
    <m/>
    <m/>
    <m/>
    <m/>
    <m/>
    <m/>
    <m/>
    <m/>
    <m/>
    <m/>
    <m/>
    <m/>
    <s v="19.6*"/>
    <m/>
    <m/>
    <m/>
    <m/>
    <m/>
    <m/>
    <m/>
    <m/>
    <m/>
    <m/>
    <m/>
    <m/>
    <m/>
    <m/>
    <m/>
    <m/>
    <m/>
    <m/>
    <m/>
    <m/>
    <m/>
    <m/>
    <m/>
    <m/>
    <m/>
    <m/>
    <m/>
    <m/>
    <m/>
    <m/>
    <m/>
    <m/>
    <m/>
    <m/>
    <m/>
    <m/>
    <m/>
    <m/>
    <m/>
    <m/>
    <m/>
    <m/>
    <m/>
    <m/>
    <m/>
    <m/>
    <m/>
    <m/>
    <m/>
    <m/>
    <m/>
    <m/>
    <m/>
    <m/>
    <m/>
    <m/>
    <m/>
    <m/>
    <m/>
    <m/>
    <m/>
    <m/>
    <m/>
    <m/>
    <m/>
    <m/>
    <m/>
    <m/>
    <m/>
    <m/>
    <m/>
    <m/>
    <m/>
    <m/>
    <m/>
    <m/>
    <m/>
    <m/>
    <m/>
    <m/>
    <m/>
  </r>
  <r>
    <m/>
    <s v="Y"/>
    <x v="3"/>
    <n v="35.04"/>
    <x v="7"/>
    <x v="87"/>
    <s v="MRP"/>
    <s v=""/>
    <s v=" "/>
    <n v="23.5"/>
    <m/>
    <x v="12"/>
    <m/>
    <m/>
    <m/>
    <m/>
    <m/>
    <m/>
    <m/>
    <m/>
    <m/>
    <m/>
    <m/>
    <m/>
    <m/>
    <m/>
    <m/>
    <m/>
    <m/>
    <m/>
    <m/>
    <m/>
    <m/>
    <m/>
    <m/>
    <m/>
    <m/>
    <m/>
    <m/>
    <m/>
    <m/>
    <m/>
    <m/>
    <m/>
    <m/>
    <m/>
    <m/>
    <m/>
    <m/>
    <m/>
    <m/>
    <m/>
    <m/>
    <m/>
    <m/>
    <m/>
    <m/>
    <m/>
    <m/>
    <m/>
    <m/>
    <m/>
    <m/>
    <m/>
    <m/>
    <m/>
    <m/>
    <m/>
    <m/>
    <m/>
    <m/>
    <m/>
    <m/>
    <m/>
    <m/>
    <m/>
    <m/>
    <m/>
    <m/>
    <m/>
    <m/>
    <m/>
    <m/>
    <m/>
    <m/>
    <m/>
    <m/>
    <m/>
    <m/>
    <m/>
    <m/>
    <m/>
    <m/>
    <m/>
    <m/>
    <m/>
    <m/>
    <m/>
    <m/>
    <m/>
    <m/>
    <m/>
    <m/>
    <m/>
    <m/>
    <m/>
    <m/>
    <m/>
    <m/>
    <m/>
    <m/>
    <m/>
    <m/>
    <m/>
    <m/>
    <m/>
    <m/>
    <m/>
    <m/>
    <m/>
    <m/>
    <m/>
    <m/>
    <m/>
    <m/>
    <m/>
    <m/>
    <m/>
  </r>
  <r>
    <m/>
    <m/>
    <x v="3"/>
    <n v="59.66"/>
    <x v="7"/>
    <x v="88"/>
    <s v="Patriot Oaks - Craig"/>
    <s v=""/>
    <s v=" "/>
    <n v="24"/>
    <n v="24.5"/>
    <x v="8"/>
    <m/>
    <m/>
    <m/>
    <m/>
    <m/>
    <m/>
    <m/>
    <m/>
    <m/>
    <m/>
    <m/>
    <m/>
    <m/>
    <m/>
    <m/>
    <m/>
    <m/>
    <m/>
    <m/>
    <m/>
    <m/>
    <m/>
    <m/>
    <m/>
    <m/>
    <m/>
    <m/>
    <m/>
    <m/>
    <m/>
    <m/>
    <m/>
    <m/>
    <m/>
    <m/>
    <m/>
    <m/>
    <m/>
    <m/>
    <m/>
    <m/>
    <m/>
    <m/>
    <m/>
    <m/>
    <m/>
    <m/>
    <m/>
    <m/>
    <m/>
    <m/>
    <m/>
    <m/>
    <m/>
    <m/>
    <m/>
    <m/>
    <m/>
    <m/>
    <m/>
    <m/>
    <m/>
    <m/>
    <m/>
    <m/>
    <m/>
    <m/>
    <m/>
    <m/>
    <m/>
    <m/>
    <m/>
    <m/>
    <m/>
    <m/>
    <m/>
    <m/>
    <m/>
    <m/>
    <m/>
    <m/>
    <m/>
    <m/>
    <m/>
    <m/>
    <m/>
    <m/>
    <m/>
    <m/>
    <m/>
    <m/>
    <m/>
    <m/>
    <m/>
    <m/>
    <m/>
    <m/>
    <m/>
    <m/>
    <m/>
    <m/>
    <m/>
    <m/>
    <m/>
    <m/>
    <m/>
    <m/>
    <m/>
    <m/>
    <m/>
    <m/>
    <m/>
    <m/>
    <m/>
    <m/>
    <m/>
  </r>
  <r>
    <m/>
    <m/>
    <x v="1"/>
    <n v="64.31"/>
    <x v="7"/>
    <x v="89"/>
    <s v="Ring"/>
    <s v=""/>
    <s v=" "/>
    <n v="22.5"/>
    <m/>
    <x v="14"/>
    <m/>
    <m/>
    <m/>
    <m/>
    <m/>
    <m/>
    <m/>
    <m/>
    <m/>
    <m/>
    <m/>
    <m/>
    <m/>
    <m/>
    <m/>
    <m/>
    <m/>
    <m/>
    <m/>
    <m/>
    <m/>
    <m/>
    <m/>
    <m/>
    <m/>
    <m/>
    <m/>
    <m/>
    <m/>
    <m/>
    <m/>
    <m/>
    <m/>
    <m/>
    <m/>
    <m/>
    <m/>
    <m/>
    <m/>
    <m/>
    <m/>
    <m/>
    <m/>
    <m/>
    <m/>
    <m/>
    <m/>
    <m/>
    <m/>
    <m/>
    <m/>
    <m/>
    <m/>
    <m/>
    <m/>
    <m/>
    <m/>
    <m/>
    <m/>
    <m/>
    <m/>
    <m/>
    <m/>
    <m/>
    <m/>
    <m/>
    <m/>
    <m/>
    <m/>
    <m/>
    <m/>
    <m/>
    <m/>
    <m/>
    <m/>
    <m/>
    <m/>
    <m/>
    <m/>
    <m/>
    <m/>
    <m/>
    <m/>
    <m/>
    <m/>
    <m/>
    <m/>
    <m/>
    <m/>
    <m/>
    <m/>
    <m/>
    <m/>
    <m/>
    <m/>
    <m/>
    <m/>
    <m/>
    <m/>
    <m/>
    <m/>
    <m/>
    <m/>
    <m/>
    <m/>
    <m/>
    <m/>
    <m/>
    <m/>
    <m/>
    <m/>
    <m/>
    <m/>
    <m/>
    <m/>
    <m/>
  </r>
  <r>
    <m/>
    <m/>
    <x v="1"/>
    <m/>
    <x v="7"/>
    <x v="89"/>
    <s v="Ring - Mid"/>
    <s v=""/>
    <s v=" "/>
    <n v="22.5"/>
    <m/>
    <x v="6"/>
    <m/>
    <m/>
    <m/>
    <m/>
    <m/>
    <m/>
    <m/>
    <m/>
    <m/>
    <m/>
    <m/>
    <m/>
    <m/>
    <m/>
    <m/>
    <m/>
    <m/>
    <m/>
    <m/>
    <m/>
    <m/>
    <m/>
    <m/>
    <m/>
    <m/>
    <m/>
    <m/>
    <m/>
    <m/>
    <m/>
    <m/>
    <m/>
    <m/>
    <m/>
    <m/>
    <m/>
    <m/>
    <m/>
    <m/>
    <m/>
    <m/>
    <m/>
    <m/>
    <m/>
    <m/>
    <m/>
    <m/>
    <m/>
    <m/>
    <m/>
    <m/>
    <m/>
    <m/>
    <m/>
    <m/>
    <m/>
    <m/>
    <m/>
    <m/>
    <m/>
    <m/>
    <m/>
    <m/>
    <m/>
    <m/>
    <m/>
    <m/>
    <m/>
    <m/>
    <m/>
    <m/>
    <m/>
    <m/>
    <m/>
    <m/>
    <m/>
    <m/>
    <m/>
    <m/>
    <m/>
    <m/>
    <m/>
    <m/>
    <m/>
    <m/>
    <m/>
    <m/>
    <m/>
    <m/>
    <m/>
    <m/>
    <m/>
    <m/>
    <m/>
    <m/>
    <m/>
    <m/>
    <m/>
    <m/>
    <m/>
    <m/>
    <m/>
    <m/>
    <m/>
    <m/>
    <m/>
    <m/>
    <m/>
    <m/>
    <m/>
    <m/>
    <m/>
    <m/>
    <m/>
    <m/>
    <m/>
  </r>
  <r>
    <m/>
    <m/>
    <x v="1"/>
    <m/>
    <x v="7"/>
    <x v="89"/>
    <s v="Ring - N"/>
    <d v="2023-09-05T00:00:00"/>
    <s v="19.1*"/>
    <n v="22.5"/>
    <m/>
    <x v="6"/>
    <m/>
    <m/>
    <m/>
    <m/>
    <m/>
    <m/>
    <m/>
    <m/>
    <m/>
    <m/>
    <m/>
    <m/>
    <m/>
    <m/>
    <m/>
    <m/>
    <m/>
    <m/>
    <m/>
    <m/>
    <m/>
    <m/>
    <m/>
    <m/>
    <m/>
    <m/>
    <m/>
    <m/>
    <m/>
    <m/>
    <m/>
    <m/>
    <s v="17.5*"/>
    <m/>
    <m/>
    <m/>
    <m/>
    <m/>
    <m/>
    <s v="19.1*"/>
    <m/>
    <m/>
    <m/>
    <m/>
    <m/>
    <m/>
    <m/>
    <m/>
    <m/>
    <m/>
    <m/>
    <m/>
    <m/>
    <m/>
    <m/>
    <m/>
    <m/>
    <m/>
    <m/>
    <m/>
    <m/>
    <m/>
    <m/>
    <m/>
    <m/>
    <m/>
    <m/>
    <m/>
    <m/>
    <m/>
    <m/>
    <m/>
    <m/>
    <m/>
    <m/>
    <m/>
    <m/>
    <m/>
    <m/>
    <m/>
    <m/>
    <m/>
    <m/>
    <m/>
    <m/>
    <m/>
    <m/>
    <m/>
    <m/>
    <m/>
    <m/>
    <m/>
    <m/>
    <m/>
    <m/>
    <m/>
    <m/>
    <m/>
    <m/>
    <m/>
    <m/>
    <m/>
    <m/>
    <m/>
    <m/>
    <m/>
    <m/>
    <m/>
    <m/>
    <m/>
    <m/>
    <m/>
    <m/>
    <m/>
    <m/>
    <m/>
  </r>
  <r>
    <m/>
    <m/>
    <x v="1"/>
    <m/>
    <x v="7"/>
    <x v="89"/>
    <s v="Ring - S"/>
    <d v="2023-09-05T00:00:00"/>
    <n v="19.2"/>
    <n v="22.5"/>
    <m/>
    <x v="6"/>
    <m/>
    <m/>
    <m/>
    <m/>
    <m/>
    <m/>
    <m/>
    <m/>
    <m/>
    <m/>
    <m/>
    <m/>
    <m/>
    <m/>
    <m/>
    <m/>
    <m/>
    <m/>
    <m/>
    <m/>
    <m/>
    <m/>
    <m/>
    <m/>
    <m/>
    <m/>
    <m/>
    <m/>
    <m/>
    <m/>
    <m/>
    <m/>
    <m/>
    <m/>
    <m/>
    <m/>
    <m/>
    <m/>
    <m/>
    <n v="19.2"/>
    <m/>
    <m/>
    <m/>
    <m/>
    <m/>
    <m/>
    <m/>
    <m/>
    <m/>
    <m/>
    <m/>
    <m/>
    <m/>
    <m/>
    <m/>
    <m/>
    <m/>
    <m/>
    <m/>
    <m/>
    <m/>
    <m/>
    <m/>
    <m/>
    <m/>
    <m/>
    <m/>
    <m/>
    <m/>
    <m/>
    <m/>
    <m/>
    <m/>
    <m/>
    <m/>
    <m/>
    <m/>
    <m/>
    <m/>
    <m/>
    <m/>
    <m/>
    <m/>
    <m/>
    <m/>
    <m/>
    <m/>
    <m/>
    <m/>
    <m/>
    <m/>
    <m/>
    <m/>
    <m/>
    <m/>
    <m/>
    <m/>
    <m/>
    <m/>
    <m/>
    <m/>
    <m/>
    <m/>
    <m/>
    <m/>
    <m/>
    <m/>
    <m/>
    <m/>
    <m/>
    <m/>
    <m/>
    <m/>
    <m/>
    <m/>
    <m/>
  </r>
  <r>
    <m/>
    <m/>
    <x v="3"/>
    <n v="4.2300000000000004"/>
    <x v="7"/>
    <x v="90"/>
    <s v="Rootstock BLK 2 VSP"/>
    <d v="2023-09-04T00:00:00"/>
    <n v="18.2"/>
    <n v="24"/>
    <n v="24.5"/>
    <x v="1"/>
    <m/>
    <m/>
    <m/>
    <m/>
    <m/>
    <m/>
    <m/>
    <m/>
    <m/>
    <m/>
    <m/>
    <m/>
    <m/>
    <m/>
    <m/>
    <m/>
    <m/>
    <m/>
    <m/>
    <m/>
    <m/>
    <m/>
    <m/>
    <m/>
    <m/>
    <m/>
    <m/>
    <m/>
    <m/>
    <m/>
    <m/>
    <m/>
    <m/>
    <m/>
    <m/>
    <m/>
    <m/>
    <m/>
    <n v="18.2"/>
    <m/>
    <m/>
    <m/>
    <m/>
    <m/>
    <m/>
    <m/>
    <m/>
    <m/>
    <m/>
    <m/>
    <m/>
    <m/>
    <m/>
    <m/>
    <m/>
    <m/>
    <m/>
    <m/>
    <m/>
    <m/>
    <m/>
    <m/>
    <m/>
    <m/>
    <m/>
    <m/>
    <m/>
    <m/>
    <m/>
    <m/>
    <m/>
    <m/>
    <m/>
    <m/>
    <m/>
    <m/>
    <m/>
    <m/>
    <m/>
    <m/>
    <m/>
    <m/>
    <m/>
    <m/>
    <m/>
    <m/>
    <m/>
    <m/>
    <m/>
    <m/>
    <m/>
    <m/>
    <m/>
    <m/>
    <m/>
    <m/>
    <m/>
    <m/>
    <m/>
    <m/>
    <m/>
    <m/>
    <m/>
    <m/>
    <m/>
    <m/>
    <m/>
    <m/>
    <m/>
    <m/>
    <m/>
    <m/>
    <m/>
    <m/>
    <m/>
    <m/>
  </r>
  <r>
    <m/>
    <m/>
    <x v="1"/>
    <n v="18.59"/>
    <x v="7"/>
    <x v="91"/>
    <s v="Seibly Jahant B1 CS"/>
    <s v=""/>
    <s v=" "/>
    <m/>
    <n v="24.5"/>
    <x v="1"/>
    <m/>
    <m/>
    <m/>
    <m/>
    <m/>
    <m/>
    <m/>
    <m/>
    <m/>
    <m/>
    <m/>
    <m/>
    <m/>
    <m/>
    <m/>
    <m/>
    <m/>
    <m/>
    <m/>
    <m/>
    <m/>
    <m/>
    <m/>
    <m/>
    <m/>
    <m/>
    <m/>
    <m/>
    <m/>
    <m/>
    <m/>
    <m/>
    <m/>
    <m/>
    <m/>
    <m/>
    <m/>
    <m/>
    <m/>
    <m/>
    <m/>
    <m/>
    <m/>
    <m/>
    <m/>
    <m/>
    <m/>
    <m/>
    <m/>
    <m/>
    <m/>
    <m/>
    <m/>
    <m/>
    <m/>
    <m/>
    <m/>
    <m/>
    <m/>
    <m/>
    <m/>
    <m/>
    <m/>
    <m/>
    <m/>
    <m/>
    <m/>
    <m/>
    <m/>
    <m/>
    <m/>
    <m/>
    <m/>
    <m/>
    <m/>
    <m/>
    <m/>
    <m/>
    <m/>
    <m/>
    <m/>
    <m/>
    <m/>
    <m/>
    <m/>
    <m/>
    <m/>
    <m/>
    <m/>
    <m/>
    <m/>
    <m/>
    <m/>
    <m/>
    <m/>
    <m/>
    <m/>
    <m/>
    <m/>
    <m/>
    <m/>
    <m/>
    <m/>
    <m/>
    <m/>
    <m/>
    <m/>
    <m/>
    <m/>
    <m/>
    <m/>
    <m/>
    <m/>
    <m/>
    <m/>
    <m/>
  </r>
  <r>
    <m/>
    <m/>
    <x v="1"/>
    <m/>
    <x v="7"/>
    <x v="91"/>
    <s v="Seibly 1 R92-161 (1103P)"/>
    <s v=""/>
    <s v=" "/>
    <m/>
    <n v="24.5"/>
    <x v="1"/>
    <m/>
    <m/>
    <m/>
    <m/>
    <m/>
    <m/>
    <m/>
    <m/>
    <m/>
    <m/>
    <m/>
    <m/>
    <m/>
    <m/>
    <m/>
    <m/>
    <m/>
    <m/>
    <m/>
    <m/>
    <m/>
    <m/>
    <m/>
    <m/>
    <m/>
    <m/>
    <m/>
    <m/>
    <m/>
    <m/>
    <m/>
    <m/>
    <m/>
    <m/>
    <m/>
    <m/>
    <m/>
    <m/>
    <m/>
    <m/>
    <m/>
    <m/>
    <m/>
    <m/>
    <m/>
    <m/>
    <m/>
    <m/>
    <m/>
    <m/>
    <m/>
    <m/>
    <m/>
    <m/>
    <m/>
    <m/>
    <m/>
    <m/>
    <m/>
    <m/>
    <m/>
    <m/>
    <m/>
    <m/>
    <m/>
    <m/>
    <m/>
    <m/>
    <m/>
    <m/>
    <m/>
    <m/>
    <m/>
    <m/>
    <m/>
    <m/>
    <m/>
    <m/>
    <m/>
    <m/>
    <m/>
    <m/>
    <m/>
    <m/>
    <m/>
    <m/>
    <m/>
    <m/>
    <m/>
    <m/>
    <m/>
    <m/>
    <m/>
    <m/>
    <m/>
    <m/>
    <m/>
    <m/>
    <m/>
    <m/>
    <m/>
    <m/>
    <m/>
    <m/>
    <m/>
    <m/>
    <m/>
    <m/>
    <m/>
    <m/>
    <m/>
    <m/>
    <m/>
    <m/>
    <m/>
    <m/>
  </r>
  <r>
    <m/>
    <m/>
    <x v="3"/>
    <n v="44"/>
    <x v="7"/>
    <x v="92"/>
    <s v="Zaballos / Lange Lauchland"/>
    <s v=""/>
    <s v=" "/>
    <n v="24"/>
    <m/>
    <x v="2"/>
    <m/>
    <m/>
    <m/>
    <m/>
    <m/>
    <m/>
    <m/>
    <m/>
    <m/>
    <m/>
    <m/>
    <m/>
    <m/>
    <m/>
    <m/>
    <m/>
    <m/>
    <m/>
    <m/>
    <m/>
    <m/>
    <m/>
    <m/>
    <m/>
    <m/>
    <m/>
    <m/>
    <m/>
    <m/>
    <m/>
    <m/>
    <m/>
    <m/>
    <m/>
    <m/>
    <m/>
    <m/>
    <m/>
    <m/>
    <m/>
    <m/>
    <m/>
    <m/>
    <m/>
    <m/>
    <m/>
    <m/>
    <m/>
    <m/>
    <m/>
    <m/>
    <m/>
    <m/>
    <m/>
    <m/>
    <m/>
    <m/>
    <m/>
    <m/>
    <m/>
    <m/>
    <m/>
    <m/>
    <m/>
    <m/>
    <m/>
    <m/>
    <m/>
    <m/>
    <m/>
    <m/>
    <m/>
    <m/>
    <m/>
    <m/>
    <m/>
    <m/>
    <m/>
    <m/>
    <m/>
    <m/>
    <m/>
    <m/>
    <m/>
    <m/>
    <m/>
    <m/>
    <m/>
    <m/>
    <m/>
    <m/>
    <m/>
    <m/>
    <m/>
    <m/>
    <m/>
    <m/>
    <m/>
    <m/>
    <m/>
    <m/>
    <m/>
    <m/>
    <m/>
    <m/>
    <m/>
    <m/>
    <m/>
    <m/>
    <m/>
    <m/>
    <m/>
    <m/>
    <m/>
    <m/>
    <m/>
  </r>
  <r>
    <m/>
    <m/>
    <x v="0"/>
    <m/>
    <x v="8"/>
    <x v="0"/>
    <s v="GRENACHE BLANC"/>
    <m/>
    <m/>
    <m/>
    <m/>
    <x v="0"/>
    <m/>
    <m/>
    <m/>
    <m/>
    <m/>
    <m/>
    <m/>
    <m/>
    <m/>
    <m/>
    <m/>
    <m/>
    <m/>
    <m/>
    <m/>
    <m/>
    <m/>
    <m/>
    <m/>
    <m/>
    <m/>
    <m/>
    <m/>
    <m/>
    <m/>
    <m/>
    <m/>
    <m/>
    <m/>
    <m/>
    <m/>
    <m/>
    <m/>
    <m/>
    <m/>
    <m/>
    <m/>
    <m/>
    <m/>
    <m/>
    <m/>
    <m/>
    <m/>
    <m/>
    <m/>
    <m/>
    <m/>
    <m/>
    <m/>
    <m/>
    <m/>
    <m/>
    <m/>
    <m/>
    <m/>
    <m/>
    <m/>
    <m/>
    <m/>
    <m/>
    <m/>
    <m/>
    <m/>
    <m/>
    <m/>
    <m/>
    <m/>
    <m/>
    <m/>
    <m/>
    <m/>
    <m/>
    <m/>
    <m/>
    <m/>
    <m/>
    <m/>
    <m/>
    <m/>
    <m/>
    <m/>
    <m/>
    <m/>
    <m/>
    <m/>
    <m/>
    <m/>
    <m/>
    <m/>
    <m/>
    <m/>
    <m/>
    <m/>
    <m/>
    <m/>
    <m/>
    <m/>
    <m/>
    <m/>
    <m/>
    <m/>
    <m/>
    <m/>
    <m/>
    <m/>
    <m/>
    <m/>
    <m/>
    <m/>
    <m/>
    <m/>
    <m/>
    <m/>
    <m/>
    <m/>
    <m/>
  </r>
  <r>
    <s v="Y"/>
    <m/>
    <x v="1"/>
    <n v="4.75"/>
    <x v="8"/>
    <x v="93"/>
    <s v="LF River B8 GB"/>
    <d v="2023-08-30T00:00:00"/>
    <n v="21"/>
    <n v="21"/>
    <n v="21.5"/>
    <x v="1"/>
    <m/>
    <m/>
    <m/>
    <m/>
    <m/>
    <m/>
    <m/>
    <m/>
    <m/>
    <m/>
    <m/>
    <m/>
    <m/>
    <m/>
    <m/>
    <m/>
    <m/>
    <m/>
    <m/>
    <m/>
    <n v="16.100000000000001"/>
    <m/>
    <m/>
    <m/>
    <m/>
    <m/>
    <m/>
    <m/>
    <m/>
    <m/>
    <m/>
    <s v="20.4*"/>
    <m/>
    <n v="21"/>
    <m/>
    <m/>
    <m/>
    <m/>
    <m/>
    <m/>
    <m/>
    <m/>
    <m/>
    <m/>
    <m/>
    <m/>
    <m/>
    <m/>
    <m/>
    <m/>
    <m/>
    <m/>
    <m/>
    <m/>
    <m/>
    <m/>
    <m/>
    <m/>
    <m/>
    <m/>
    <m/>
    <m/>
    <m/>
    <m/>
    <m/>
    <m/>
    <m/>
    <m/>
    <m/>
    <m/>
    <m/>
    <m/>
    <m/>
    <m/>
    <m/>
    <m/>
    <m/>
    <m/>
    <m/>
    <m/>
    <m/>
    <m/>
    <m/>
    <m/>
    <m/>
    <m/>
    <m/>
    <m/>
    <m/>
    <m/>
    <m/>
    <m/>
    <m/>
    <m/>
    <m/>
    <m/>
    <m/>
    <m/>
    <m/>
    <m/>
    <m/>
    <m/>
    <m/>
    <m/>
    <m/>
    <m/>
    <m/>
    <m/>
    <m/>
    <m/>
    <m/>
    <m/>
    <m/>
    <m/>
    <m/>
    <m/>
  </r>
  <r>
    <m/>
    <m/>
    <x v="0"/>
    <m/>
    <x v="9"/>
    <x v="0"/>
    <s v=" GEWURZTRAMINER"/>
    <m/>
    <m/>
    <m/>
    <m/>
    <x v="0"/>
    <m/>
    <m/>
    <m/>
    <m/>
    <m/>
    <m/>
    <m/>
    <m/>
    <m/>
    <m/>
    <m/>
    <m/>
    <m/>
    <m/>
    <m/>
    <m/>
    <m/>
    <m/>
    <m/>
    <m/>
    <m/>
    <m/>
    <m/>
    <m/>
    <m/>
    <m/>
    <m/>
    <m/>
    <m/>
    <m/>
    <m/>
    <m/>
    <m/>
    <m/>
    <m/>
    <m/>
    <m/>
    <m/>
    <m/>
    <m/>
    <m/>
    <m/>
    <m/>
    <m/>
    <m/>
    <m/>
    <m/>
    <m/>
    <m/>
    <m/>
    <m/>
    <m/>
    <m/>
    <m/>
    <m/>
    <m/>
    <m/>
    <m/>
    <m/>
    <m/>
    <m/>
    <m/>
    <m/>
    <m/>
    <m/>
    <m/>
    <m/>
    <m/>
    <m/>
    <m/>
    <m/>
    <m/>
    <m/>
    <m/>
    <m/>
    <m/>
    <m/>
    <m/>
    <m/>
    <m/>
    <m/>
    <m/>
    <m/>
    <m/>
    <m/>
    <m/>
    <m/>
    <m/>
    <m/>
    <m/>
    <m/>
    <m/>
    <m/>
    <m/>
    <m/>
    <m/>
    <m/>
    <m/>
    <m/>
    <m/>
    <m/>
    <m/>
    <m/>
    <m/>
    <m/>
    <m/>
    <m/>
    <m/>
    <m/>
    <m/>
    <m/>
    <m/>
    <m/>
    <m/>
    <m/>
    <m/>
  </r>
  <r>
    <m/>
    <m/>
    <x v="2"/>
    <m/>
    <x v="9"/>
    <x v="0"/>
    <s v="Wheelhouse B1 GE (1-50) "/>
    <d v="2023-09-11T00:00:00"/>
    <n v="23.1"/>
    <n v="23"/>
    <n v="23"/>
    <x v="1"/>
    <m/>
    <m/>
    <m/>
    <m/>
    <m/>
    <m/>
    <m/>
    <m/>
    <m/>
    <m/>
    <m/>
    <m/>
    <m/>
    <m/>
    <m/>
    <m/>
    <m/>
    <m/>
    <m/>
    <m/>
    <m/>
    <m/>
    <m/>
    <m/>
    <m/>
    <m/>
    <m/>
    <m/>
    <m/>
    <m/>
    <m/>
    <m/>
    <n v="20.3"/>
    <m/>
    <m/>
    <m/>
    <m/>
    <m/>
    <m/>
    <n v="21.2"/>
    <m/>
    <m/>
    <m/>
    <m/>
    <m/>
    <n v="23.1"/>
    <m/>
    <m/>
    <m/>
    <m/>
    <m/>
    <m/>
    <m/>
    <m/>
    <m/>
    <m/>
    <m/>
    <m/>
    <m/>
    <m/>
    <m/>
    <m/>
    <m/>
    <m/>
    <m/>
    <m/>
    <m/>
    <m/>
    <m/>
    <m/>
    <m/>
    <m/>
    <m/>
    <m/>
    <m/>
    <m/>
    <m/>
    <m/>
    <m/>
    <m/>
    <m/>
    <m/>
    <m/>
    <m/>
    <m/>
    <m/>
    <m/>
    <m/>
    <m/>
    <m/>
    <m/>
    <m/>
    <m/>
    <m/>
    <m/>
    <m/>
    <m/>
    <m/>
    <m/>
    <m/>
    <m/>
    <m/>
    <m/>
    <m/>
    <m/>
    <m/>
    <m/>
    <m/>
    <m/>
    <m/>
    <m/>
    <m/>
    <m/>
    <m/>
    <m/>
    <m/>
  </r>
  <r>
    <m/>
    <s v="Y"/>
    <x v="2"/>
    <n v="38.4"/>
    <x v="9"/>
    <x v="94"/>
    <s v="Wheelhouse B1 GE (Rows 1-75)"/>
    <d v="2023-08-23T00:00:00"/>
    <n v="18.600000000000001"/>
    <n v="23"/>
    <n v="23"/>
    <x v="1"/>
    <m/>
    <m/>
    <m/>
    <m/>
    <m/>
    <m/>
    <m/>
    <m/>
    <m/>
    <m/>
    <m/>
    <m/>
    <m/>
    <m/>
    <m/>
    <m/>
    <m/>
    <m/>
    <m/>
    <m/>
    <n v="17"/>
    <m/>
    <m/>
    <m/>
    <m/>
    <m/>
    <n v="18.600000000000001"/>
    <m/>
    <m/>
    <m/>
    <m/>
    <m/>
    <m/>
    <m/>
    <m/>
    <m/>
    <m/>
    <m/>
    <m/>
    <m/>
    <m/>
    <m/>
    <m/>
    <m/>
    <m/>
    <m/>
    <m/>
    <m/>
    <m/>
    <m/>
    <m/>
    <m/>
    <m/>
    <m/>
    <m/>
    <m/>
    <m/>
    <m/>
    <m/>
    <m/>
    <m/>
    <m/>
    <m/>
    <m/>
    <m/>
    <m/>
    <m/>
    <m/>
    <m/>
    <m/>
    <m/>
    <m/>
    <m/>
    <m/>
    <m/>
    <m/>
    <m/>
    <m/>
    <m/>
    <m/>
    <m/>
    <m/>
    <m/>
    <m/>
    <m/>
    <m/>
    <m/>
    <m/>
    <m/>
    <m/>
    <m/>
    <m/>
    <m/>
    <m/>
    <m/>
    <m/>
    <m/>
    <m/>
    <m/>
    <m/>
    <m/>
    <m/>
    <m/>
    <m/>
    <m/>
    <m/>
    <m/>
    <m/>
    <m/>
    <m/>
    <m/>
    <m/>
    <m/>
    <m/>
    <m/>
    <m/>
  </r>
  <r>
    <m/>
    <m/>
    <x v="2"/>
    <m/>
    <x v="9"/>
    <x v="0"/>
    <s v="Wheelhouse B1 GE (Rows 51-75; 113-127)"/>
    <d v="2023-09-11T00:00:00"/>
    <n v="22.2"/>
    <n v="23"/>
    <n v="23"/>
    <x v="1"/>
    <m/>
    <m/>
    <m/>
    <m/>
    <m/>
    <m/>
    <m/>
    <m/>
    <m/>
    <m/>
    <m/>
    <m/>
    <m/>
    <m/>
    <m/>
    <m/>
    <m/>
    <m/>
    <m/>
    <m/>
    <m/>
    <m/>
    <m/>
    <m/>
    <m/>
    <m/>
    <m/>
    <m/>
    <m/>
    <m/>
    <m/>
    <m/>
    <n v="20.3"/>
    <m/>
    <m/>
    <m/>
    <m/>
    <m/>
    <m/>
    <n v="21"/>
    <m/>
    <m/>
    <m/>
    <m/>
    <m/>
    <n v="22.2"/>
    <m/>
    <m/>
    <m/>
    <m/>
    <m/>
    <m/>
    <m/>
    <m/>
    <m/>
    <m/>
    <m/>
    <m/>
    <m/>
    <m/>
    <m/>
    <m/>
    <m/>
    <m/>
    <m/>
    <m/>
    <m/>
    <m/>
    <m/>
    <m/>
    <m/>
    <m/>
    <m/>
    <m/>
    <m/>
    <m/>
    <m/>
    <m/>
    <m/>
    <m/>
    <m/>
    <m/>
    <m/>
    <m/>
    <m/>
    <m/>
    <m/>
    <m/>
    <m/>
    <m/>
    <m/>
    <m/>
    <m/>
    <m/>
    <m/>
    <m/>
    <m/>
    <m/>
    <m/>
    <m/>
    <m/>
    <m/>
    <m/>
    <m/>
    <m/>
    <m/>
    <m/>
    <m/>
    <m/>
    <m/>
    <m/>
    <m/>
    <m/>
    <m/>
    <m/>
    <m/>
  </r>
  <r>
    <m/>
    <s v="Y"/>
    <x v="2"/>
    <m/>
    <x v="9"/>
    <x v="94"/>
    <s v="Wheelhouse B1 GE (Rows 76-112)"/>
    <d v="2023-09-11T00:00:00"/>
    <n v="21.4"/>
    <n v="23"/>
    <n v="23"/>
    <x v="1"/>
    <m/>
    <m/>
    <m/>
    <m/>
    <m/>
    <m/>
    <m/>
    <m/>
    <m/>
    <m/>
    <m/>
    <m/>
    <m/>
    <m/>
    <m/>
    <m/>
    <m/>
    <m/>
    <m/>
    <m/>
    <n v="18.399999999999999"/>
    <m/>
    <m/>
    <m/>
    <m/>
    <m/>
    <n v="19.399999999999999"/>
    <m/>
    <m/>
    <m/>
    <m/>
    <m/>
    <n v="20.399999999999999"/>
    <m/>
    <m/>
    <m/>
    <m/>
    <m/>
    <m/>
    <n v="21"/>
    <m/>
    <m/>
    <m/>
    <m/>
    <m/>
    <n v="21.4"/>
    <m/>
    <m/>
    <m/>
    <m/>
    <m/>
    <m/>
    <m/>
    <m/>
    <m/>
    <m/>
    <m/>
    <m/>
    <m/>
    <m/>
    <m/>
    <m/>
    <m/>
    <m/>
    <m/>
    <m/>
    <m/>
    <m/>
    <m/>
    <m/>
    <m/>
    <m/>
    <m/>
    <m/>
    <m/>
    <m/>
    <m/>
    <m/>
    <m/>
    <m/>
    <m/>
    <m/>
    <m/>
    <m/>
    <m/>
    <m/>
    <m/>
    <m/>
    <m/>
    <m/>
    <m/>
    <m/>
    <m/>
    <m/>
    <m/>
    <m/>
    <m/>
    <m/>
    <m/>
    <m/>
    <m/>
    <m/>
    <m/>
    <m/>
    <m/>
    <m/>
    <m/>
    <m/>
    <m/>
    <m/>
    <m/>
    <m/>
    <m/>
    <m/>
    <m/>
    <m/>
  </r>
  <r>
    <m/>
    <m/>
    <x v="0"/>
    <m/>
    <x v="10"/>
    <x v="0"/>
    <s v="GARNACHA GRIS"/>
    <m/>
    <m/>
    <m/>
    <m/>
    <x v="0"/>
    <m/>
    <m/>
    <m/>
    <m/>
    <m/>
    <m/>
    <m/>
    <m/>
    <m/>
    <m/>
    <m/>
    <m/>
    <m/>
    <m/>
    <m/>
    <m/>
    <m/>
    <m/>
    <m/>
    <m/>
    <m/>
    <m/>
    <m/>
    <m/>
    <m/>
    <m/>
    <m/>
    <m/>
    <m/>
    <m/>
    <m/>
    <m/>
    <m/>
    <m/>
    <m/>
    <m/>
    <m/>
    <m/>
    <m/>
    <m/>
    <m/>
    <m/>
    <m/>
    <m/>
    <m/>
    <m/>
    <m/>
    <m/>
    <m/>
    <m/>
    <m/>
    <m/>
    <m/>
    <m/>
    <m/>
    <m/>
    <m/>
    <m/>
    <m/>
    <m/>
    <m/>
    <m/>
    <m/>
    <m/>
    <m/>
    <m/>
    <m/>
    <m/>
    <m/>
    <m/>
    <m/>
    <m/>
    <m/>
    <m/>
    <m/>
    <m/>
    <m/>
    <m/>
    <m/>
    <m/>
    <m/>
    <m/>
    <m/>
    <m/>
    <m/>
    <m/>
    <m/>
    <m/>
    <m/>
    <m/>
    <m/>
    <m/>
    <m/>
    <m/>
    <m/>
    <m/>
    <m/>
    <m/>
    <m/>
    <m/>
    <m/>
    <m/>
    <m/>
    <m/>
    <m/>
    <m/>
    <m/>
    <m/>
    <m/>
    <m/>
    <m/>
    <m/>
    <m/>
    <m/>
    <m/>
    <m/>
  </r>
  <r>
    <m/>
    <m/>
    <x v="1"/>
    <n v="4.51"/>
    <x v="10"/>
    <x v="95"/>
    <s v="North River B3 GG  (Row 35-36)"/>
    <d v="2023-09-08T00:00:00"/>
    <n v="20.9"/>
    <n v="21"/>
    <n v="21.5"/>
    <x v="8"/>
    <m/>
    <m/>
    <m/>
    <m/>
    <m/>
    <m/>
    <m/>
    <m/>
    <m/>
    <m/>
    <m/>
    <m/>
    <m/>
    <m/>
    <m/>
    <m/>
    <m/>
    <m/>
    <m/>
    <m/>
    <m/>
    <m/>
    <m/>
    <m/>
    <n v="18.600000000000001"/>
    <m/>
    <m/>
    <m/>
    <m/>
    <m/>
    <m/>
    <n v="19.3"/>
    <m/>
    <m/>
    <m/>
    <m/>
    <n v="20.399999999999999"/>
    <m/>
    <m/>
    <m/>
    <m/>
    <m/>
    <n v="20.9"/>
    <m/>
    <m/>
    <m/>
    <m/>
    <m/>
    <m/>
    <m/>
    <m/>
    <m/>
    <m/>
    <m/>
    <m/>
    <m/>
    <m/>
    <m/>
    <m/>
    <m/>
    <m/>
    <m/>
    <m/>
    <m/>
    <m/>
    <m/>
    <m/>
    <m/>
    <m/>
    <m/>
    <m/>
    <m/>
    <m/>
    <m/>
    <m/>
    <m/>
    <m/>
    <m/>
    <m/>
    <m/>
    <m/>
    <m/>
    <m/>
    <m/>
    <m/>
    <m/>
    <m/>
    <m/>
    <m/>
    <m/>
    <m/>
    <m/>
    <m/>
    <m/>
    <m/>
    <m/>
    <m/>
    <m/>
    <m/>
    <m/>
    <m/>
    <m/>
    <m/>
    <m/>
    <m/>
    <m/>
    <m/>
    <m/>
    <m/>
    <m/>
    <m/>
    <m/>
    <m/>
    <m/>
    <m/>
    <m/>
  </r>
  <r>
    <m/>
    <m/>
    <x v="0"/>
    <m/>
    <x v="11"/>
    <x v="0"/>
    <s v="GRUNER VELTLINER"/>
    <m/>
    <m/>
    <m/>
    <m/>
    <x v="0"/>
    <m/>
    <m/>
    <m/>
    <m/>
    <m/>
    <m/>
    <m/>
    <m/>
    <m/>
    <m/>
    <m/>
    <m/>
    <m/>
    <m/>
    <m/>
    <m/>
    <m/>
    <m/>
    <m/>
    <m/>
    <m/>
    <m/>
    <m/>
    <m/>
    <m/>
    <m/>
    <m/>
    <m/>
    <m/>
    <m/>
    <m/>
    <m/>
    <m/>
    <m/>
    <m/>
    <m/>
    <m/>
    <m/>
    <m/>
    <m/>
    <m/>
    <m/>
    <m/>
    <m/>
    <m/>
    <m/>
    <m/>
    <m/>
    <m/>
    <m/>
    <m/>
    <m/>
    <m/>
    <m/>
    <m/>
    <m/>
    <m/>
    <m/>
    <m/>
    <m/>
    <m/>
    <m/>
    <m/>
    <m/>
    <m/>
    <m/>
    <m/>
    <m/>
    <m/>
    <m/>
    <m/>
    <m/>
    <m/>
    <m/>
    <m/>
    <m/>
    <m/>
    <m/>
    <m/>
    <m/>
    <m/>
    <m/>
    <m/>
    <m/>
    <m/>
    <m/>
    <m/>
    <m/>
    <m/>
    <m/>
    <m/>
    <m/>
    <m/>
    <m/>
    <m/>
    <m/>
    <m/>
    <m/>
    <m/>
    <m/>
    <m/>
    <m/>
    <m/>
    <m/>
    <m/>
    <m/>
    <m/>
    <m/>
    <m/>
    <m/>
    <m/>
    <m/>
    <m/>
    <m/>
    <m/>
    <m/>
  </r>
  <r>
    <m/>
    <m/>
    <x v="1"/>
    <n v="4.51"/>
    <x v="11"/>
    <x v="96"/>
    <s v="North River B3 GV (Row 1-34)"/>
    <d v="2023-09-08T00:00:00"/>
    <n v="22.1"/>
    <n v="21"/>
    <n v="21.5"/>
    <x v="8"/>
    <m/>
    <m/>
    <m/>
    <m/>
    <m/>
    <m/>
    <m/>
    <m/>
    <m/>
    <m/>
    <m/>
    <m/>
    <n v="16"/>
    <m/>
    <m/>
    <m/>
    <m/>
    <n v="16.399999999999999"/>
    <m/>
    <m/>
    <m/>
    <m/>
    <m/>
    <m/>
    <n v="17.600000000000001"/>
    <m/>
    <m/>
    <m/>
    <m/>
    <m/>
    <m/>
    <n v="20.2"/>
    <m/>
    <m/>
    <m/>
    <m/>
    <n v="20.8"/>
    <m/>
    <m/>
    <m/>
    <m/>
    <m/>
    <n v="22.1"/>
    <m/>
    <m/>
    <m/>
    <m/>
    <m/>
    <m/>
    <m/>
    <m/>
    <m/>
    <m/>
    <m/>
    <m/>
    <m/>
    <m/>
    <m/>
    <m/>
    <m/>
    <m/>
    <m/>
    <m/>
    <m/>
    <m/>
    <m/>
    <m/>
    <m/>
    <m/>
    <m/>
    <m/>
    <m/>
    <m/>
    <m/>
    <m/>
    <m/>
    <m/>
    <m/>
    <m/>
    <m/>
    <m/>
    <m/>
    <m/>
    <m/>
    <m/>
    <m/>
    <m/>
    <m/>
    <m/>
    <m/>
    <m/>
    <m/>
    <m/>
    <m/>
    <m/>
    <m/>
    <m/>
    <m/>
    <m/>
    <m/>
    <m/>
    <m/>
    <m/>
    <m/>
    <m/>
    <m/>
    <m/>
    <m/>
    <m/>
    <m/>
    <m/>
    <m/>
    <m/>
    <m/>
    <m/>
    <m/>
  </r>
  <r>
    <m/>
    <m/>
    <x v="0"/>
    <m/>
    <x v="12"/>
    <x v="0"/>
    <s v=" MALBEC"/>
    <m/>
    <m/>
    <m/>
    <m/>
    <x v="0"/>
    <m/>
    <m/>
    <m/>
    <m/>
    <m/>
    <m/>
    <m/>
    <m/>
    <m/>
    <m/>
    <m/>
    <m/>
    <m/>
    <m/>
    <m/>
    <m/>
    <m/>
    <m/>
    <m/>
    <m/>
    <m/>
    <m/>
    <m/>
    <m/>
    <m/>
    <m/>
    <m/>
    <m/>
    <m/>
    <m/>
    <m/>
    <m/>
    <m/>
    <m/>
    <m/>
    <m/>
    <m/>
    <m/>
    <m/>
    <m/>
    <m/>
    <m/>
    <m/>
    <m/>
    <m/>
    <m/>
    <m/>
    <m/>
    <m/>
    <m/>
    <m/>
    <m/>
    <m/>
    <m/>
    <m/>
    <m/>
    <m/>
    <m/>
    <m/>
    <m/>
    <m/>
    <m/>
    <m/>
    <m/>
    <m/>
    <m/>
    <m/>
    <m/>
    <m/>
    <m/>
    <m/>
    <m/>
    <m/>
    <m/>
    <m/>
    <m/>
    <m/>
    <m/>
    <m/>
    <m/>
    <m/>
    <m/>
    <m/>
    <m/>
    <m/>
    <m/>
    <m/>
    <m/>
    <m/>
    <m/>
    <m/>
    <m/>
    <m/>
    <m/>
    <m/>
    <m/>
    <m/>
    <m/>
    <m/>
    <m/>
    <m/>
    <m/>
    <m/>
    <m/>
    <m/>
    <m/>
    <m/>
    <m/>
    <m/>
    <m/>
    <m/>
    <m/>
    <m/>
    <m/>
    <m/>
    <m/>
  </r>
  <r>
    <m/>
    <m/>
    <x v="3"/>
    <n v="19.05"/>
    <x v="12"/>
    <x v="97"/>
    <s v="98 Oaks B3 MA"/>
    <d v="2023-09-13T00:00:00"/>
    <n v="19.899999999999999"/>
    <n v="24.5"/>
    <n v="25"/>
    <x v="1"/>
    <m/>
    <m/>
    <m/>
    <m/>
    <m/>
    <m/>
    <m/>
    <m/>
    <m/>
    <m/>
    <m/>
    <m/>
    <m/>
    <m/>
    <m/>
    <m/>
    <m/>
    <m/>
    <m/>
    <m/>
    <m/>
    <m/>
    <m/>
    <m/>
    <m/>
    <m/>
    <m/>
    <m/>
    <m/>
    <n v="16.600000000000001"/>
    <m/>
    <m/>
    <m/>
    <m/>
    <m/>
    <m/>
    <m/>
    <m/>
    <m/>
    <m/>
    <n v="19.399999999999999"/>
    <m/>
    <m/>
    <m/>
    <m/>
    <m/>
    <m/>
    <n v="19.899999999999999"/>
    <m/>
    <m/>
    <m/>
    <m/>
    <m/>
    <m/>
    <m/>
    <m/>
    <m/>
    <m/>
    <m/>
    <m/>
    <m/>
    <m/>
    <m/>
    <m/>
    <m/>
    <m/>
    <m/>
    <m/>
    <m/>
    <m/>
    <m/>
    <m/>
    <m/>
    <m/>
    <m/>
    <m/>
    <m/>
    <m/>
    <m/>
    <m/>
    <m/>
    <m/>
    <m/>
    <m/>
    <m/>
    <m/>
    <m/>
    <m/>
    <m/>
    <m/>
    <m/>
    <m/>
    <m/>
    <m/>
    <m/>
    <m/>
    <m/>
    <m/>
    <m/>
    <m/>
    <m/>
    <m/>
    <m/>
    <m/>
    <m/>
    <m/>
    <m/>
    <m/>
    <m/>
    <m/>
    <m/>
    <m/>
    <m/>
    <m/>
    <m/>
    <m/>
  </r>
  <r>
    <m/>
    <s v="Y"/>
    <x v="3"/>
    <n v="35.56"/>
    <x v="12"/>
    <x v="98"/>
    <s v="Clements Rose II B1 MA"/>
    <d v="2023-09-06T00:00:00"/>
    <n v="20.9"/>
    <n v="24"/>
    <n v="25"/>
    <x v="1"/>
    <m/>
    <m/>
    <m/>
    <m/>
    <m/>
    <m/>
    <m/>
    <m/>
    <m/>
    <m/>
    <m/>
    <m/>
    <m/>
    <m/>
    <m/>
    <m/>
    <m/>
    <m/>
    <m/>
    <m/>
    <m/>
    <m/>
    <m/>
    <m/>
    <m/>
    <m/>
    <m/>
    <m/>
    <m/>
    <m/>
    <m/>
    <m/>
    <m/>
    <m/>
    <m/>
    <m/>
    <m/>
    <m/>
    <m/>
    <m/>
    <n v="20.9"/>
    <m/>
    <m/>
    <m/>
    <m/>
    <m/>
    <m/>
    <m/>
    <m/>
    <m/>
    <m/>
    <m/>
    <m/>
    <m/>
    <m/>
    <m/>
    <m/>
    <m/>
    <m/>
    <m/>
    <m/>
    <m/>
    <m/>
    <m/>
    <m/>
    <m/>
    <m/>
    <m/>
    <m/>
    <m/>
    <m/>
    <m/>
    <m/>
    <m/>
    <m/>
    <m/>
    <m/>
    <m/>
    <m/>
    <m/>
    <m/>
    <m/>
    <m/>
    <m/>
    <m/>
    <m/>
    <m/>
    <m/>
    <m/>
    <m/>
    <m/>
    <m/>
    <m/>
    <m/>
    <m/>
    <m/>
    <m/>
    <m/>
    <m/>
    <m/>
    <m/>
    <m/>
    <m/>
    <m/>
    <m/>
    <m/>
    <m/>
    <m/>
    <m/>
    <m/>
    <m/>
    <m/>
    <m/>
    <m/>
    <m/>
    <m/>
  </r>
  <r>
    <m/>
    <s v="Y"/>
    <x v="3"/>
    <m/>
    <x v="12"/>
    <x v="98"/>
    <s v="Clements Rose II B1 MA (North)"/>
    <s v=""/>
    <s v=" "/>
    <n v="24"/>
    <n v="25"/>
    <x v="1"/>
    <m/>
    <m/>
    <m/>
    <m/>
    <m/>
    <m/>
    <m/>
    <m/>
    <m/>
    <m/>
    <m/>
    <m/>
    <m/>
    <m/>
    <m/>
    <m/>
    <m/>
    <m/>
    <m/>
    <m/>
    <m/>
    <m/>
    <m/>
    <m/>
    <m/>
    <m/>
    <m/>
    <m/>
    <m/>
    <m/>
    <m/>
    <m/>
    <m/>
    <m/>
    <m/>
    <m/>
    <m/>
    <m/>
    <m/>
    <m/>
    <m/>
    <m/>
    <m/>
    <m/>
    <m/>
    <m/>
    <m/>
    <m/>
    <m/>
    <m/>
    <m/>
    <m/>
    <m/>
    <m/>
    <m/>
    <m/>
    <m/>
    <m/>
    <m/>
    <m/>
    <m/>
    <m/>
    <m/>
    <m/>
    <m/>
    <m/>
    <m/>
    <m/>
    <m/>
    <m/>
    <m/>
    <m/>
    <m/>
    <m/>
    <m/>
    <m/>
    <m/>
    <m/>
    <m/>
    <m/>
    <m/>
    <m/>
    <m/>
    <m/>
    <m/>
    <m/>
    <m/>
    <m/>
    <m/>
    <m/>
    <m/>
    <m/>
    <m/>
    <m/>
    <m/>
    <m/>
    <m/>
    <m/>
    <m/>
    <m/>
    <m/>
    <m/>
    <m/>
    <m/>
    <m/>
    <m/>
    <m/>
    <m/>
    <m/>
    <m/>
    <m/>
    <m/>
    <m/>
    <m/>
    <m/>
    <m/>
  </r>
  <r>
    <m/>
    <s v="Y"/>
    <x v="3"/>
    <m/>
    <x v="12"/>
    <x v="98"/>
    <s v="Clements Rose II B1 MA (South)"/>
    <s v=""/>
    <s v=" "/>
    <n v="24"/>
    <n v="25"/>
    <x v="1"/>
    <m/>
    <m/>
    <m/>
    <m/>
    <m/>
    <m/>
    <m/>
    <m/>
    <m/>
    <m/>
    <m/>
    <m/>
    <m/>
    <m/>
    <m/>
    <m/>
    <m/>
    <m/>
    <m/>
    <m/>
    <m/>
    <m/>
    <m/>
    <m/>
    <m/>
    <m/>
    <m/>
    <m/>
    <m/>
    <m/>
    <m/>
    <m/>
    <m/>
    <m/>
    <m/>
    <m/>
    <m/>
    <m/>
    <m/>
    <m/>
    <m/>
    <m/>
    <m/>
    <m/>
    <m/>
    <m/>
    <m/>
    <m/>
    <m/>
    <m/>
    <m/>
    <m/>
    <m/>
    <m/>
    <m/>
    <m/>
    <m/>
    <m/>
    <m/>
    <m/>
    <m/>
    <m/>
    <m/>
    <m/>
    <m/>
    <m/>
    <m/>
    <m/>
    <m/>
    <m/>
    <m/>
    <m/>
    <m/>
    <m/>
    <m/>
    <m/>
    <m/>
    <m/>
    <m/>
    <m/>
    <m/>
    <m/>
    <m/>
    <m/>
    <m/>
    <m/>
    <m/>
    <m/>
    <m/>
    <m/>
    <m/>
    <m/>
    <m/>
    <m/>
    <m/>
    <m/>
    <m/>
    <m/>
    <m/>
    <m/>
    <m/>
    <m/>
    <m/>
    <m/>
    <m/>
    <m/>
    <m/>
    <m/>
    <m/>
    <m/>
    <m/>
    <m/>
    <m/>
    <m/>
    <m/>
    <m/>
  </r>
  <r>
    <m/>
    <s v="Y"/>
    <x v="1"/>
    <n v="36.25"/>
    <x v="12"/>
    <x v="99"/>
    <s v="Ford - B3 MA"/>
    <s v=""/>
    <s v=" "/>
    <n v="24.5"/>
    <m/>
    <x v="12"/>
    <m/>
    <m/>
    <m/>
    <m/>
    <m/>
    <m/>
    <m/>
    <m/>
    <m/>
    <m/>
    <m/>
    <m/>
    <m/>
    <m/>
    <m/>
    <m/>
    <m/>
    <m/>
    <m/>
    <m/>
    <m/>
    <m/>
    <m/>
    <m/>
    <m/>
    <m/>
    <m/>
    <m/>
    <m/>
    <m/>
    <m/>
    <m/>
    <m/>
    <m/>
    <m/>
    <m/>
    <m/>
    <m/>
    <m/>
    <m/>
    <m/>
    <m/>
    <m/>
    <m/>
    <m/>
    <m/>
    <m/>
    <m/>
    <m/>
    <m/>
    <m/>
    <m/>
    <m/>
    <m/>
    <m/>
    <m/>
    <m/>
    <m/>
    <m/>
    <m/>
    <m/>
    <m/>
    <m/>
    <m/>
    <m/>
    <m/>
    <m/>
    <m/>
    <m/>
    <m/>
    <m/>
    <m/>
    <m/>
    <m/>
    <m/>
    <m/>
    <m/>
    <m/>
    <m/>
    <m/>
    <m/>
    <m/>
    <m/>
    <m/>
    <m/>
    <m/>
    <m/>
    <m/>
    <m/>
    <m/>
    <m/>
    <m/>
    <m/>
    <m/>
    <m/>
    <m/>
    <m/>
    <m/>
    <m/>
    <m/>
    <m/>
    <m/>
    <m/>
    <m/>
    <m/>
    <m/>
    <m/>
    <m/>
    <m/>
    <m/>
    <m/>
    <m/>
    <m/>
    <m/>
    <m/>
    <m/>
  </r>
  <r>
    <m/>
    <s v="Y"/>
    <x v="1"/>
    <m/>
    <x v="12"/>
    <x v="99"/>
    <s v="Ford - B3 MA (North)"/>
    <s v=""/>
    <s v=" "/>
    <n v="24.5"/>
    <m/>
    <x v="12"/>
    <m/>
    <m/>
    <m/>
    <m/>
    <m/>
    <m/>
    <m/>
    <m/>
    <m/>
    <m/>
    <m/>
    <m/>
    <m/>
    <m/>
    <m/>
    <m/>
    <m/>
    <m/>
    <m/>
    <m/>
    <m/>
    <m/>
    <m/>
    <m/>
    <m/>
    <m/>
    <m/>
    <m/>
    <m/>
    <m/>
    <m/>
    <m/>
    <m/>
    <m/>
    <m/>
    <m/>
    <m/>
    <m/>
    <m/>
    <m/>
    <m/>
    <m/>
    <m/>
    <m/>
    <m/>
    <m/>
    <m/>
    <m/>
    <m/>
    <m/>
    <m/>
    <m/>
    <m/>
    <m/>
    <m/>
    <m/>
    <m/>
    <m/>
    <m/>
    <m/>
    <m/>
    <m/>
    <m/>
    <m/>
    <m/>
    <m/>
    <m/>
    <m/>
    <m/>
    <m/>
    <m/>
    <m/>
    <m/>
    <m/>
    <m/>
    <m/>
    <m/>
    <m/>
    <m/>
    <m/>
    <m/>
    <m/>
    <m/>
    <m/>
    <m/>
    <m/>
    <m/>
    <m/>
    <m/>
    <m/>
    <m/>
    <m/>
    <m/>
    <m/>
    <m/>
    <m/>
    <m/>
    <m/>
    <m/>
    <m/>
    <m/>
    <m/>
    <m/>
    <m/>
    <m/>
    <m/>
    <m/>
    <m/>
    <m/>
    <m/>
    <m/>
    <m/>
    <m/>
    <m/>
    <m/>
    <m/>
  </r>
  <r>
    <m/>
    <s v="Y"/>
    <x v="1"/>
    <m/>
    <x v="12"/>
    <x v="99"/>
    <s v="Ford - B3 MA (South)"/>
    <s v=""/>
    <s v=" "/>
    <n v="24.5"/>
    <m/>
    <x v="12"/>
    <m/>
    <m/>
    <m/>
    <m/>
    <m/>
    <m/>
    <m/>
    <m/>
    <m/>
    <m/>
    <m/>
    <m/>
    <m/>
    <m/>
    <m/>
    <m/>
    <m/>
    <m/>
    <m/>
    <m/>
    <m/>
    <m/>
    <m/>
    <m/>
    <m/>
    <m/>
    <m/>
    <m/>
    <m/>
    <m/>
    <m/>
    <m/>
    <m/>
    <m/>
    <m/>
    <m/>
    <m/>
    <m/>
    <m/>
    <m/>
    <m/>
    <m/>
    <m/>
    <m/>
    <m/>
    <m/>
    <m/>
    <m/>
    <m/>
    <m/>
    <m/>
    <m/>
    <m/>
    <m/>
    <m/>
    <m/>
    <m/>
    <m/>
    <m/>
    <m/>
    <m/>
    <m/>
    <m/>
    <m/>
    <m/>
    <m/>
    <m/>
    <m/>
    <m/>
    <m/>
    <m/>
    <m/>
    <m/>
    <m/>
    <m/>
    <m/>
    <m/>
    <m/>
    <m/>
    <m/>
    <m/>
    <m/>
    <m/>
    <m/>
    <m/>
    <m/>
    <m/>
    <m/>
    <m/>
    <m/>
    <m/>
    <m/>
    <m/>
    <m/>
    <m/>
    <m/>
    <m/>
    <m/>
    <m/>
    <m/>
    <m/>
    <m/>
    <m/>
    <m/>
    <m/>
    <m/>
    <m/>
    <m/>
    <m/>
    <m/>
    <m/>
    <m/>
    <m/>
    <m/>
    <m/>
    <m/>
  </r>
  <r>
    <m/>
    <s v="Y"/>
    <x v="1"/>
    <n v="30.41"/>
    <x v="12"/>
    <x v="100"/>
    <s v="LaPrima B1 MA"/>
    <s v=""/>
    <s v=" "/>
    <n v="25"/>
    <m/>
    <x v="2"/>
    <m/>
    <m/>
    <m/>
    <m/>
    <m/>
    <m/>
    <m/>
    <m/>
    <m/>
    <m/>
    <m/>
    <m/>
    <m/>
    <m/>
    <m/>
    <m/>
    <m/>
    <m/>
    <m/>
    <m/>
    <m/>
    <m/>
    <m/>
    <m/>
    <m/>
    <m/>
    <m/>
    <m/>
    <m/>
    <m/>
    <m/>
    <m/>
    <m/>
    <m/>
    <m/>
    <m/>
    <m/>
    <m/>
    <m/>
    <m/>
    <m/>
    <m/>
    <m/>
    <m/>
    <m/>
    <m/>
    <m/>
    <m/>
    <m/>
    <m/>
    <m/>
    <m/>
    <m/>
    <m/>
    <m/>
    <m/>
    <m/>
    <m/>
    <m/>
    <m/>
    <m/>
    <m/>
    <m/>
    <m/>
    <m/>
    <m/>
    <m/>
    <m/>
    <m/>
    <m/>
    <m/>
    <m/>
    <m/>
    <m/>
    <m/>
    <m/>
    <m/>
    <m/>
    <m/>
    <m/>
    <m/>
    <m/>
    <m/>
    <m/>
    <m/>
    <m/>
    <m/>
    <m/>
    <m/>
    <m/>
    <m/>
    <m/>
    <m/>
    <m/>
    <m/>
    <m/>
    <m/>
    <m/>
    <m/>
    <m/>
    <m/>
    <m/>
    <m/>
    <m/>
    <m/>
    <m/>
    <m/>
    <m/>
    <m/>
    <m/>
    <m/>
    <m/>
    <m/>
    <m/>
    <m/>
    <m/>
  </r>
  <r>
    <m/>
    <s v="Y"/>
    <x v="1"/>
    <m/>
    <x v="12"/>
    <x v="100"/>
    <s v="LaPrima B1 MA (East)"/>
    <s v=""/>
    <s v=" "/>
    <n v="25"/>
    <m/>
    <x v="2"/>
    <m/>
    <m/>
    <m/>
    <m/>
    <m/>
    <m/>
    <m/>
    <m/>
    <m/>
    <m/>
    <m/>
    <m/>
    <m/>
    <m/>
    <m/>
    <m/>
    <m/>
    <m/>
    <m/>
    <m/>
    <m/>
    <m/>
    <m/>
    <m/>
    <m/>
    <m/>
    <m/>
    <m/>
    <m/>
    <m/>
    <m/>
    <m/>
    <m/>
    <m/>
    <m/>
    <m/>
    <m/>
    <m/>
    <m/>
    <m/>
    <m/>
    <m/>
    <m/>
    <m/>
    <m/>
    <m/>
    <m/>
    <m/>
    <m/>
    <m/>
    <m/>
    <m/>
    <m/>
    <m/>
    <m/>
    <m/>
    <m/>
    <m/>
    <m/>
    <m/>
    <m/>
    <m/>
    <m/>
    <m/>
    <m/>
    <m/>
    <m/>
    <m/>
    <m/>
    <m/>
    <m/>
    <m/>
    <m/>
    <m/>
    <m/>
    <m/>
    <m/>
    <m/>
    <m/>
    <m/>
    <m/>
    <m/>
    <m/>
    <m/>
    <m/>
    <m/>
    <m/>
    <m/>
    <m/>
    <m/>
    <m/>
    <m/>
    <m/>
    <m/>
    <m/>
    <m/>
    <m/>
    <m/>
    <m/>
    <m/>
    <m/>
    <m/>
    <m/>
    <m/>
    <m/>
    <m/>
    <m/>
    <m/>
    <m/>
    <m/>
    <m/>
    <m/>
    <m/>
    <m/>
    <m/>
    <m/>
  </r>
  <r>
    <m/>
    <s v="Y"/>
    <x v="1"/>
    <m/>
    <x v="12"/>
    <x v="100"/>
    <s v="LaPrima B1 MA (West)"/>
    <s v=""/>
    <s v=" "/>
    <n v="25"/>
    <m/>
    <x v="2"/>
    <m/>
    <m/>
    <m/>
    <m/>
    <m/>
    <m/>
    <m/>
    <m/>
    <m/>
    <m/>
    <m/>
    <m/>
    <m/>
    <m/>
    <m/>
    <m/>
    <m/>
    <m/>
    <m/>
    <m/>
    <m/>
    <m/>
    <m/>
    <m/>
    <m/>
    <m/>
    <m/>
    <m/>
    <m/>
    <m/>
    <m/>
    <m/>
    <m/>
    <m/>
    <m/>
    <m/>
    <m/>
    <m/>
    <m/>
    <m/>
    <m/>
    <m/>
    <m/>
    <m/>
    <m/>
    <m/>
    <m/>
    <m/>
    <m/>
    <m/>
    <m/>
    <m/>
    <m/>
    <m/>
    <m/>
    <m/>
    <m/>
    <m/>
    <m/>
    <m/>
    <m/>
    <m/>
    <m/>
    <m/>
    <m/>
    <m/>
    <m/>
    <m/>
    <m/>
    <m/>
    <m/>
    <m/>
    <m/>
    <m/>
    <m/>
    <m/>
    <m/>
    <m/>
    <m/>
    <m/>
    <m/>
    <m/>
    <m/>
    <m/>
    <m/>
    <m/>
    <m/>
    <m/>
    <m/>
    <m/>
    <m/>
    <m/>
    <m/>
    <m/>
    <m/>
    <m/>
    <m/>
    <m/>
    <m/>
    <m/>
    <m/>
    <m/>
    <m/>
    <m/>
    <m/>
    <m/>
    <m/>
    <m/>
    <m/>
    <m/>
    <m/>
    <m/>
    <m/>
    <m/>
    <m/>
    <m/>
  </r>
  <r>
    <m/>
    <m/>
    <x v="2"/>
    <m/>
    <x v="12"/>
    <x v="101"/>
    <s v="Prince B99 MA (Row 29-38)"/>
    <d v="2023-09-13T00:00:00"/>
    <n v="19.399999999999999"/>
    <m/>
    <m/>
    <x v="15"/>
    <m/>
    <m/>
    <m/>
    <m/>
    <m/>
    <m/>
    <m/>
    <m/>
    <m/>
    <m/>
    <m/>
    <m/>
    <m/>
    <m/>
    <m/>
    <m/>
    <m/>
    <m/>
    <m/>
    <m/>
    <m/>
    <m/>
    <m/>
    <m/>
    <m/>
    <m/>
    <m/>
    <m/>
    <m/>
    <m/>
    <m/>
    <m/>
    <m/>
    <m/>
    <m/>
    <m/>
    <m/>
    <m/>
    <m/>
    <m/>
    <m/>
    <n v="18.2"/>
    <m/>
    <m/>
    <m/>
    <m/>
    <m/>
    <n v="19.399999999999999"/>
    <m/>
    <m/>
    <m/>
    <m/>
    <m/>
    <m/>
    <m/>
    <m/>
    <m/>
    <m/>
    <m/>
    <m/>
    <m/>
    <m/>
    <m/>
    <m/>
    <m/>
    <m/>
    <m/>
    <m/>
    <m/>
    <m/>
    <m/>
    <m/>
    <m/>
    <m/>
    <m/>
    <m/>
    <m/>
    <m/>
    <m/>
    <m/>
    <m/>
    <m/>
    <m/>
    <m/>
    <m/>
    <m/>
    <m/>
    <m/>
    <m/>
    <m/>
    <m/>
    <m/>
    <m/>
    <m/>
    <m/>
    <m/>
    <m/>
    <m/>
    <m/>
    <m/>
    <m/>
    <m/>
    <m/>
    <m/>
    <m/>
    <m/>
    <m/>
    <m/>
    <m/>
    <m/>
    <m/>
    <m/>
    <m/>
    <m/>
    <m/>
    <m/>
  </r>
  <r>
    <m/>
    <m/>
    <x v="0"/>
    <m/>
    <x v="13"/>
    <x v="0"/>
    <s v=" MUSCAT CANNELLI"/>
    <m/>
    <m/>
    <m/>
    <m/>
    <x v="0"/>
    <m/>
    <m/>
    <m/>
    <m/>
    <m/>
    <m/>
    <m/>
    <m/>
    <m/>
    <m/>
    <m/>
    <m/>
    <m/>
    <m/>
    <m/>
    <m/>
    <m/>
    <m/>
    <m/>
    <m/>
    <m/>
    <m/>
    <m/>
    <m/>
    <m/>
    <m/>
    <m/>
    <m/>
    <m/>
    <m/>
    <m/>
    <m/>
    <m/>
    <m/>
    <m/>
    <m/>
    <m/>
    <m/>
    <m/>
    <m/>
    <m/>
    <m/>
    <m/>
    <m/>
    <m/>
    <m/>
    <m/>
    <m/>
    <m/>
    <m/>
    <m/>
    <m/>
    <m/>
    <m/>
    <m/>
    <m/>
    <m/>
    <m/>
    <m/>
    <m/>
    <m/>
    <m/>
    <m/>
    <m/>
    <m/>
    <m/>
    <m/>
    <m/>
    <m/>
    <m/>
    <m/>
    <m/>
    <m/>
    <m/>
    <m/>
    <m/>
    <m/>
    <m/>
    <m/>
    <m/>
    <m/>
    <m/>
    <m/>
    <m/>
    <m/>
    <m/>
    <m/>
    <m/>
    <m/>
    <m/>
    <m/>
    <m/>
    <m/>
    <m/>
    <m/>
    <m/>
    <m/>
    <m/>
    <m/>
    <m/>
    <m/>
    <m/>
    <m/>
    <m/>
    <m/>
    <m/>
    <m/>
    <m/>
    <m/>
    <m/>
    <m/>
    <m/>
    <m/>
    <m/>
    <m/>
    <m/>
  </r>
  <r>
    <m/>
    <s v="Y"/>
    <x v="2"/>
    <n v="28.51"/>
    <x v="13"/>
    <x v="102"/>
    <s v="Diablo Dutra B7 (Old) MC"/>
    <d v="2023-09-11T00:00:00"/>
    <n v="20.6"/>
    <n v="22"/>
    <n v="23.5"/>
    <x v="1"/>
    <m/>
    <m/>
    <m/>
    <m/>
    <m/>
    <m/>
    <m/>
    <m/>
    <m/>
    <m/>
    <m/>
    <n v="15.4"/>
    <m/>
    <m/>
    <m/>
    <m/>
    <m/>
    <m/>
    <n v="16.100000000000001"/>
    <m/>
    <m/>
    <m/>
    <m/>
    <m/>
    <m/>
    <n v="16.899999999999999"/>
    <m/>
    <m/>
    <m/>
    <m/>
    <m/>
    <m/>
    <n v="18.600000000000001"/>
    <m/>
    <m/>
    <m/>
    <m/>
    <m/>
    <m/>
    <n v="18.600000000000001"/>
    <m/>
    <m/>
    <m/>
    <m/>
    <m/>
    <n v="20.6"/>
    <m/>
    <m/>
    <m/>
    <m/>
    <m/>
    <m/>
    <m/>
    <m/>
    <m/>
    <m/>
    <m/>
    <m/>
    <m/>
    <m/>
    <m/>
    <m/>
    <m/>
    <m/>
    <m/>
    <m/>
    <m/>
    <m/>
    <m/>
    <m/>
    <m/>
    <m/>
    <m/>
    <m/>
    <m/>
    <m/>
    <m/>
    <m/>
    <m/>
    <m/>
    <m/>
    <m/>
    <m/>
    <m/>
    <m/>
    <m/>
    <m/>
    <m/>
    <m/>
    <m/>
    <m/>
    <m/>
    <m/>
    <m/>
    <m/>
    <m/>
    <m/>
    <m/>
    <m/>
    <m/>
    <m/>
    <m/>
    <m/>
    <m/>
    <m/>
    <m/>
    <m/>
    <m/>
    <m/>
    <m/>
    <m/>
    <m/>
    <m/>
    <m/>
    <m/>
    <m/>
  </r>
  <r>
    <m/>
    <s v="Y"/>
    <x v="2"/>
    <m/>
    <x v="13"/>
    <x v="103"/>
    <s v="Diablo Dutra B7 (Whip Graft) MC"/>
    <d v="2023-09-11T00:00:00"/>
    <n v="21.9"/>
    <n v="22"/>
    <n v="23.5"/>
    <x v="1"/>
    <m/>
    <m/>
    <m/>
    <m/>
    <m/>
    <m/>
    <m/>
    <m/>
    <m/>
    <m/>
    <m/>
    <m/>
    <m/>
    <m/>
    <m/>
    <m/>
    <m/>
    <m/>
    <n v="16"/>
    <m/>
    <m/>
    <m/>
    <m/>
    <m/>
    <m/>
    <n v="17.600000000000001"/>
    <m/>
    <m/>
    <m/>
    <m/>
    <m/>
    <m/>
    <n v="18.8"/>
    <m/>
    <m/>
    <m/>
    <m/>
    <m/>
    <m/>
    <n v="19.2"/>
    <m/>
    <m/>
    <m/>
    <m/>
    <m/>
    <n v="21.9"/>
    <m/>
    <m/>
    <m/>
    <m/>
    <m/>
    <m/>
    <m/>
    <m/>
    <m/>
    <m/>
    <m/>
    <m/>
    <m/>
    <m/>
    <m/>
    <m/>
    <m/>
    <m/>
    <m/>
    <m/>
    <m/>
    <m/>
    <m/>
    <m/>
    <m/>
    <m/>
    <m/>
    <m/>
    <m/>
    <m/>
    <m/>
    <m/>
    <m/>
    <m/>
    <m/>
    <m/>
    <m/>
    <m/>
    <m/>
    <m/>
    <m/>
    <m/>
    <m/>
    <m/>
    <m/>
    <m/>
    <m/>
    <m/>
    <m/>
    <m/>
    <m/>
    <m/>
    <m/>
    <m/>
    <m/>
    <m/>
    <m/>
    <m/>
    <m/>
    <m/>
    <m/>
    <m/>
    <m/>
    <m/>
    <m/>
    <m/>
    <m/>
    <m/>
    <m/>
    <m/>
  </r>
  <r>
    <m/>
    <m/>
    <x v="0"/>
    <m/>
    <x v="14"/>
    <x v="0"/>
    <s v=" MERLOT"/>
    <m/>
    <m/>
    <m/>
    <m/>
    <x v="0"/>
    <m/>
    <m/>
    <m/>
    <m/>
    <m/>
    <m/>
    <m/>
    <m/>
    <m/>
    <m/>
    <m/>
    <m/>
    <m/>
    <m/>
    <m/>
    <m/>
    <m/>
    <m/>
    <m/>
    <m/>
    <m/>
    <m/>
    <m/>
    <m/>
    <m/>
    <m/>
    <m/>
    <m/>
    <m/>
    <m/>
    <m/>
    <m/>
    <m/>
    <m/>
    <m/>
    <m/>
    <m/>
    <m/>
    <m/>
    <m/>
    <m/>
    <m/>
    <m/>
    <m/>
    <m/>
    <m/>
    <m/>
    <m/>
    <m/>
    <m/>
    <m/>
    <m/>
    <m/>
    <m/>
    <m/>
    <m/>
    <m/>
    <m/>
    <m/>
    <m/>
    <m/>
    <m/>
    <m/>
    <m/>
    <m/>
    <m/>
    <m/>
    <m/>
    <m/>
    <m/>
    <m/>
    <m/>
    <m/>
    <m/>
    <m/>
    <m/>
    <m/>
    <m/>
    <m/>
    <m/>
    <m/>
    <m/>
    <m/>
    <m/>
    <m/>
    <m/>
    <m/>
    <m/>
    <m/>
    <m/>
    <m/>
    <m/>
    <m/>
    <m/>
    <m/>
    <m/>
    <m/>
    <m/>
    <m/>
    <m/>
    <m/>
    <m/>
    <m/>
    <m/>
    <m/>
    <m/>
    <m/>
    <m/>
    <m/>
    <m/>
    <m/>
    <m/>
    <m/>
    <m/>
    <m/>
    <m/>
  </r>
  <r>
    <m/>
    <m/>
    <x v="3"/>
    <n v="36.68"/>
    <x v="14"/>
    <x v="104"/>
    <s v="98 Oaks B7 ME"/>
    <d v="2023-09-12T00:00:00"/>
    <n v="24.9"/>
    <n v="24.5"/>
    <n v="25"/>
    <x v="1"/>
    <m/>
    <m/>
    <m/>
    <m/>
    <m/>
    <m/>
    <m/>
    <m/>
    <m/>
    <m/>
    <m/>
    <m/>
    <m/>
    <m/>
    <m/>
    <m/>
    <m/>
    <m/>
    <m/>
    <n v="18.5"/>
    <m/>
    <m/>
    <m/>
    <m/>
    <m/>
    <m/>
    <m/>
    <m/>
    <n v="20.6"/>
    <m/>
    <m/>
    <m/>
    <m/>
    <m/>
    <m/>
    <m/>
    <n v="23"/>
    <m/>
    <m/>
    <m/>
    <n v="23.4"/>
    <m/>
    <m/>
    <m/>
    <m/>
    <m/>
    <n v="24.9"/>
    <m/>
    <m/>
    <m/>
    <m/>
    <m/>
    <m/>
    <m/>
    <m/>
    <m/>
    <m/>
    <m/>
    <m/>
    <m/>
    <m/>
    <m/>
    <m/>
    <m/>
    <m/>
    <m/>
    <m/>
    <m/>
    <m/>
    <m/>
    <m/>
    <m/>
    <m/>
    <m/>
    <m/>
    <m/>
    <m/>
    <m/>
    <m/>
    <m/>
    <m/>
    <m/>
    <m/>
    <m/>
    <m/>
    <m/>
    <m/>
    <m/>
    <m/>
    <m/>
    <m/>
    <m/>
    <m/>
    <m/>
    <m/>
    <m/>
    <m/>
    <m/>
    <m/>
    <m/>
    <m/>
    <m/>
    <m/>
    <m/>
    <m/>
    <m/>
    <m/>
    <m/>
    <m/>
    <m/>
    <m/>
    <m/>
    <m/>
    <m/>
    <m/>
    <m/>
  </r>
  <r>
    <m/>
    <m/>
    <x v="1"/>
    <n v="46.96"/>
    <x v="14"/>
    <x v="105"/>
    <s v="Bender Burlington ME"/>
    <d v="2023-09-11T00:00:00"/>
    <s v="25.3*"/>
    <n v="22.5"/>
    <m/>
    <x v="2"/>
    <m/>
    <m/>
    <m/>
    <m/>
    <m/>
    <m/>
    <m/>
    <m/>
    <m/>
    <m/>
    <m/>
    <m/>
    <m/>
    <m/>
    <m/>
    <m/>
    <m/>
    <m/>
    <n v="17"/>
    <m/>
    <m/>
    <m/>
    <m/>
    <m/>
    <m/>
    <m/>
    <m/>
    <m/>
    <m/>
    <m/>
    <m/>
    <m/>
    <m/>
    <s v="22.1*"/>
    <m/>
    <m/>
    <m/>
    <m/>
    <m/>
    <m/>
    <m/>
    <m/>
    <m/>
    <m/>
    <m/>
    <s v="25.3*"/>
    <m/>
    <m/>
    <m/>
    <m/>
    <m/>
    <m/>
    <m/>
    <m/>
    <m/>
    <m/>
    <m/>
    <m/>
    <m/>
    <m/>
    <m/>
    <m/>
    <m/>
    <m/>
    <m/>
    <m/>
    <m/>
    <m/>
    <m/>
    <m/>
    <m/>
    <m/>
    <m/>
    <m/>
    <m/>
    <m/>
    <m/>
    <m/>
    <m/>
    <m/>
    <m/>
    <m/>
    <m/>
    <m/>
    <m/>
    <m/>
    <m/>
    <m/>
    <m/>
    <m/>
    <m/>
    <m/>
    <m/>
    <m/>
    <m/>
    <m/>
    <m/>
    <m/>
    <m/>
    <m/>
    <m/>
    <m/>
    <m/>
    <m/>
    <m/>
    <m/>
    <m/>
    <m/>
    <m/>
    <m/>
    <m/>
    <m/>
    <m/>
    <m/>
    <m/>
    <m/>
  </r>
  <r>
    <m/>
    <s v="Y"/>
    <x v="3"/>
    <n v="135.53"/>
    <x v="14"/>
    <x v="106"/>
    <s v="Clements 3 Oaks BLK 1"/>
    <d v="2023-08-31T00:00:00"/>
    <n v="22.5"/>
    <n v="24"/>
    <m/>
    <x v="6"/>
    <m/>
    <m/>
    <m/>
    <m/>
    <m/>
    <m/>
    <m/>
    <m/>
    <m/>
    <m/>
    <m/>
    <m/>
    <n v="15"/>
    <m/>
    <m/>
    <m/>
    <m/>
    <m/>
    <m/>
    <m/>
    <m/>
    <m/>
    <m/>
    <m/>
    <m/>
    <m/>
    <m/>
    <m/>
    <m/>
    <n v="20.5"/>
    <m/>
    <m/>
    <m/>
    <m/>
    <n v="22.5"/>
    <m/>
    <m/>
    <m/>
    <m/>
    <m/>
    <m/>
    <m/>
    <m/>
    <m/>
    <m/>
    <m/>
    <m/>
    <m/>
    <m/>
    <m/>
    <m/>
    <m/>
    <m/>
    <m/>
    <m/>
    <m/>
    <m/>
    <m/>
    <m/>
    <m/>
    <m/>
    <m/>
    <m/>
    <m/>
    <m/>
    <m/>
    <m/>
    <m/>
    <m/>
    <m/>
    <m/>
    <m/>
    <m/>
    <m/>
    <m/>
    <m/>
    <m/>
    <m/>
    <m/>
    <m/>
    <m/>
    <m/>
    <m/>
    <m/>
    <m/>
    <m/>
    <m/>
    <m/>
    <m/>
    <m/>
    <m/>
    <m/>
    <m/>
    <m/>
    <m/>
    <m/>
    <m/>
    <m/>
    <m/>
    <m/>
    <m/>
    <m/>
    <m/>
    <m/>
    <m/>
    <m/>
    <m/>
    <m/>
    <m/>
    <m/>
    <m/>
    <m/>
    <m/>
    <m/>
    <m/>
    <m/>
  </r>
  <r>
    <m/>
    <s v="Y"/>
    <x v="3"/>
    <m/>
    <x v="14"/>
    <x v="106"/>
    <s v="Clements 3 Oaks BLK 1 - MID"/>
    <s v=""/>
    <s v=" "/>
    <n v="24"/>
    <m/>
    <x v="6"/>
    <m/>
    <m/>
    <m/>
    <m/>
    <m/>
    <m/>
    <m/>
    <m/>
    <m/>
    <m/>
    <m/>
    <m/>
    <m/>
    <m/>
    <m/>
    <m/>
    <m/>
    <m/>
    <m/>
    <m/>
    <m/>
    <m/>
    <m/>
    <m/>
    <m/>
    <m/>
    <m/>
    <m/>
    <m/>
    <m/>
    <m/>
    <m/>
    <m/>
    <m/>
    <m/>
    <m/>
    <m/>
    <m/>
    <m/>
    <m/>
    <m/>
    <m/>
    <m/>
    <m/>
    <m/>
    <m/>
    <m/>
    <m/>
    <m/>
    <m/>
    <m/>
    <m/>
    <m/>
    <m/>
    <m/>
    <m/>
    <m/>
    <m/>
    <m/>
    <m/>
    <m/>
    <m/>
    <m/>
    <m/>
    <m/>
    <m/>
    <m/>
    <m/>
    <m/>
    <m/>
    <m/>
    <m/>
    <m/>
    <m/>
    <m/>
    <m/>
    <m/>
    <m/>
    <m/>
    <m/>
    <m/>
    <m/>
    <m/>
    <m/>
    <m/>
    <m/>
    <m/>
    <m/>
    <m/>
    <m/>
    <m/>
    <m/>
    <m/>
    <m/>
    <m/>
    <m/>
    <m/>
    <m/>
    <m/>
    <m/>
    <m/>
    <m/>
    <m/>
    <m/>
    <m/>
    <m/>
    <m/>
    <m/>
    <m/>
    <m/>
    <m/>
    <m/>
    <m/>
    <m/>
    <m/>
    <m/>
  </r>
  <r>
    <m/>
    <s v="Y"/>
    <x v="3"/>
    <m/>
    <x v="14"/>
    <x v="106"/>
    <s v="Clements 3 Oaks BLK 1 - N"/>
    <s v=""/>
    <s v=" "/>
    <n v="24"/>
    <m/>
    <x v="6"/>
    <m/>
    <m/>
    <m/>
    <m/>
    <m/>
    <m/>
    <m/>
    <m/>
    <m/>
    <m/>
    <m/>
    <m/>
    <m/>
    <m/>
    <m/>
    <m/>
    <m/>
    <m/>
    <m/>
    <m/>
    <m/>
    <m/>
    <m/>
    <m/>
    <m/>
    <m/>
    <m/>
    <m/>
    <m/>
    <m/>
    <m/>
    <m/>
    <m/>
    <m/>
    <m/>
    <m/>
    <m/>
    <m/>
    <m/>
    <m/>
    <m/>
    <m/>
    <m/>
    <m/>
    <m/>
    <m/>
    <m/>
    <m/>
    <m/>
    <m/>
    <m/>
    <m/>
    <m/>
    <m/>
    <m/>
    <m/>
    <m/>
    <m/>
    <m/>
    <m/>
    <m/>
    <m/>
    <m/>
    <m/>
    <m/>
    <m/>
    <m/>
    <m/>
    <m/>
    <m/>
    <m/>
    <m/>
    <m/>
    <m/>
    <m/>
    <m/>
    <m/>
    <m/>
    <m/>
    <m/>
    <m/>
    <m/>
    <m/>
    <m/>
    <m/>
    <m/>
    <m/>
    <m/>
    <m/>
    <m/>
    <m/>
    <m/>
    <m/>
    <m/>
    <m/>
    <m/>
    <m/>
    <m/>
    <m/>
    <m/>
    <m/>
    <m/>
    <m/>
    <m/>
    <m/>
    <m/>
    <m/>
    <m/>
    <m/>
    <m/>
    <m/>
    <m/>
    <m/>
    <m/>
    <m/>
    <m/>
  </r>
  <r>
    <m/>
    <s v="Y"/>
    <x v="3"/>
    <m/>
    <x v="14"/>
    <x v="106"/>
    <s v="Clements 3 Oaks BLK 1 - S"/>
    <s v=""/>
    <s v=" "/>
    <n v="24"/>
    <m/>
    <x v="6"/>
    <m/>
    <m/>
    <m/>
    <m/>
    <m/>
    <m/>
    <m/>
    <m/>
    <m/>
    <m/>
    <m/>
    <m/>
    <m/>
    <m/>
    <m/>
    <m/>
    <m/>
    <m/>
    <m/>
    <m/>
    <m/>
    <m/>
    <m/>
    <m/>
    <m/>
    <m/>
    <m/>
    <m/>
    <m/>
    <m/>
    <m/>
    <m/>
    <m/>
    <m/>
    <m/>
    <m/>
    <m/>
    <m/>
    <m/>
    <m/>
    <m/>
    <m/>
    <m/>
    <m/>
    <m/>
    <m/>
    <m/>
    <m/>
    <m/>
    <m/>
    <m/>
    <m/>
    <m/>
    <m/>
    <m/>
    <m/>
    <m/>
    <m/>
    <m/>
    <m/>
    <m/>
    <m/>
    <m/>
    <m/>
    <m/>
    <m/>
    <m/>
    <m/>
    <m/>
    <m/>
    <m/>
    <m/>
    <m/>
    <m/>
    <m/>
    <m/>
    <m/>
    <m/>
    <m/>
    <m/>
    <m/>
    <m/>
    <m/>
    <m/>
    <m/>
    <m/>
    <m/>
    <m/>
    <m/>
    <m/>
    <m/>
    <m/>
    <m/>
    <m/>
    <m/>
    <m/>
    <m/>
    <m/>
    <m/>
    <m/>
    <m/>
    <m/>
    <m/>
    <m/>
    <m/>
    <m/>
    <m/>
    <m/>
    <m/>
    <m/>
    <m/>
    <m/>
    <m/>
    <m/>
    <m/>
    <m/>
  </r>
  <r>
    <m/>
    <s v="Y"/>
    <x v="3"/>
    <n v="72.66"/>
    <x v="14"/>
    <x v="107"/>
    <s v="Clements Lane ME (North)"/>
    <d v="2023-09-04T00:00:00"/>
    <n v="21.6"/>
    <n v="24"/>
    <n v="24.5"/>
    <x v="1"/>
    <m/>
    <m/>
    <m/>
    <m/>
    <m/>
    <m/>
    <m/>
    <m/>
    <m/>
    <m/>
    <m/>
    <m/>
    <m/>
    <m/>
    <m/>
    <m/>
    <m/>
    <m/>
    <m/>
    <m/>
    <m/>
    <n v="18"/>
    <m/>
    <m/>
    <m/>
    <m/>
    <m/>
    <m/>
    <n v="19.899999999999999"/>
    <m/>
    <m/>
    <m/>
    <m/>
    <m/>
    <m/>
    <m/>
    <m/>
    <m/>
    <n v="21.6"/>
    <m/>
    <m/>
    <m/>
    <m/>
    <m/>
    <m/>
    <m/>
    <m/>
    <m/>
    <m/>
    <m/>
    <m/>
    <m/>
    <m/>
    <m/>
    <m/>
    <m/>
    <m/>
    <m/>
    <m/>
    <m/>
    <m/>
    <m/>
    <m/>
    <m/>
    <m/>
    <m/>
    <m/>
    <m/>
    <m/>
    <m/>
    <m/>
    <m/>
    <m/>
    <m/>
    <m/>
    <m/>
    <m/>
    <m/>
    <m/>
    <m/>
    <m/>
    <m/>
    <m/>
    <m/>
    <m/>
    <m/>
    <m/>
    <m/>
    <m/>
    <m/>
    <m/>
    <m/>
    <m/>
    <m/>
    <m/>
    <m/>
    <m/>
    <m/>
    <m/>
    <m/>
    <m/>
    <m/>
    <m/>
    <m/>
    <m/>
    <m/>
    <m/>
    <m/>
    <m/>
    <m/>
    <m/>
    <m/>
    <m/>
    <m/>
    <m/>
    <m/>
  </r>
  <r>
    <m/>
    <s v="Y"/>
    <x v="3"/>
    <m/>
    <x v="14"/>
    <x v="107"/>
    <s v="Clements Lane ME (South)"/>
    <d v="2023-09-04T00:00:00"/>
    <n v="22.2"/>
    <n v="24"/>
    <n v="24.5"/>
    <x v="1"/>
    <m/>
    <m/>
    <m/>
    <m/>
    <m/>
    <m/>
    <m/>
    <m/>
    <m/>
    <m/>
    <m/>
    <m/>
    <m/>
    <m/>
    <m/>
    <m/>
    <m/>
    <m/>
    <m/>
    <m/>
    <m/>
    <n v="19.100000000000001"/>
    <m/>
    <m/>
    <m/>
    <m/>
    <m/>
    <m/>
    <n v="20.399999999999999"/>
    <m/>
    <m/>
    <m/>
    <m/>
    <m/>
    <m/>
    <m/>
    <m/>
    <m/>
    <n v="22.2"/>
    <m/>
    <m/>
    <m/>
    <m/>
    <m/>
    <m/>
    <m/>
    <m/>
    <m/>
    <m/>
    <m/>
    <m/>
    <m/>
    <m/>
    <m/>
    <m/>
    <m/>
    <m/>
    <m/>
    <m/>
    <m/>
    <m/>
    <m/>
    <m/>
    <m/>
    <m/>
    <m/>
    <m/>
    <m/>
    <m/>
    <m/>
    <m/>
    <m/>
    <m/>
    <m/>
    <m/>
    <m/>
    <m/>
    <m/>
    <m/>
    <m/>
    <m/>
    <m/>
    <m/>
    <m/>
    <m/>
    <m/>
    <m/>
    <m/>
    <m/>
    <m/>
    <m/>
    <m/>
    <m/>
    <m/>
    <m/>
    <m/>
    <m/>
    <m/>
    <m/>
    <m/>
    <m/>
    <m/>
    <m/>
    <m/>
    <m/>
    <m/>
    <m/>
    <m/>
    <m/>
    <m/>
    <m/>
    <m/>
    <m/>
    <m/>
    <m/>
    <m/>
  </r>
  <r>
    <m/>
    <m/>
    <x v="3"/>
    <n v="38.44"/>
    <x v="14"/>
    <x v="108"/>
    <s v="Clements Paddy Creek BLK 1 (Kettleman)"/>
    <s v=""/>
    <s v=" "/>
    <n v="24"/>
    <m/>
    <x v="8"/>
    <m/>
    <m/>
    <m/>
    <m/>
    <m/>
    <m/>
    <m/>
    <m/>
    <m/>
    <m/>
    <m/>
    <m/>
    <m/>
    <m/>
    <m/>
    <m/>
    <m/>
    <m/>
    <m/>
    <m/>
    <m/>
    <m/>
    <m/>
    <m/>
    <m/>
    <m/>
    <m/>
    <m/>
    <m/>
    <m/>
    <m/>
    <m/>
    <m/>
    <m/>
    <m/>
    <m/>
    <m/>
    <m/>
    <m/>
    <m/>
    <m/>
    <m/>
    <m/>
    <m/>
    <m/>
    <m/>
    <m/>
    <m/>
    <m/>
    <m/>
    <m/>
    <m/>
    <m/>
    <m/>
    <m/>
    <m/>
    <m/>
    <m/>
    <m/>
    <m/>
    <m/>
    <m/>
    <m/>
    <m/>
    <m/>
    <m/>
    <m/>
    <m/>
    <m/>
    <m/>
    <m/>
    <m/>
    <m/>
    <m/>
    <m/>
    <m/>
    <m/>
    <m/>
    <m/>
    <m/>
    <m/>
    <m/>
    <m/>
    <m/>
    <m/>
    <m/>
    <m/>
    <m/>
    <m/>
    <m/>
    <m/>
    <m/>
    <m/>
    <m/>
    <m/>
    <m/>
    <m/>
    <m/>
    <m/>
    <m/>
    <m/>
    <m/>
    <m/>
    <m/>
    <m/>
    <m/>
    <m/>
    <m/>
    <m/>
    <m/>
    <m/>
    <m/>
    <m/>
    <m/>
    <m/>
    <m/>
  </r>
  <r>
    <m/>
    <m/>
    <x v="3"/>
    <n v="43.28"/>
    <x v="14"/>
    <x v="109"/>
    <s v="Clements Paddy Creek BLK 3 (Tully)"/>
    <s v=""/>
    <s v=" "/>
    <n v="24"/>
    <m/>
    <x v="8"/>
    <m/>
    <m/>
    <m/>
    <m/>
    <m/>
    <m/>
    <m/>
    <m/>
    <m/>
    <m/>
    <m/>
    <m/>
    <m/>
    <m/>
    <m/>
    <m/>
    <m/>
    <m/>
    <m/>
    <m/>
    <m/>
    <m/>
    <m/>
    <m/>
    <m/>
    <m/>
    <m/>
    <m/>
    <m/>
    <m/>
    <m/>
    <m/>
    <m/>
    <m/>
    <m/>
    <m/>
    <m/>
    <m/>
    <m/>
    <m/>
    <m/>
    <m/>
    <m/>
    <m/>
    <m/>
    <m/>
    <m/>
    <m/>
    <m/>
    <m/>
    <m/>
    <m/>
    <m/>
    <m/>
    <m/>
    <m/>
    <m/>
    <m/>
    <m/>
    <m/>
    <m/>
    <m/>
    <m/>
    <m/>
    <m/>
    <m/>
    <m/>
    <m/>
    <m/>
    <m/>
    <m/>
    <m/>
    <m/>
    <m/>
    <m/>
    <m/>
    <m/>
    <m/>
    <m/>
    <m/>
    <m/>
    <m/>
    <m/>
    <m/>
    <m/>
    <m/>
    <m/>
    <m/>
    <m/>
    <m/>
    <m/>
    <m/>
    <m/>
    <m/>
    <m/>
    <m/>
    <m/>
    <m/>
    <m/>
    <m/>
    <m/>
    <m/>
    <m/>
    <m/>
    <m/>
    <m/>
    <m/>
    <m/>
    <m/>
    <m/>
    <m/>
    <m/>
    <m/>
    <m/>
    <m/>
    <m/>
  </r>
  <r>
    <m/>
    <m/>
    <x v="3"/>
    <n v="61.29"/>
    <x v="14"/>
    <x v="110"/>
    <s v="Clements Paddy Creek BLK 5 (Harney) North"/>
    <d v="2023-09-12T00:00:00"/>
    <n v="23.8"/>
    <n v="24"/>
    <m/>
    <x v="8"/>
    <m/>
    <m/>
    <m/>
    <m/>
    <m/>
    <m/>
    <m/>
    <m/>
    <m/>
    <m/>
    <m/>
    <m/>
    <m/>
    <m/>
    <m/>
    <m/>
    <m/>
    <m/>
    <m/>
    <m/>
    <m/>
    <m/>
    <m/>
    <m/>
    <m/>
    <m/>
    <m/>
    <m/>
    <m/>
    <m/>
    <m/>
    <m/>
    <m/>
    <m/>
    <m/>
    <m/>
    <m/>
    <m/>
    <m/>
    <m/>
    <m/>
    <m/>
    <m/>
    <m/>
    <m/>
    <m/>
    <n v="23.8"/>
    <m/>
    <m/>
    <m/>
    <m/>
    <m/>
    <m/>
    <m/>
    <m/>
    <m/>
    <m/>
    <m/>
    <m/>
    <m/>
    <m/>
    <m/>
    <m/>
    <m/>
    <m/>
    <m/>
    <m/>
    <m/>
    <m/>
    <m/>
    <m/>
    <m/>
    <m/>
    <m/>
    <m/>
    <m/>
    <m/>
    <m/>
    <m/>
    <m/>
    <m/>
    <m/>
    <m/>
    <m/>
    <m/>
    <m/>
    <m/>
    <m/>
    <m/>
    <m/>
    <m/>
    <m/>
    <m/>
    <m/>
    <m/>
    <m/>
    <m/>
    <m/>
    <m/>
    <m/>
    <m/>
    <m/>
    <m/>
    <m/>
    <m/>
    <m/>
    <m/>
    <m/>
    <m/>
    <m/>
    <m/>
    <m/>
    <m/>
    <m/>
    <m/>
    <m/>
  </r>
  <r>
    <m/>
    <m/>
    <x v="3"/>
    <n v="61.29"/>
    <x v="14"/>
    <x v="110"/>
    <s v="Clements Paddy Creek BLK 5 (Harney) South"/>
    <d v="2023-09-12T00:00:00"/>
    <n v="24.2"/>
    <n v="24"/>
    <m/>
    <x v="8"/>
    <m/>
    <m/>
    <m/>
    <m/>
    <m/>
    <m/>
    <m/>
    <m/>
    <m/>
    <m/>
    <m/>
    <m/>
    <m/>
    <m/>
    <m/>
    <m/>
    <m/>
    <m/>
    <m/>
    <m/>
    <m/>
    <m/>
    <m/>
    <m/>
    <m/>
    <m/>
    <m/>
    <m/>
    <m/>
    <m/>
    <m/>
    <m/>
    <m/>
    <m/>
    <m/>
    <m/>
    <m/>
    <m/>
    <m/>
    <m/>
    <m/>
    <m/>
    <m/>
    <m/>
    <m/>
    <m/>
    <n v="24.2"/>
    <m/>
    <m/>
    <m/>
    <m/>
    <m/>
    <m/>
    <m/>
    <m/>
    <m/>
    <m/>
    <m/>
    <m/>
    <m/>
    <m/>
    <m/>
    <m/>
    <m/>
    <m/>
    <m/>
    <m/>
    <m/>
    <m/>
    <m/>
    <m/>
    <m/>
    <m/>
    <m/>
    <m/>
    <m/>
    <m/>
    <m/>
    <m/>
    <m/>
    <m/>
    <m/>
    <m/>
    <m/>
    <m/>
    <m/>
    <m/>
    <m/>
    <m/>
    <m/>
    <m/>
    <m/>
    <m/>
    <m/>
    <m/>
    <m/>
    <m/>
    <m/>
    <m/>
    <m/>
    <m/>
    <m/>
    <m/>
    <m/>
    <m/>
    <m/>
    <m/>
    <m/>
    <m/>
    <m/>
    <m/>
    <m/>
    <m/>
    <m/>
    <m/>
    <m/>
  </r>
  <r>
    <m/>
    <m/>
    <x v="3"/>
    <n v="67.8"/>
    <x v="14"/>
    <x v="111"/>
    <s v="Clements Rose I"/>
    <s v=""/>
    <s v=" "/>
    <n v="23"/>
    <m/>
    <x v="8"/>
    <m/>
    <m/>
    <m/>
    <m/>
    <m/>
    <m/>
    <m/>
    <m/>
    <m/>
    <m/>
    <m/>
    <m/>
    <m/>
    <m/>
    <m/>
    <m/>
    <m/>
    <m/>
    <m/>
    <m/>
    <m/>
    <m/>
    <m/>
    <m/>
    <m/>
    <m/>
    <m/>
    <m/>
    <m/>
    <m/>
    <m/>
    <m/>
    <m/>
    <m/>
    <m/>
    <m/>
    <m/>
    <m/>
    <m/>
    <m/>
    <m/>
    <m/>
    <m/>
    <m/>
    <m/>
    <m/>
    <m/>
    <m/>
    <m/>
    <m/>
    <m/>
    <m/>
    <m/>
    <m/>
    <m/>
    <m/>
    <m/>
    <m/>
    <m/>
    <m/>
    <m/>
    <m/>
    <m/>
    <m/>
    <m/>
    <m/>
    <m/>
    <m/>
    <m/>
    <m/>
    <m/>
    <m/>
    <m/>
    <m/>
    <m/>
    <m/>
    <m/>
    <m/>
    <m/>
    <m/>
    <m/>
    <m/>
    <m/>
    <m/>
    <m/>
    <m/>
    <m/>
    <m/>
    <m/>
    <m/>
    <m/>
    <m/>
    <m/>
    <m/>
    <m/>
    <m/>
    <m/>
    <m/>
    <m/>
    <m/>
    <m/>
    <m/>
    <m/>
    <m/>
    <m/>
    <m/>
    <m/>
    <m/>
    <m/>
    <m/>
    <m/>
    <m/>
    <m/>
    <m/>
    <m/>
    <m/>
  </r>
  <r>
    <m/>
    <s v="Y"/>
    <x v="1"/>
    <n v="41.06"/>
    <x v="14"/>
    <x v="112"/>
    <s v="Ford - B4 ME (North East)"/>
    <d v="2023-09-13T00:00:00"/>
    <n v="24.3"/>
    <n v="24.5"/>
    <m/>
    <x v="8"/>
    <m/>
    <m/>
    <m/>
    <m/>
    <m/>
    <m/>
    <m/>
    <m/>
    <m/>
    <m/>
    <m/>
    <m/>
    <m/>
    <m/>
    <m/>
    <m/>
    <m/>
    <m/>
    <m/>
    <m/>
    <m/>
    <m/>
    <m/>
    <m/>
    <m/>
    <m/>
    <m/>
    <m/>
    <m/>
    <m/>
    <m/>
    <m/>
    <m/>
    <m/>
    <m/>
    <m/>
    <m/>
    <m/>
    <m/>
    <m/>
    <m/>
    <m/>
    <m/>
    <m/>
    <m/>
    <m/>
    <m/>
    <n v="24.3"/>
    <m/>
    <m/>
    <m/>
    <m/>
    <m/>
    <m/>
    <m/>
    <m/>
    <m/>
    <m/>
    <m/>
    <m/>
    <m/>
    <m/>
    <m/>
    <m/>
    <m/>
    <m/>
    <m/>
    <m/>
    <m/>
    <m/>
    <m/>
    <m/>
    <m/>
    <m/>
    <m/>
    <m/>
    <m/>
    <m/>
    <m/>
    <m/>
    <m/>
    <m/>
    <m/>
    <m/>
    <m/>
    <m/>
    <m/>
    <m/>
    <m/>
    <m/>
    <m/>
    <m/>
    <m/>
    <m/>
    <m/>
    <m/>
    <m/>
    <m/>
    <m/>
    <m/>
    <m/>
    <m/>
    <m/>
    <m/>
    <m/>
    <m/>
    <m/>
    <m/>
    <m/>
    <m/>
    <m/>
    <m/>
    <m/>
    <m/>
    <m/>
    <m/>
  </r>
  <r>
    <m/>
    <s v="Y"/>
    <x v="1"/>
    <n v="18.39"/>
    <x v="14"/>
    <x v="112"/>
    <s v="Ford - B4 ME (East)"/>
    <d v="2023-09-09T00:00:00"/>
    <n v="23"/>
    <n v="24.5"/>
    <m/>
    <x v="8"/>
    <m/>
    <m/>
    <m/>
    <m/>
    <m/>
    <m/>
    <m/>
    <m/>
    <m/>
    <m/>
    <m/>
    <m/>
    <m/>
    <m/>
    <m/>
    <m/>
    <m/>
    <m/>
    <m/>
    <m/>
    <m/>
    <m/>
    <m/>
    <m/>
    <m/>
    <m/>
    <m/>
    <m/>
    <m/>
    <m/>
    <m/>
    <m/>
    <m/>
    <m/>
    <m/>
    <m/>
    <m/>
    <m/>
    <m/>
    <m/>
    <m/>
    <m/>
    <m/>
    <n v="23"/>
    <m/>
    <m/>
    <m/>
    <m/>
    <m/>
    <m/>
    <m/>
    <m/>
    <m/>
    <m/>
    <m/>
    <m/>
    <m/>
    <m/>
    <m/>
    <m/>
    <m/>
    <m/>
    <m/>
    <m/>
    <m/>
    <m/>
    <m/>
    <m/>
    <m/>
    <m/>
    <m/>
    <m/>
    <m/>
    <m/>
    <m/>
    <m/>
    <m/>
    <m/>
    <m/>
    <m/>
    <m/>
    <m/>
    <m/>
    <m/>
    <m/>
    <m/>
    <m/>
    <m/>
    <m/>
    <m/>
    <m/>
    <m/>
    <m/>
    <m/>
    <m/>
    <m/>
    <m/>
    <m/>
    <m/>
    <m/>
    <m/>
    <m/>
    <m/>
    <m/>
    <m/>
    <m/>
    <m/>
    <m/>
    <m/>
    <m/>
    <m/>
    <m/>
    <m/>
    <m/>
    <m/>
    <m/>
  </r>
  <r>
    <m/>
    <s v="Y"/>
    <x v="1"/>
    <n v="12.46"/>
    <x v="14"/>
    <x v="112"/>
    <s v="Ford - B4 ME (West)"/>
    <d v="2023-09-09T00:00:00"/>
    <n v="22.4"/>
    <n v="24.5"/>
    <m/>
    <x v="8"/>
    <m/>
    <m/>
    <m/>
    <m/>
    <m/>
    <m/>
    <m/>
    <m/>
    <m/>
    <m/>
    <m/>
    <m/>
    <m/>
    <m/>
    <m/>
    <m/>
    <m/>
    <m/>
    <m/>
    <m/>
    <m/>
    <m/>
    <m/>
    <m/>
    <m/>
    <m/>
    <m/>
    <m/>
    <m/>
    <m/>
    <m/>
    <m/>
    <m/>
    <m/>
    <m/>
    <m/>
    <m/>
    <m/>
    <m/>
    <m/>
    <m/>
    <m/>
    <m/>
    <n v="22.4"/>
    <m/>
    <m/>
    <m/>
    <m/>
    <m/>
    <m/>
    <m/>
    <m/>
    <m/>
    <m/>
    <m/>
    <m/>
    <m/>
    <m/>
    <m/>
    <m/>
    <m/>
    <m/>
    <m/>
    <m/>
    <m/>
    <m/>
    <m/>
    <m/>
    <m/>
    <m/>
    <m/>
    <m/>
    <m/>
    <m/>
    <m/>
    <m/>
    <m/>
    <m/>
    <m/>
    <m/>
    <m/>
    <m/>
    <m/>
    <m/>
    <m/>
    <m/>
    <m/>
    <m/>
    <m/>
    <m/>
    <m/>
    <m/>
    <m/>
    <m/>
    <m/>
    <m/>
    <m/>
    <m/>
    <m/>
    <m/>
    <m/>
    <m/>
    <m/>
    <m/>
    <m/>
    <m/>
    <m/>
    <m/>
    <m/>
    <m/>
    <m/>
    <m/>
    <m/>
    <m/>
    <m/>
    <m/>
  </r>
  <r>
    <m/>
    <s v="Y"/>
    <x v="1"/>
    <n v="15.72"/>
    <x v="14"/>
    <x v="112"/>
    <s v="Ford - B4 ME 15.72 ac"/>
    <s v=""/>
    <s v=" "/>
    <n v="24.5"/>
    <m/>
    <x v="8"/>
    <m/>
    <m/>
    <m/>
    <m/>
    <m/>
    <m/>
    <m/>
    <m/>
    <m/>
    <m/>
    <m/>
    <m/>
    <m/>
    <m/>
    <m/>
    <m/>
    <m/>
    <m/>
    <m/>
    <m/>
    <m/>
    <m/>
    <m/>
    <m/>
    <m/>
    <m/>
    <m/>
    <m/>
    <m/>
    <m/>
    <m/>
    <m/>
    <m/>
    <m/>
    <m/>
    <m/>
    <m/>
    <m/>
    <m/>
    <m/>
    <m/>
    <m/>
    <m/>
    <m/>
    <m/>
    <m/>
    <m/>
    <m/>
    <m/>
    <m/>
    <m/>
    <m/>
    <m/>
    <m/>
    <m/>
    <m/>
    <m/>
    <m/>
    <m/>
    <m/>
    <m/>
    <m/>
    <m/>
    <m/>
    <m/>
    <m/>
    <m/>
    <m/>
    <m/>
    <m/>
    <m/>
    <m/>
    <m/>
    <m/>
    <m/>
    <m/>
    <m/>
    <m/>
    <m/>
    <m/>
    <m/>
    <m/>
    <m/>
    <m/>
    <m/>
    <m/>
    <m/>
    <m/>
    <m/>
    <m/>
    <m/>
    <m/>
    <m/>
    <m/>
    <m/>
    <m/>
    <m/>
    <m/>
    <m/>
    <m/>
    <m/>
    <m/>
    <m/>
    <m/>
    <m/>
    <m/>
    <m/>
    <m/>
    <m/>
    <m/>
    <m/>
    <m/>
    <m/>
    <m/>
    <m/>
    <m/>
  </r>
  <r>
    <m/>
    <s v="Y"/>
    <x v="1"/>
    <n v="3.59"/>
    <x v="14"/>
    <x v="112"/>
    <s v="Ford - B4 ME 3.59 ac"/>
    <s v=""/>
    <s v=" "/>
    <n v="24.5"/>
    <m/>
    <x v="8"/>
    <m/>
    <m/>
    <m/>
    <m/>
    <m/>
    <m/>
    <m/>
    <m/>
    <m/>
    <m/>
    <m/>
    <m/>
    <m/>
    <m/>
    <m/>
    <m/>
    <m/>
    <m/>
    <m/>
    <m/>
    <m/>
    <m/>
    <m/>
    <m/>
    <m/>
    <m/>
    <m/>
    <m/>
    <m/>
    <m/>
    <m/>
    <m/>
    <m/>
    <m/>
    <m/>
    <m/>
    <m/>
    <m/>
    <m/>
    <m/>
    <m/>
    <m/>
    <m/>
    <m/>
    <m/>
    <m/>
    <m/>
    <m/>
    <m/>
    <m/>
    <m/>
    <m/>
    <m/>
    <m/>
    <m/>
    <m/>
    <m/>
    <m/>
    <m/>
    <m/>
    <m/>
    <m/>
    <m/>
    <m/>
    <m/>
    <m/>
    <m/>
    <m/>
    <m/>
    <m/>
    <m/>
    <m/>
    <m/>
    <m/>
    <m/>
    <m/>
    <m/>
    <m/>
    <m/>
    <m/>
    <m/>
    <m/>
    <m/>
    <m/>
    <m/>
    <m/>
    <m/>
    <m/>
    <m/>
    <m/>
    <m/>
    <m/>
    <m/>
    <m/>
    <m/>
    <m/>
    <m/>
    <m/>
    <m/>
    <m/>
    <m/>
    <m/>
    <m/>
    <m/>
    <m/>
    <m/>
    <m/>
    <m/>
    <m/>
    <m/>
    <m/>
    <m/>
    <m/>
    <m/>
    <m/>
    <m/>
  </r>
  <r>
    <m/>
    <s v="Y"/>
    <x v="1"/>
    <n v="9.2899999999999991"/>
    <x v="14"/>
    <x v="112"/>
    <s v="Ford - B4 ME 9.29 ac"/>
    <s v=""/>
    <s v=" "/>
    <n v="24.5"/>
    <m/>
    <x v="8"/>
    <m/>
    <m/>
    <m/>
    <m/>
    <m/>
    <m/>
    <m/>
    <m/>
    <m/>
    <m/>
    <m/>
    <m/>
    <m/>
    <m/>
    <m/>
    <m/>
    <m/>
    <m/>
    <m/>
    <m/>
    <m/>
    <m/>
    <m/>
    <m/>
    <m/>
    <m/>
    <m/>
    <m/>
    <m/>
    <m/>
    <m/>
    <m/>
    <m/>
    <m/>
    <m/>
    <m/>
    <m/>
    <m/>
    <m/>
    <m/>
    <m/>
    <m/>
    <m/>
    <m/>
    <m/>
    <m/>
    <m/>
    <m/>
    <m/>
    <m/>
    <m/>
    <m/>
    <m/>
    <m/>
    <m/>
    <m/>
    <m/>
    <m/>
    <m/>
    <m/>
    <m/>
    <m/>
    <m/>
    <m/>
    <m/>
    <m/>
    <m/>
    <m/>
    <m/>
    <m/>
    <m/>
    <m/>
    <m/>
    <m/>
    <m/>
    <m/>
    <m/>
    <m/>
    <m/>
    <m/>
    <m/>
    <m/>
    <m/>
    <m/>
    <m/>
    <m/>
    <m/>
    <m/>
    <m/>
    <m/>
    <m/>
    <m/>
    <m/>
    <m/>
    <m/>
    <m/>
    <m/>
    <m/>
    <m/>
    <m/>
    <m/>
    <m/>
    <m/>
    <m/>
    <m/>
    <m/>
    <m/>
    <m/>
    <m/>
    <m/>
    <m/>
    <m/>
    <m/>
    <m/>
    <m/>
    <m/>
  </r>
  <r>
    <m/>
    <s v="Y"/>
    <x v="1"/>
    <n v="18.39"/>
    <x v="14"/>
    <x v="113"/>
    <s v="Ford - BLK 5"/>
    <s v=""/>
    <s v=" "/>
    <m/>
    <m/>
    <x v="2"/>
    <m/>
    <m/>
    <m/>
    <m/>
    <m/>
    <m/>
    <m/>
    <m/>
    <m/>
    <m/>
    <m/>
    <m/>
    <m/>
    <m/>
    <m/>
    <m/>
    <m/>
    <m/>
    <m/>
    <m/>
    <m/>
    <m/>
    <m/>
    <m/>
    <m/>
    <m/>
    <m/>
    <m/>
    <m/>
    <m/>
    <m/>
    <m/>
    <m/>
    <m/>
    <m/>
    <m/>
    <m/>
    <m/>
    <m/>
    <m/>
    <m/>
    <m/>
    <m/>
    <m/>
    <m/>
    <m/>
    <m/>
    <m/>
    <m/>
    <m/>
    <m/>
    <m/>
    <m/>
    <m/>
    <m/>
    <m/>
    <m/>
    <m/>
    <m/>
    <m/>
    <m/>
    <m/>
    <m/>
    <m/>
    <m/>
    <m/>
    <m/>
    <m/>
    <m/>
    <m/>
    <m/>
    <m/>
    <m/>
    <m/>
    <m/>
    <m/>
    <m/>
    <m/>
    <m/>
    <m/>
    <m/>
    <m/>
    <m/>
    <m/>
    <m/>
    <m/>
    <m/>
    <m/>
    <m/>
    <m/>
    <m/>
    <m/>
    <m/>
    <m/>
    <m/>
    <m/>
    <m/>
    <m/>
    <m/>
    <m/>
    <m/>
    <m/>
    <m/>
    <m/>
    <m/>
    <m/>
    <m/>
    <m/>
    <m/>
    <m/>
    <m/>
    <m/>
    <m/>
    <m/>
    <m/>
    <m/>
  </r>
  <r>
    <m/>
    <s v="Y"/>
    <x v="1"/>
    <n v="34.06"/>
    <x v="14"/>
    <x v="114"/>
    <s v="LaPrima B3 ME"/>
    <d v="2023-09-11T00:00:00"/>
    <n v="25.4"/>
    <n v="24"/>
    <m/>
    <x v="7"/>
    <m/>
    <m/>
    <m/>
    <m/>
    <m/>
    <m/>
    <m/>
    <m/>
    <m/>
    <m/>
    <m/>
    <m/>
    <m/>
    <m/>
    <m/>
    <m/>
    <m/>
    <m/>
    <m/>
    <m/>
    <m/>
    <m/>
    <m/>
    <m/>
    <m/>
    <m/>
    <m/>
    <m/>
    <m/>
    <m/>
    <m/>
    <m/>
    <m/>
    <m/>
    <m/>
    <m/>
    <m/>
    <m/>
    <m/>
    <m/>
    <m/>
    <m/>
    <m/>
    <m/>
    <m/>
    <n v="25.4"/>
    <m/>
    <m/>
    <m/>
    <m/>
    <m/>
    <m/>
    <m/>
    <m/>
    <m/>
    <m/>
    <m/>
    <m/>
    <m/>
    <m/>
    <m/>
    <m/>
    <m/>
    <m/>
    <m/>
    <m/>
    <m/>
    <m/>
    <m/>
    <m/>
    <m/>
    <m/>
    <m/>
    <m/>
    <m/>
    <m/>
    <m/>
    <m/>
    <m/>
    <m/>
    <m/>
    <m/>
    <m/>
    <m/>
    <m/>
    <m/>
    <m/>
    <m/>
    <m/>
    <m/>
    <m/>
    <m/>
    <m/>
    <m/>
    <m/>
    <m/>
    <m/>
    <m/>
    <m/>
    <m/>
    <m/>
    <m/>
    <m/>
    <m/>
    <m/>
    <m/>
    <m/>
    <m/>
    <m/>
    <m/>
    <m/>
    <m/>
    <m/>
    <m/>
    <m/>
    <m/>
  </r>
  <r>
    <m/>
    <s v="Y"/>
    <x v="1"/>
    <m/>
    <x v="14"/>
    <x v="114"/>
    <s v="LaPrima B3 ME (North)"/>
    <d v="2023-09-12T00:00:00"/>
    <n v="24.5"/>
    <n v="24"/>
    <m/>
    <x v="7"/>
    <m/>
    <m/>
    <m/>
    <m/>
    <m/>
    <m/>
    <m/>
    <m/>
    <m/>
    <m/>
    <m/>
    <m/>
    <m/>
    <m/>
    <m/>
    <m/>
    <m/>
    <m/>
    <m/>
    <m/>
    <m/>
    <m/>
    <m/>
    <m/>
    <m/>
    <m/>
    <m/>
    <m/>
    <m/>
    <m/>
    <m/>
    <m/>
    <m/>
    <m/>
    <m/>
    <m/>
    <m/>
    <m/>
    <m/>
    <m/>
    <m/>
    <m/>
    <m/>
    <m/>
    <m/>
    <m/>
    <n v="24.5"/>
    <m/>
    <m/>
    <m/>
    <m/>
    <m/>
    <m/>
    <m/>
    <m/>
    <m/>
    <m/>
    <m/>
    <m/>
    <m/>
    <m/>
    <m/>
    <m/>
    <m/>
    <m/>
    <m/>
    <m/>
    <m/>
    <m/>
    <m/>
    <m/>
    <m/>
    <m/>
    <m/>
    <m/>
    <m/>
    <m/>
    <m/>
    <m/>
    <m/>
    <m/>
    <m/>
    <m/>
    <m/>
    <m/>
    <m/>
    <m/>
    <m/>
    <m/>
    <m/>
    <m/>
    <m/>
    <m/>
    <m/>
    <m/>
    <m/>
    <m/>
    <m/>
    <m/>
    <m/>
    <m/>
    <m/>
    <m/>
    <m/>
    <m/>
    <m/>
    <m/>
    <m/>
    <m/>
    <m/>
    <m/>
    <m/>
    <m/>
    <m/>
    <m/>
    <m/>
  </r>
  <r>
    <m/>
    <s v="Y"/>
    <x v="1"/>
    <m/>
    <x v="14"/>
    <x v="114"/>
    <s v="LaPrima B3 ME (South)"/>
    <d v="2023-09-12T00:00:00"/>
    <n v="22.1"/>
    <n v="24"/>
    <m/>
    <x v="7"/>
    <m/>
    <m/>
    <m/>
    <m/>
    <m/>
    <m/>
    <m/>
    <m/>
    <m/>
    <m/>
    <m/>
    <m/>
    <m/>
    <m/>
    <m/>
    <m/>
    <m/>
    <m/>
    <m/>
    <m/>
    <m/>
    <m/>
    <m/>
    <m/>
    <m/>
    <m/>
    <m/>
    <m/>
    <m/>
    <m/>
    <m/>
    <m/>
    <m/>
    <m/>
    <m/>
    <m/>
    <m/>
    <m/>
    <m/>
    <m/>
    <m/>
    <m/>
    <m/>
    <m/>
    <m/>
    <m/>
    <n v="22.1"/>
    <m/>
    <m/>
    <m/>
    <m/>
    <m/>
    <m/>
    <m/>
    <m/>
    <m/>
    <m/>
    <m/>
    <m/>
    <m/>
    <m/>
    <m/>
    <m/>
    <m/>
    <m/>
    <m/>
    <m/>
    <m/>
    <m/>
    <m/>
    <m/>
    <m/>
    <m/>
    <m/>
    <m/>
    <m/>
    <m/>
    <m/>
    <m/>
    <m/>
    <m/>
    <m/>
    <m/>
    <m/>
    <m/>
    <m/>
    <m/>
    <m/>
    <m/>
    <m/>
    <m/>
    <m/>
    <m/>
    <m/>
    <m/>
    <m/>
    <m/>
    <m/>
    <m/>
    <m/>
    <m/>
    <m/>
    <m/>
    <m/>
    <m/>
    <m/>
    <m/>
    <m/>
    <m/>
    <m/>
    <m/>
    <m/>
    <m/>
    <m/>
    <m/>
    <m/>
  </r>
  <r>
    <m/>
    <s v="Y"/>
    <x v="1"/>
    <n v="66.48"/>
    <x v="14"/>
    <x v="115"/>
    <s v="LF JW2 BLK 1"/>
    <s v=""/>
    <s v=" "/>
    <n v="24"/>
    <m/>
    <x v="8"/>
    <m/>
    <m/>
    <m/>
    <m/>
    <m/>
    <m/>
    <m/>
    <m/>
    <m/>
    <m/>
    <m/>
    <m/>
    <m/>
    <m/>
    <m/>
    <m/>
    <m/>
    <m/>
    <m/>
    <m/>
    <m/>
    <m/>
    <m/>
    <m/>
    <m/>
    <m/>
    <m/>
    <m/>
    <m/>
    <m/>
    <m/>
    <m/>
    <m/>
    <m/>
    <m/>
    <m/>
    <m/>
    <m/>
    <m/>
    <m/>
    <m/>
    <m/>
    <m/>
    <m/>
    <m/>
    <m/>
    <m/>
    <m/>
    <m/>
    <m/>
    <m/>
    <m/>
    <m/>
    <m/>
    <m/>
    <m/>
    <m/>
    <m/>
    <m/>
    <m/>
    <m/>
    <m/>
    <m/>
    <m/>
    <m/>
    <m/>
    <m/>
    <m/>
    <m/>
    <m/>
    <m/>
    <m/>
    <m/>
    <m/>
    <m/>
    <m/>
    <m/>
    <m/>
    <m/>
    <m/>
    <m/>
    <m/>
    <m/>
    <m/>
    <m/>
    <m/>
    <m/>
    <m/>
    <m/>
    <m/>
    <m/>
    <m/>
    <m/>
    <m/>
    <m/>
    <m/>
    <m/>
    <m/>
    <m/>
    <m/>
    <m/>
    <m/>
    <m/>
    <m/>
    <m/>
    <m/>
    <m/>
    <m/>
    <m/>
    <m/>
    <m/>
    <m/>
    <m/>
    <m/>
    <m/>
    <m/>
  </r>
  <r>
    <m/>
    <s v="Y"/>
    <x v="1"/>
    <m/>
    <x v="14"/>
    <x v="115"/>
    <s v="LF JW2 BLK 1 - N"/>
    <s v=""/>
    <s v=" "/>
    <n v="24"/>
    <m/>
    <x v="8"/>
    <m/>
    <m/>
    <m/>
    <m/>
    <m/>
    <m/>
    <m/>
    <m/>
    <m/>
    <m/>
    <m/>
    <m/>
    <m/>
    <m/>
    <m/>
    <m/>
    <m/>
    <m/>
    <m/>
    <m/>
    <m/>
    <m/>
    <m/>
    <m/>
    <m/>
    <m/>
    <m/>
    <m/>
    <m/>
    <m/>
    <m/>
    <m/>
    <m/>
    <m/>
    <m/>
    <m/>
    <m/>
    <m/>
    <m/>
    <m/>
    <m/>
    <m/>
    <m/>
    <m/>
    <m/>
    <m/>
    <m/>
    <m/>
    <m/>
    <m/>
    <m/>
    <m/>
    <m/>
    <m/>
    <m/>
    <m/>
    <m/>
    <m/>
    <m/>
    <m/>
    <m/>
    <m/>
    <m/>
    <m/>
    <m/>
    <m/>
    <m/>
    <m/>
    <m/>
    <m/>
    <m/>
    <m/>
    <m/>
    <m/>
    <m/>
    <m/>
    <m/>
    <m/>
    <m/>
    <m/>
    <m/>
    <m/>
    <m/>
    <m/>
    <m/>
    <m/>
    <m/>
    <m/>
    <m/>
    <m/>
    <m/>
    <m/>
    <m/>
    <m/>
    <m/>
    <m/>
    <m/>
    <m/>
    <m/>
    <m/>
    <m/>
    <m/>
    <m/>
    <m/>
    <m/>
    <m/>
    <m/>
    <m/>
    <m/>
    <m/>
    <m/>
    <m/>
    <m/>
    <m/>
    <m/>
    <m/>
  </r>
  <r>
    <m/>
    <s v="Y"/>
    <x v="1"/>
    <m/>
    <x v="14"/>
    <x v="115"/>
    <s v="LF JW2 BLK 1 - S"/>
    <s v=""/>
    <s v=" "/>
    <n v="24"/>
    <m/>
    <x v="8"/>
    <m/>
    <m/>
    <m/>
    <m/>
    <m/>
    <m/>
    <m/>
    <m/>
    <m/>
    <m/>
    <m/>
    <m/>
    <m/>
    <m/>
    <m/>
    <m/>
    <m/>
    <m/>
    <m/>
    <m/>
    <m/>
    <m/>
    <m/>
    <m/>
    <m/>
    <m/>
    <m/>
    <m/>
    <m/>
    <m/>
    <m/>
    <m/>
    <m/>
    <m/>
    <m/>
    <m/>
    <m/>
    <m/>
    <m/>
    <m/>
    <m/>
    <m/>
    <m/>
    <m/>
    <m/>
    <m/>
    <m/>
    <m/>
    <m/>
    <m/>
    <m/>
    <m/>
    <m/>
    <m/>
    <m/>
    <m/>
    <m/>
    <m/>
    <m/>
    <m/>
    <m/>
    <m/>
    <m/>
    <m/>
    <m/>
    <m/>
    <m/>
    <m/>
    <m/>
    <m/>
    <m/>
    <m/>
    <m/>
    <m/>
    <m/>
    <m/>
    <m/>
    <m/>
    <m/>
    <m/>
    <m/>
    <m/>
    <m/>
    <m/>
    <m/>
    <m/>
    <m/>
    <m/>
    <m/>
    <m/>
    <m/>
    <m/>
    <m/>
    <m/>
    <m/>
    <m/>
    <m/>
    <m/>
    <m/>
    <m/>
    <m/>
    <m/>
    <m/>
    <m/>
    <m/>
    <m/>
    <m/>
    <m/>
    <m/>
    <m/>
    <m/>
    <m/>
    <m/>
    <m/>
    <m/>
    <m/>
  </r>
  <r>
    <m/>
    <m/>
    <x v="3"/>
    <n v="34.08"/>
    <x v="14"/>
    <x v="116"/>
    <s v="Proplant BLK 1 - E"/>
    <s v=""/>
    <s v=" "/>
    <n v="24.5"/>
    <m/>
    <x v="6"/>
    <m/>
    <m/>
    <m/>
    <m/>
    <m/>
    <m/>
    <m/>
    <m/>
    <m/>
    <m/>
    <m/>
    <m/>
    <m/>
    <m/>
    <m/>
    <m/>
    <m/>
    <m/>
    <m/>
    <m/>
    <m/>
    <m/>
    <m/>
    <m/>
    <m/>
    <m/>
    <m/>
    <m/>
    <m/>
    <m/>
    <m/>
    <m/>
    <m/>
    <m/>
    <m/>
    <m/>
    <m/>
    <m/>
    <m/>
    <m/>
    <m/>
    <m/>
    <m/>
    <m/>
    <m/>
    <m/>
    <m/>
    <m/>
    <m/>
    <m/>
    <m/>
    <m/>
    <m/>
    <m/>
    <m/>
    <m/>
    <m/>
    <m/>
    <m/>
    <m/>
    <m/>
    <m/>
    <m/>
    <m/>
    <m/>
    <m/>
    <m/>
    <m/>
    <m/>
    <m/>
    <m/>
    <m/>
    <m/>
    <m/>
    <m/>
    <m/>
    <m/>
    <m/>
    <m/>
    <m/>
    <m/>
    <m/>
    <m/>
    <m/>
    <m/>
    <m/>
    <m/>
    <m/>
    <m/>
    <m/>
    <m/>
    <m/>
    <m/>
    <m/>
    <m/>
    <m/>
    <m/>
    <m/>
    <m/>
    <m/>
    <m/>
    <m/>
    <m/>
    <m/>
    <m/>
    <m/>
    <m/>
    <m/>
    <m/>
    <m/>
    <m/>
    <m/>
    <m/>
    <m/>
    <m/>
    <m/>
  </r>
  <r>
    <m/>
    <m/>
    <x v="3"/>
    <m/>
    <x v="14"/>
    <x v="116"/>
    <s v="Proplant BLK 1 - W"/>
    <s v=""/>
    <s v=" "/>
    <n v="24.5"/>
    <m/>
    <x v="6"/>
    <m/>
    <m/>
    <m/>
    <m/>
    <m/>
    <m/>
    <m/>
    <m/>
    <m/>
    <m/>
    <m/>
    <m/>
    <m/>
    <m/>
    <m/>
    <m/>
    <m/>
    <m/>
    <m/>
    <m/>
    <m/>
    <m/>
    <m/>
    <m/>
    <m/>
    <m/>
    <m/>
    <m/>
    <m/>
    <m/>
    <m/>
    <m/>
    <m/>
    <m/>
    <m/>
    <m/>
    <m/>
    <m/>
    <m/>
    <m/>
    <m/>
    <m/>
    <m/>
    <m/>
    <m/>
    <m/>
    <m/>
    <m/>
    <m/>
    <m/>
    <m/>
    <m/>
    <m/>
    <m/>
    <m/>
    <m/>
    <m/>
    <m/>
    <m/>
    <m/>
    <m/>
    <m/>
    <m/>
    <m/>
    <m/>
    <m/>
    <m/>
    <m/>
    <m/>
    <m/>
    <m/>
    <m/>
    <m/>
    <m/>
    <m/>
    <m/>
    <m/>
    <m/>
    <m/>
    <m/>
    <m/>
    <m/>
    <m/>
    <m/>
    <m/>
    <m/>
    <m/>
    <m/>
    <m/>
    <m/>
    <m/>
    <m/>
    <m/>
    <m/>
    <m/>
    <m/>
    <m/>
    <m/>
    <m/>
    <m/>
    <m/>
    <m/>
    <m/>
    <m/>
    <m/>
    <m/>
    <m/>
    <m/>
    <m/>
    <m/>
    <m/>
    <m/>
    <m/>
    <m/>
    <m/>
    <m/>
  </r>
  <r>
    <m/>
    <m/>
    <x v="3"/>
    <m/>
    <x v="14"/>
    <x v="116"/>
    <s v="Proplant BLK 1 (Craig)"/>
    <d v="2023-08-25T00:00:00"/>
    <n v="17.5"/>
    <n v="24.5"/>
    <m/>
    <x v="6"/>
    <m/>
    <m/>
    <m/>
    <m/>
    <m/>
    <m/>
    <m/>
    <m/>
    <m/>
    <m/>
    <m/>
    <m/>
    <n v="9"/>
    <m/>
    <m/>
    <m/>
    <m/>
    <m/>
    <m/>
    <m/>
    <m/>
    <m/>
    <m/>
    <m/>
    <m/>
    <m/>
    <m/>
    <m/>
    <n v="17.5"/>
    <m/>
    <m/>
    <m/>
    <m/>
    <m/>
    <m/>
    <m/>
    <m/>
    <m/>
    <m/>
    <m/>
    <m/>
    <m/>
    <m/>
    <m/>
    <m/>
    <m/>
    <m/>
    <m/>
    <m/>
    <m/>
    <m/>
    <m/>
    <m/>
    <m/>
    <m/>
    <m/>
    <m/>
    <m/>
    <m/>
    <m/>
    <m/>
    <m/>
    <m/>
    <m/>
    <m/>
    <m/>
    <m/>
    <m/>
    <m/>
    <m/>
    <m/>
    <m/>
    <m/>
    <m/>
    <m/>
    <m/>
    <m/>
    <m/>
    <m/>
    <m/>
    <m/>
    <m/>
    <m/>
    <m/>
    <m/>
    <m/>
    <m/>
    <m/>
    <m/>
    <m/>
    <m/>
    <m/>
    <m/>
    <m/>
    <m/>
    <m/>
    <m/>
    <m/>
    <m/>
    <m/>
    <m/>
    <m/>
    <m/>
    <m/>
    <m/>
    <m/>
    <m/>
    <m/>
    <m/>
    <m/>
    <m/>
    <m/>
    <m/>
    <m/>
    <m/>
    <m/>
  </r>
  <r>
    <m/>
    <s v="Y"/>
    <x v="3"/>
    <n v="23.13"/>
    <x v="14"/>
    <x v="117"/>
    <s v="Smith B1 ME"/>
    <d v="2023-09-09T00:00:00"/>
    <n v="23.6"/>
    <n v="24"/>
    <n v="24.5"/>
    <x v="1"/>
    <m/>
    <m/>
    <m/>
    <m/>
    <m/>
    <m/>
    <m/>
    <m/>
    <m/>
    <m/>
    <m/>
    <m/>
    <m/>
    <m/>
    <m/>
    <m/>
    <m/>
    <m/>
    <m/>
    <m/>
    <m/>
    <n v="18.8"/>
    <m/>
    <m/>
    <m/>
    <m/>
    <m/>
    <m/>
    <n v="20.5"/>
    <m/>
    <m/>
    <m/>
    <m/>
    <m/>
    <m/>
    <m/>
    <m/>
    <m/>
    <n v="23.2"/>
    <m/>
    <m/>
    <m/>
    <m/>
    <n v="23.6"/>
    <m/>
    <m/>
    <m/>
    <m/>
    <m/>
    <m/>
    <m/>
    <m/>
    <m/>
    <m/>
    <m/>
    <m/>
    <m/>
    <m/>
    <m/>
    <m/>
    <m/>
    <m/>
    <m/>
    <m/>
    <m/>
    <m/>
    <m/>
    <m/>
    <m/>
    <m/>
    <m/>
    <m/>
    <m/>
    <m/>
    <m/>
    <m/>
    <m/>
    <m/>
    <m/>
    <m/>
    <m/>
    <m/>
    <m/>
    <m/>
    <m/>
    <m/>
    <m/>
    <m/>
    <m/>
    <m/>
    <m/>
    <m/>
    <m/>
    <m/>
    <m/>
    <m/>
    <m/>
    <m/>
    <m/>
    <m/>
    <m/>
    <m/>
    <m/>
    <m/>
    <m/>
    <m/>
    <m/>
    <m/>
    <m/>
    <m/>
    <m/>
    <m/>
    <m/>
    <m/>
    <m/>
    <m/>
  </r>
  <r>
    <m/>
    <m/>
    <x v="0"/>
    <m/>
    <x v="15"/>
    <x v="0"/>
    <s v=" MONTEPULCIANO"/>
    <m/>
    <m/>
    <m/>
    <m/>
    <x v="0"/>
    <m/>
    <m/>
    <m/>
    <m/>
    <m/>
    <m/>
    <m/>
    <m/>
    <m/>
    <m/>
    <m/>
    <m/>
    <m/>
    <m/>
    <m/>
    <m/>
    <m/>
    <m/>
    <m/>
    <m/>
    <m/>
    <m/>
    <m/>
    <m/>
    <m/>
    <m/>
    <m/>
    <m/>
    <m/>
    <m/>
    <m/>
    <m/>
    <m/>
    <m/>
    <m/>
    <m/>
    <m/>
    <m/>
    <m/>
    <m/>
    <m/>
    <m/>
    <m/>
    <m/>
    <m/>
    <m/>
    <m/>
    <m/>
    <m/>
    <m/>
    <m/>
    <m/>
    <m/>
    <m/>
    <m/>
    <m/>
    <m/>
    <m/>
    <m/>
    <m/>
    <m/>
    <m/>
    <m/>
    <m/>
    <m/>
    <m/>
    <m/>
    <m/>
    <m/>
    <m/>
    <m/>
    <m/>
    <m/>
    <m/>
    <m/>
    <m/>
    <m/>
    <m/>
    <m/>
    <m/>
    <m/>
    <m/>
    <m/>
    <m/>
    <m/>
    <m/>
    <m/>
    <m/>
    <m/>
    <m/>
    <m/>
    <m/>
    <m/>
    <m/>
    <m/>
    <m/>
    <m/>
    <m/>
    <m/>
    <m/>
    <m/>
    <m/>
    <m/>
    <m/>
    <m/>
    <m/>
    <m/>
    <m/>
    <m/>
    <m/>
    <m/>
    <m/>
    <m/>
    <m/>
    <m/>
    <m/>
  </r>
  <r>
    <m/>
    <s v="Y"/>
    <x v="1"/>
    <n v="4.6900000000000004"/>
    <x v="15"/>
    <x v="118"/>
    <s v="LF River BLK 5"/>
    <d v="2023-09-09T00:00:00"/>
    <n v="20"/>
    <n v="23.5"/>
    <n v="24"/>
    <x v="1"/>
    <m/>
    <m/>
    <m/>
    <m/>
    <m/>
    <m/>
    <m/>
    <m/>
    <m/>
    <m/>
    <m/>
    <m/>
    <m/>
    <m/>
    <m/>
    <m/>
    <m/>
    <m/>
    <m/>
    <m/>
    <m/>
    <m/>
    <m/>
    <m/>
    <m/>
    <m/>
    <m/>
    <m/>
    <m/>
    <m/>
    <m/>
    <m/>
    <m/>
    <m/>
    <m/>
    <n v="18.899999999999999"/>
    <m/>
    <m/>
    <m/>
    <m/>
    <m/>
    <m/>
    <m/>
    <n v="20"/>
    <m/>
    <m/>
    <m/>
    <m/>
    <m/>
    <m/>
    <m/>
    <m/>
    <m/>
    <m/>
    <m/>
    <m/>
    <m/>
    <m/>
    <m/>
    <m/>
    <m/>
    <m/>
    <m/>
    <m/>
    <m/>
    <m/>
    <m/>
    <m/>
    <m/>
    <m/>
    <m/>
    <m/>
    <m/>
    <m/>
    <m/>
    <m/>
    <m/>
    <m/>
    <m/>
    <m/>
    <m/>
    <m/>
    <m/>
    <m/>
    <m/>
    <m/>
    <m/>
    <m/>
    <m/>
    <m/>
    <m/>
    <m/>
    <m/>
    <m/>
    <m/>
    <m/>
    <m/>
    <m/>
    <m/>
    <m/>
    <m/>
    <m/>
    <m/>
    <m/>
    <m/>
    <m/>
    <m/>
    <m/>
    <m/>
    <m/>
    <m/>
    <m/>
    <m/>
    <m/>
    <m/>
    <m/>
  </r>
  <r>
    <m/>
    <m/>
    <x v="0"/>
    <m/>
    <x v="16"/>
    <x v="0"/>
    <s v=" NERO D AVOLA"/>
    <m/>
    <m/>
    <m/>
    <m/>
    <x v="0"/>
    <m/>
    <m/>
    <m/>
    <m/>
    <m/>
    <m/>
    <m/>
    <m/>
    <m/>
    <m/>
    <m/>
    <m/>
    <m/>
    <m/>
    <m/>
    <m/>
    <m/>
    <m/>
    <m/>
    <m/>
    <m/>
    <m/>
    <m/>
    <m/>
    <m/>
    <m/>
    <m/>
    <m/>
    <m/>
    <m/>
    <m/>
    <m/>
    <m/>
    <m/>
    <m/>
    <m/>
    <m/>
    <m/>
    <m/>
    <m/>
    <m/>
    <m/>
    <m/>
    <m/>
    <m/>
    <m/>
    <m/>
    <m/>
    <m/>
    <m/>
    <m/>
    <m/>
    <m/>
    <m/>
    <m/>
    <m/>
    <m/>
    <m/>
    <m/>
    <m/>
    <m/>
    <m/>
    <m/>
    <m/>
    <m/>
    <m/>
    <m/>
    <m/>
    <m/>
    <m/>
    <m/>
    <m/>
    <m/>
    <m/>
    <m/>
    <m/>
    <m/>
    <m/>
    <m/>
    <m/>
    <m/>
    <m/>
    <m/>
    <m/>
    <m/>
    <m/>
    <m/>
    <m/>
    <m/>
    <m/>
    <m/>
    <m/>
    <m/>
    <m/>
    <m/>
    <m/>
    <m/>
    <m/>
    <m/>
    <m/>
    <m/>
    <m/>
    <m/>
    <m/>
    <m/>
    <m/>
    <m/>
    <m/>
    <m/>
    <m/>
    <m/>
    <m/>
    <m/>
    <m/>
    <m/>
    <m/>
  </r>
  <r>
    <m/>
    <s v="Y"/>
    <x v="1"/>
    <n v="6.72"/>
    <x v="16"/>
    <x v="119"/>
    <s v="Donald David Fred"/>
    <d v="2023-08-30T00:00:00"/>
    <n v="19.100000000000001"/>
    <n v="21.5"/>
    <n v="23"/>
    <x v="1"/>
    <m/>
    <m/>
    <m/>
    <m/>
    <m/>
    <m/>
    <m/>
    <m/>
    <m/>
    <m/>
    <m/>
    <m/>
    <m/>
    <m/>
    <m/>
    <m/>
    <m/>
    <m/>
    <n v="15.7"/>
    <m/>
    <m/>
    <m/>
    <m/>
    <m/>
    <m/>
    <m/>
    <m/>
    <n v="17"/>
    <m/>
    <m/>
    <m/>
    <m/>
    <m/>
    <n v="19.100000000000001"/>
    <m/>
    <m/>
    <m/>
    <m/>
    <m/>
    <m/>
    <m/>
    <m/>
    <m/>
    <m/>
    <m/>
    <m/>
    <m/>
    <m/>
    <m/>
    <m/>
    <m/>
    <m/>
    <m/>
    <m/>
    <m/>
    <m/>
    <m/>
    <m/>
    <m/>
    <m/>
    <m/>
    <m/>
    <m/>
    <m/>
    <m/>
    <m/>
    <m/>
    <m/>
    <m/>
    <m/>
    <m/>
    <m/>
    <m/>
    <m/>
    <m/>
    <m/>
    <m/>
    <m/>
    <m/>
    <m/>
    <m/>
    <m/>
    <m/>
    <m/>
    <m/>
    <m/>
    <m/>
    <m/>
    <m/>
    <m/>
    <m/>
    <m/>
    <m/>
    <m/>
    <m/>
    <m/>
    <m/>
    <m/>
    <m/>
    <m/>
    <m/>
    <m/>
    <m/>
    <m/>
    <m/>
    <m/>
    <m/>
    <m/>
    <m/>
    <m/>
    <m/>
    <m/>
    <m/>
    <m/>
    <m/>
    <m/>
  </r>
  <r>
    <m/>
    <s v="Y"/>
    <x v="1"/>
    <n v="3.62"/>
    <x v="16"/>
    <x v="120"/>
    <s v="LF RedTail B1 ND"/>
    <d v="2023-09-09T00:00:00"/>
    <n v="20.9"/>
    <n v="23.5"/>
    <n v="24"/>
    <x v="1"/>
    <m/>
    <m/>
    <m/>
    <m/>
    <m/>
    <m/>
    <m/>
    <m/>
    <m/>
    <m/>
    <m/>
    <m/>
    <m/>
    <m/>
    <m/>
    <m/>
    <m/>
    <m/>
    <m/>
    <m/>
    <m/>
    <m/>
    <m/>
    <m/>
    <m/>
    <m/>
    <m/>
    <m/>
    <m/>
    <m/>
    <m/>
    <m/>
    <m/>
    <m/>
    <n v="20.399999999999999"/>
    <m/>
    <m/>
    <m/>
    <m/>
    <m/>
    <m/>
    <m/>
    <n v="23.5"/>
    <n v="20.9"/>
    <m/>
    <m/>
    <m/>
    <m/>
    <m/>
    <m/>
    <m/>
    <m/>
    <m/>
    <m/>
    <m/>
    <m/>
    <m/>
    <m/>
    <m/>
    <m/>
    <m/>
    <m/>
    <m/>
    <m/>
    <m/>
    <m/>
    <m/>
    <m/>
    <m/>
    <m/>
    <m/>
    <m/>
    <m/>
    <m/>
    <m/>
    <m/>
    <m/>
    <m/>
    <m/>
    <m/>
    <m/>
    <m/>
    <m/>
    <m/>
    <m/>
    <m/>
    <m/>
    <m/>
    <m/>
    <m/>
    <m/>
    <m/>
    <m/>
    <m/>
    <m/>
    <m/>
    <m/>
    <m/>
    <m/>
    <m/>
    <m/>
    <m/>
    <m/>
    <m/>
    <m/>
    <m/>
    <m/>
    <m/>
    <m/>
    <m/>
    <m/>
    <m/>
    <m/>
    <m/>
    <m/>
    <m/>
  </r>
  <r>
    <m/>
    <m/>
    <x v="0"/>
    <m/>
    <x v="17"/>
    <x v="0"/>
    <s v="PICPOUL BLANC"/>
    <m/>
    <m/>
    <m/>
    <m/>
    <x v="0"/>
    <m/>
    <m/>
    <m/>
    <m/>
    <m/>
    <m/>
    <m/>
    <m/>
    <m/>
    <m/>
    <m/>
    <m/>
    <m/>
    <m/>
    <m/>
    <m/>
    <m/>
    <m/>
    <m/>
    <m/>
    <m/>
    <m/>
    <m/>
    <m/>
    <m/>
    <m/>
    <m/>
    <m/>
    <m/>
    <m/>
    <m/>
    <m/>
    <m/>
    <m/>
    <m/>
    <m/>
    <m/>
    <m/>
    <m/>
    <m/>
    <m/>
    <m/>
    <m/>
    <m/>
    <m/>
    <m/>
    <m/>
    <m/>
    <m/>
    <m/>
    <m/>
    <m/>
    <m/>
    <m/>
    <m/>
    <m/>
    <m/>
    <m/>
    <m/>
    <m/>
    <m/>
    <m/>
    <m/>
    <m/>
    <m/>
    <m/>
    <m/>
    <m/>
    <m/>
    <m/>
    <m/>
    <m/>
    <m/>
    <m/>
    <m/>
    <m/>
    <m/>
    <m/>
    <m/>
    <m/>
    <m/>
    <m/>
    <m/>
    <m/>
    <m/>
    <m/>
    <m/>
    <m/>
    <m/>
    <m/>
    <m/>
    <m/>
    <m/>
    <m/>
    <m/>
    <m/>
    <m/>
    <m/>
    <m/>
    <m/>
    <m/>
    <m/>
    <m/>
    <m/>
    <m/>
    <m/>
    <m/>
    <m/>
    <m/>
    <m/>
    <m/>
    <m/>
    <m/>
    <m/>
    <m/>
    <m/>
  </r>
  <r>
    <m/>
    <m/>
    <x v="1"/>
    <n v="5.05"/>
    <x v="17"/>
    <x v="121"/>
    <s v="LF River B7 PB"/>
    <d v="2023-09-11T00:00:00"/>
    <n v="21.6"/>
    <n v="21"/>
    <n v="21.5"/>
    <x v="1"/>
    <m/>
    <m/>
    <m/>
    <m/>
    <m/>
    <m/>
    <m/>
    <m/>
    <m/>
    <m/>
    <m/>
    <m/>
    <m/>
    <m/>
    <m/>
    <m/>
    <m/>
    <m/>
    <m/>
    <m/>
    <n v="15.4"/>
    <m/>
    <m/>
    <m/>
    <m/>
    <m/>
    <m/>
    <m/>
    <m/>
    <m/>
    <m/>
    <s v="17.6*"/>
    <m/>
    <m/>
    <m/>
    <m/>
    <m/>
    <m/>
    <s v="19.8*"/>
    <m/>
    <m/>
    <m/>
    <m/>
    <m/>
    <m/>
    <n v="21.6"/>
    <m/>
    <m/>
    <m/>
    <m/>
    <m/>
    <m/>
    <m/>
    <m/>
    <m/>
    <m/>
    <m/>
    <m/>
    <m/>
    <m/>
    <m/>
    <m/>
    <m/>
    <m/>
    <m/>
    <m/>
    <m/>
    <m/>
    <m/>
    <m/>
    <m/>
    <m/>
    <m/>
    <m/>
    <m/>
    <m/>
    <m/>
    <m/>
    <m/>
    <m/>
    <m/>
    <m/>
    <m/>
    <m/>
    <m/>
    <m/>
    <m/>
    <m/>
    <m/>
    <m/>
    <m/>
    <m/>
    <m/>
    <m/>
    <m/>
    <m/>
    <m/>
    <m/>
    <m/>
    <m/>
    <m/>
    <m/>
    <m/>
    <m/>
    <m/>
    <m/>
    <m/>
    <m/>
    <m/>
    <m/>
    <m/>
    <m/>
    <m/>
    <m/>
    <m/>
    <m/>
  </r>
  <r>
    <m/>
    <m/>
    <x v="0"/>
    <m/>
    <x v="18"/>
    <x v="0"/>
    <s v=" PINOT GRIGIO"/>
    <m/>
    <m/>
    <m/>
    <m/>
    <x v="0"/>
    <m/>
    <m/>
    <m/>
    <m/>
    <m/>
    <m/>
    <m/>
    <m/>
    <m/>
    <m/>
    <m/>
    <m/>
    <m/>
    <m/>
    <m/>
    <m/>
    <m/>
    <m/>
    <m/>
    <m/>
    <m/>
    <m/>
    <m/>
    <m/>
    <m/>
    <m/>
    <m/>
    <m/>
    <m/>
    <m/>
    <m/>
    <m/>
    <m/>
    <m/>
    <m/>
    <m/>
    <m/>
    <m/>
    <m/>
    <m/>
    <m/>
    <m/>
    <m/>
    <m/>
    <m/>
    <m/>
    <m/>
    <m/>
    <m/>
    <m/>
    <m/>
    <m/>
    <m/>
    <m/>
    <m/>
    <m/>
    <m/>
    <m/>
    <m/>
    <m/>
    <m/>
    <m/>
    <m/>
    <m/>
    <m/>
    <m/>
    <m/>
    <m/>
    <m/>
    <m/>
    <m/>
    <m/>
    <m/>
    <m/>
    <m/>
    <m/>
    <m/>
    <m/>
    <m/>
    <m/>
    <m/>
    <m/>
    <m/>
    <m/>
    <m/>
    <m/>
    <m/>
    <m/>
    <m/>
    <m/>
    <m/>
    <m/>
    <m/>
    <m/>
    <m/>
    <m/>
    <m/>
    <m/>
    <m/>
    <m/>
    <m/>
    <m/>
    <m/>
    <m/>
    <m/>
    <m/>
    <m/>
    <m/>
    <m/>
    <m/>
    <m/>
    <m/>
    <m/>
    <m/>
    <m/>
    <m/>
  </r>
  <r>
    <m/>
    <m/>
    <x v="3"/>
    <n v="39.340000000000003"/>
    <x v="18"/>
    <x v="122"/>
    <s v="Clements Bear Creek B1 PG"/>
    <d v="2023-08-24T00:00:00"/>
    <n v="20"/>
    <m/>
    <m/>
    <x v="6"/>
    <m/>
    <m/>
    <m/>
    <m/>
    <n v="16.2"/>
    <m/>
    <m/>
    <m/>
    <m/>
    <m/>
    <n v="16.3"/>
    <m/>
    <n v="16.2"/>
    <m/>
    <m/>
    <m/>
    <m/>
    <n v="17.600000000000001"/>
    <m/>
    <n v="17"/>
    <m/>
    <m/>
    <m/>
    <m/>
    <n v="18.399999999999999"/>
    <m/>
    <m/>
    <n v="20"/>
    <m/>
    <m/>
    <m/>
    <m/>
    <m/>
    <m/>
    <m/>
    <m/>
    <m/>
    <m/>
    <m/>
    <m/>
    <m/>
    <m/>
    <m/>
    <m/>
    <m/>
    <m/>
    <m/>
    <m/>
    <m/>
    <m/>
    <m/>
    <m/>
    <m/>
    <m/>
    <m/>
    <m/>
    <m/>
    <m/>
    <m/>
    <m/>
    <m/>
    <m/>
    <m/>
    <m/>
    <m/>
    <m/>
    <m/>
    <m/>
    <m/>
    <m/>
    <m/>
    <m/>
    <m/>
    <m/>
    <m/>
    <m/>
    <m/>
    <m/>
    <m/>
    <m/>
    <m/>
    <m/>
    <m/>
    <m/>
    <m/>
    <m/>
    <m/>
    <m/>
    <m/>
    <m/>
    <m/>
    <m/>
    <m/>
    <m/>
    <m/>
    <m/>
    <m/>
    <m/>
    <m/>
    <m/>
    <m/>
    <m/>
    <m/>
    <m/>
    <m/>
    <m/>
    <m/>
    <m/>
    <m/>
    <m/>
    <m/>
    <m/>
    <m/>
    <m/>
    <m/>
    <m/>
  </r>
  <r>
    <s v="Y"/>
    <m/>
    <x v="2"/>
    <n v="102.93"/>
    <x v="18"/>
    <x v="123"/>
    <s v="Diablo Maria B2 PG (East)"/>
    <d v="2023-08-22T00:00:00"/>
    <n v="19.2"/>
    <n v="19"/>
    <m/>
    <x v="2"/>
    <m/>
    <m/>
    <m/>
    <m/>
    <m/>
    <m/>
    <m/>
    <m/>
    <m/>
    <m/>
    <m/>
    <m/>
    <m/>
    <m/>
    <m/>
    <m/>
    <m/>
    <m/>
    <m/>
    <m/>
    <n v="18.8"/>
    <m/>
    <m/>
    <m/>
    <m/>
    <n v="19.2"/>
    <m/>
    <m/>
    <m/>
    <m/>
    <m/>
    <m/>
    <m/>
    <m/>
    <m/>
    <m/>
    <m/>
    <m/>
    <m/>
    <m/>
    <m/>
    <m/>
    <m/>
    <m/>
    <m/>
    <m/>
    <m/>
    <m/>
    <m/>
    <m/>
    <m/>
    <m/>
    <m/>
    <m/>
    <m/>
    <m/>
    <m/>
    <m/>
    <m/>
    <m/>
    <m/>
    <m/>
    <m/>
    <m/>
    <m/>
    <m/>
    <m/>
    <m/>
    <m/>
    <m/>
    <m/>
    <m/>
    <m/>
    <m/>
    <m/>
    <m/>
    <m/>
    <m/>
    <m/>
    <m/>
    <m/>
    <m/>
    <m/>
    <m/>
    <m/>
    <m/>
    <m/>
    <m/>
    <m/>
    <m/>
    <m/>
    <m/>
    <m/>
    <m/>
    <m/>
    <m/>
    <m/>
    <m/>
    <m/>
    <m/>
    <m/>
    <m/>
    <m/>
    <m/>
    <m/>
    <m/>
    <m/>
    <m/>
    <m/>
    <m/>
    <m/>
    <m/>
    <m/>
    <m/>
    <m/>
    <m/>
  </r>
  <r>
    <s v="Y"/>
    <m/>
    <x v="2"/>
    <m/>
    <x v="18"/>
    <x v="123"/>
    <s v="Diablo Maria B2 PG (South)"/>
    <d v="2023-08-22T00:00:00"/>
    <n v="19.399999999999999"/>
    <n v="19"/>
    <m/>
    <x v="2"/>
    <m/>
    <m/>
    <m/>
    <m/>
    <m/>
    <m/>
    <m/>
    <m/>
    <m/>
    <m/>
    <m/>
    <m/>
    <m/>
    <m/>
    <m/>
    <m/>
    <m/>
    <m/>
    <m/>
    <m/>
    <m/>
    <m/>
    <m/>
    <m/>
    <m/>
    <n v="19.399999999999999"/>
    <m/>
    <m/>
    <m/>
    <m/>
    <m/>
    <m/>
    <m/>
    <m/>
    <m/>
    <m/>
    <m/>
    <m/>
    <m/>
    <m/>
    <m/>
    <m/>
    <m/>
    <m/>
    <m/>
    <m/>
    <m/>
    <m/>
    <m/>
    <m/>
    <m/>
    <m/>
    <m/>
    <m/>
    <m/>
    <m/>
    <m/>
    <m/>
    <m/>
    <m/>
    <m/>
    <m/>
    <m/>
    <m/>
    <m/>
    <m/>
    <m/>
    <m/>
    <m/>
    <m/>
    <m/>
    <m/>
    <m/>
    <m/>
    <m/>
    <m/>
    <m/>
    <m/>
    <m/>
    <m/>
    <m/>
    <m/>
    <m/>
    <m/>
    <m/>
    <m/>
    <m/>
    <m/>
    <m/>
    <m/>
    <m/>
    <m/>
    <m/>
    <m/>
    <m/>
    <m/>
    <m/>
    <m/>
    <m/>
    <m/>
    <m/>
    <m/>
    <m/>
    <m/>
    <m/>
    <m/>
    <m/>
    <m/>
    <m/>
    <m/>
    <m/>
    <m/>
    <m/>
    <m/>
    <m/>
    <m/>
  </r>
  <r>
    <s v="Y"/>
    <m/>
    <x v="2"/>
    <m/>
    <x v="18"/>
    <x v="123"/>
    <s v="Diablo Maria B2 PG (West)"/>
    <d v="2023-08-22T00:00:00"/>
    <n v="19.5"/>
    <n v="19"/>
    <m/>
    <x v="2"/>
    <m/>
    <m/>
    <m/>
    <m/>
    <m/>
    <m/>
    <m/>
    <m/>
    <m/>
    <m/>
    <m/>
    <m/>
    <m/>
    <m/>
    <m/>
    <m/>
    <m/>
    <m/>
    <m/>
    <m/>
    <m/>
    <m/>
    <m/>
    <m/>
    <m/>
    <n v="19.5"/>
    <m/>
    <m/>
    <m/>
    <m/>
    <m/>
    <m/>
    <m/>
    <m/>
    <m/>
    <m/>
    <m/>
    <m/>
    <m/>
    <m/>
    <m/>
    <m/>
    <m/>
    <m/>
    <m/>
    <m/>
    <m/>
    <m/>
    <m/>
    <m/>
    <m/>
    <m/>
    <m/>
    <m/>
    <m/>
    <m/>
    <m/>
    <m/>
    <m/>
    <m/>
    <m/>
    <m/>
    <m/>
    <m/>
    <m/>
    <m/>
    <m/>
    <m/>
    <m/>
    <m/>
    <m/>
    <m/>
    <m/>
    <m/>
    <m/>
    <m/>
    <m/>
    <m/>
    <m/>
    <m/>
    <m/>
    <m/>
    <m/>
    <m/>
    <m/>
    <m/>
    <m/>
    <m/>
    <m/>
    <m/>
    <m/>
    <m/>
    <m/>
    <m/>
    <m/>
    <m/>
    <m/>
    <m/>
    <m/>
    <m/>
    <m/>
    <m/>
    <m/>
    <m/>
    <m/>
    <m/>
    <m/>
    <m/>
    <m/>
    <m/>
    <m/>
    <m/>
    <m/>
    <m/>
    <m/>
    <m/>
  </r>
  <r>
    <s v="Y"/>
    <m/>
    <x v="2"/>
    <m/>
    <x v="18"/>
    <x v="123"/>
    <s v="Diablo Maria BLK 2 - MID"/>
    <s v=""/>
    <s v=" "/>
    <n v="19"/>
    <m/>
    <x v="2"/>
    <m/>
    <m/>
    <m/>
    <m/>
    <m/>
    <m/>
    <m/>
    <m/>
    <m/>
    <m/>
    <m/>
    <m/>
    <m/>
    <m/>
    <m/>
    <m/>
    <m/>
    <m/>
    <m/>
    <m/>
    <m/>
    <m/>
    <m/>
    <m/>
    <m/>
    <m/>
    <m/>
    <m/>
    <m/>
    <m/>
    <m/>
    <m/>
    <m/>
    <m/>
    <m/>
    <m/>
    <m/>
    <m/>
    <m/>
    <m/>
    <m/>
    <m/>
    <m/>
    <m/>
    <m/>
    <m/>
    <m/>
    <m/>
    <m/>
    <m/>
    <m/>
    <m/>
    <m/>
    <m/>
    <m/>
    <m/>
    <m/>
    <m/>
    <m/>
    <m/>
    <m/>
    <m/>
    <m/>
    <m/>
    <m/>
    <m/>
    <m/>
    <m/>
    <m/>
    <m/>
    <m/>
    <m/>
    <m/>
    <m/>
    <m/>
    <m/>
    <m/>
    <m/>
    <m/>
    <m/>
    <m/>
    <m/>
    <m/>
    <m/>
    <m/>
    <m/>
    <m/>
    <m/>
    <m/>
    <m/>
    <m/>
    <m/>
    <m/>
    <m/>
    <m/>
    <m/>
    <m/>
    <m/>
    <m/>
    <m/>
    <m/>
    <m/>
    <m/>
    <m/>
    <m/>
    <m/>
    <m/>
    <m/>
    <m/>
    <m/>
    <m/>
    <m/>
    <m/>
    <m/>
    <m/>
    <m/>
  </r>
  <r>
    <s v="Y"/>
    <m/>
    <x v="2"/>
    <n v="33.450000000000003"/>
    <x v="18"/>
    <x v="124"/>
    <s v="Foley BLK 13 "/>
    <d v="2023-09-01T00:00:00"/>
    <n v="19.8"/>
    <n v="20"/>
    <m/>
    <x v="2"/>
    <m/>
    <m/>
    <m/>
    <m/>
    <m/>
    <m/>
    <m/>
    <m/>
    <m/>
    <m/>
    <m/>
    <m/>
    <m/>
    <m/>
    <m/>
    <m/>
    <m/>
    <m/>
    <n v="16"/>
    <m/>
    <m/>
    <m/>
    <m/>
    <m/>
    <m/>
    <m/>
    <m/>
    <m/>
    <m/>
    <m/>
    <m/>
    <n v="19.7"/>
    <m/>
    <m/>
    <m/>
    <n v="19.8"/>
    <m/>
    <m/>
    <m/>
    <m/>
    <m/>
    <m/>
    <m/>
    <m/>
    <m/>
    <m/>
    <m/>
    <m/>
    <m/>
    <m/>
    <m/>
    <m/>
    <m/>
    <m/>
    <m/>
    <m/>
    <m/>
    <m/>
    <m/>
    <m/>
    <m/>
    <m/>
    <m/>
    <m/>
    <m/>
    <m/>
    <m/>
    <m/>
    <m/>
    <m/>
    <m/>
    <m/>
    <m/>
    <m/>
    <m/>
    <m/>
    <m/>
    <m/>
    <m/>
    <m/>
    <m/>
    <m/>
    <m/>
    <m/>
    <m/>
    <m/>
    <m/>
    <m/>
    <m/>
    <m/>
    <m/>
    <m/>
    <m/>
    <m/>
    <m/>
    <m/>
    <m/>
    <m/>
    <m/>
    <m/>
    <m/>
    <m/>
    <m/>
    <m/>
    <m/>
    <m/>
    <m/>
    <m/>
    <m/>
    <m/>
    <m/>
    <m/>
    <m/>
    <m/>
    <m/>
    <m/>
  </r>
  <r>
    <s v="Y"/>
    <s v="Y"/>
    <x v="1"/>
    <n v="9.75"/>
    <x v="18"/>
    <x v="125"/>
    <s v="LF Davis B2 PG"/>
    <d v="2023-08-28T00:00:00"/>
    <n v="20"/>
    <n v="20"/>
    <n v="20.5"/>
    <x v="1"/>
    <m/>
    <m/>
    <m/>
    <m/>
    <m/>
    <m/>
    <m/>
    <n v="15.8"/>
    <m/>
    <m/>
    <m/>
    <m/>
    <n v="16.600000000000001"/>
    <m/>
    <m/>
    <m/>
    <m/>
    <m/>
    <n v="17.5"/>
    <m/>
    <m/>
    <m/>
    <m/>
    <m/>
    <m/>
    <m/>
    <m/>
    <m/>
    <n v="19"/>
    <n v="20.100000000000001"/>
    <m/>
    <n v="20"/>
    <m/>
    <m/>
    <m/>
    <m/>
    <m/>
    <m/>
    <m/>
    <m/>
    <m/>
    <m/>
    <m/>
    <m/>
    <m/>
    <m/>
    <m/>
    <m/>
    <m/>
    <m/>
    <m/>
    <m/>
    <m/>
    <m/>
    <m/>
    <m/>
    <m/>
    <m/>
    <m/>
    <m/>
    <m/>
    <m/>
    <m/>
    <m/>
    <m/>
    <m/>
    <m/>
    <m/>
    <m/>
    <m/>
    <m/>
    <m/>
    <m/>
    <m/>
    <m/>
    <m/>
    <m/>
    <m/>
    <m/>
    <m/>
    <m/>
    <m/>
    <m/>
    <m/>
    <m/>
    <m/>
    <m/>
    <m/>
    <m/>
    <m/>
    <m/>
    <m/>
    <m/>
    <m/>
    <m/>
    <m/>
    <m/>
    <m/>
    <m/>
    <m/>
    <m/>
    <m/>
    <m/>
    <m/>
    <m/>
    <m/>
    <m/>
    <m/>
    <m/>
    <m/>
    <m/>
    <m/>
    <m/>
    <m/>
    <m/>
    <m/>
  </r>
  <r>
    <m/>
    <s v="Y"/>
    <x v="1"/>
    <n v="42.4"/>
    <x v="18"/>
    <x v="126"/>
    <s v="Liberty Oaks B1 PG"/>
    <d v="2023-08-25T00:00:00"/>
    <n v="21.5"/>
    <n v="21.5"/>
    <m/>
    <x v="2"/>
    <m/>
    <m/>
    <m/>
    <m/>
    <m/>
    <m/>
    <m/>
    <m/>
    <m/>
    <m/>
    <s v="18.7; 16.1"/>
    <m/>
    <m/>
    <m/>
    <m/>
    <m/>
    <m/>
    <m/>
    <m/>
    <m/>
    <m/>
    <m/>
    <m/>
    <m/>
    <s v="17.8; 19.6"/>
    <m/>
    <m/>
    <m/>
    <n v="21.5"/>
    <m/>
    <m/>
    <m/>
    <m/>
    <m/>
    <m/>
    <m/>
    <m/>
    <m/>
    <m/>
    <m/>
    <m/>
    <m/>
    <m/>
    <m/>
    <m/>
    <m/>
    <m/>
    <m/>
    <m/>
    <m/>
    <m/>
    <m/>
    <m/>
    <m/>
    <m/>
    <m/>
    <m/>
    <m/>
    <m/>
    <m/>
    <m/>
    <m/>
    <m/>
    <m/>
    <m/>
    <m/>
    <m/>
    <m/>
    <m/>
    <m/>
    <m/>
    <m/>
    <m/>
    <m/>
    <m/>
    <m/>
    <m/>
    <m/>
    <m/>
    <m/>
    <m/>
    <m/>
    <m/>
    <m/>
    <m/>
    <m/>
    <m/>
    <m/>
    <m/>
    <m/>
    <m/>
    <m/>
    <m/>
    <m/>
    <m/>
    <m/>
    <m/>
    <m/>
    <m/>
    <m/>
    <m/>
    <m/>
    <m/>
    <m/>
    <m/>
    <m/>
    <m/>
    <m/>
    <m/>
    <m/>
    <m/>
    <m/>
    <m/>
    <m/>
    <m/>
    <m/>
  </r>
  <r>
    <m/>
    <s v="Y"/>
    <x v="2"/>
    <n v="66.53"/>
    <x v="18"/>
    <x v="127"/>
    <s v="Merrill-Johnson B2 PG "/>
    <d v="2023-08-22T00:00:00"/>
    <s v="16.2*"/>
    <n v="20"/>
    <n v="20.5"/>
    <x v="1"/>
    <m/>
    <m/>
    <m/>
    <m/>
    <m/>
    <m/>
    <m/>
    <m/>
    <m/>
    <m/>
    <m/>
    <m/>
    <m/>
    <m/>
    <m/>
    <m/>
    <m/>
    <m/>
    <m/>
    <m/>
    <n v="16.100000000000001"/>
    <m/>
    <m/>
    <m/>
    <m/>
    <s v="16.2*"/>
    <m/>
    <m/>
    <m/>
    <m/>
    <m/>
    <m/>
    <m/>
    <m/>
    <m/>
    <m/>
    <m/>
    <m/>
    <m/>
    <m/>
    <m/>
    <m/>
    <m/>
    <m/>
    <m/>
    <m/>
    <m/>
    <m/>
    <m/>
    <m/>
    <m/>
    <m/>
    <m/>
    <m/>
    <m/>
    <m/>
    <m/>
    <m/>
    <m/>
    <m/>
    <m/>
    <m/>
    <m/>
    <m/>
    <m/>
    <m/>
    <m/>
    <m/>
    <m/>
    <m/>
    <m/>
    <m/>
    <m/>
    <m/>
    <m/>
    <m/>
    <m/>
    <m/>
    <m/>
    <m/>
    <m/>
    <m/>
    <m/>
    <m/>
    <m/>
    <m/>
    <m/>
    <m/>
    <m/>
    <m/>
    <m/>
    <m/>
    <m/>
    <m/>
    <m/>
    <m/>
    <m/>
    <m/>
    <m/>
    <m/>
    <m/>
    <m/>
    <m/>
    <m/>
    <m/>
    <m/>
    <m/>
    <m/>
    <m/>
    <m/>
    <m/>
    <m/>
    <m/>
    <m/>
    <m/>
    <m/>
  </r>
  <r>
    <m/>
    <m/>
    <x v="2"/>
    <m/>
    <x v="18"/>
    <x v="127"/>
    <s v="Merrill-Johnson B2 PG (Mid)"/>
    <d v="2023-09-07T00:00:00"/>
    <n v="18.3"/>
    <n v="20"/>
    <n v="20.5"/>
    <x v="1"/>
    <m/>
    <m/>
    <m/>
    <m/>
    <m/>
    <m/>
    <m/>
    <m/>
    <m/>
    <m/>
    <m/>
    <m/>
    <m/>
    <m/>
    <m/>
    <m/>
    <m/>
    <m/>
    <m/>
    <m/>
    <m/>
    <m/>
    <m/>
    <m/>
    <m/>
    <m/>
    <m/>
    <m/>
    <m/>
    <m/>
    <m/>
    <m/>
    <m/>
    <n v="18.399999999999999"/>
    <m/>
    <m/>
    <m/>
    <m/>
    <m/>
    <n v="20.399999999999999"/>
    <m/>
    <n v="18.3"/>
    <m/>
    <m/>
    <m/>
    <m/>
    <m/>
    <m/>
    <m/>
    <m/>
    <m/>
    <m/>
    <m/>
    <m/>
    <m/>
    <m/>
    <m/>
    <m/>
    <m/>
    <m/>
    <m/>
    <m/>
    <m/>
    <m/>
    <m/>
    <m/>
    <m/>
    <m/>
    <m/>
    <m/>
    <m/>
    <m/>
    <m/>
    <m/>
    <m/>
    <m/>
    <m/>
    <m/>
    <m/>
    <m/>
    <m/>
    <m/>
    <m/>
    <m/>
    <m/>
    <m/>
    <m/>
    <m/>
    <m/>
    <m/>
    <m/>
    <m/>
    <m/>
    <m/>
    <m/>
    <m/>
    <m/>
    <m/>
    <m/>
    <m/>
    <m/>
    <m/>
    <m/>
    <m/>
    <m/>
    <m/>
    <m/>
    <m/>
    <m/>
    <m/>
    <m/>
    <m/>
    <m/>
    <m/>
    <m/>
    <m/>
  </r>
  <r>
    <m/>
    <s v="Y"/>
    <x v="2"/>
    <m/>
    <x v="18"/>
    <x v="127"/>
    <s v="Merrill-Johnson B2 PG (North)"/>
    <d v="2023-09-07T00:00:00"/>
    <n v="19.899999999999999"/>
    <n v="20"/>
    <n v="20.5"/>
    <x v="1"/>
    <m/>
    <m/>
    <m/>
    <m/>
    <m/>
    <m/>
    <m/>
    <m/>
    <m/>
    <m/>
    <m/>
    <m/>
    <m/>
    <m/>
    <m/>
    <m/>
    <m/>
    <m/>
    <m/>
    <m/>
    <m/>
    <m/>
    <m/>
    <m/>
    <m/>
    <m/>
    <m/>
    <m/>
    <m/>
    <m/>
    <m/>
    <m/>
    <m/>
    <n v="19.8"/>
    <n v="17.5"/>
    <m/>
    <m/>
    <m/>
    <m/>
    <n v="19.399999999999999"/>
    <m/>
    <n v="19.899999999999999"/>
    <m/>
    <m/>
    <m/>
    <m/>
    <m/>
    <m/>
    <m/>
    <m/>
    <m/>
    <m/>
    <m/>
    <m/>
    <m/>
    <m/>
    <m/>
    <m/>
    <m/>
    <m/>
    <m/>
    <m/>
    <m/>
    <m/>
    <m/>
    <m/>
    <m/>
    <m/>
    <m/>
    <m/>
    <m/>
    <m/>
    <m/>
    <m/>
    <m/>
    <m/>
    <m/>
    <m/>
    <m/>
    <m/>
    <m/>
    <m/>
    <m/>
    <m/>
    <m/>
    <m/>
    <m/>
    <m/>
    <m/>
    <m/>
    <m/>
    <m/>
    <m/>
    <m/>
    <m/>
    <m/>
    <m/>
    <m/>
    <m/>
    <m/>
    <m/>
    <m/>
    <m/>
    <m/>
    <m/>
    <m/>
    <m/>
    <m/>
    <m/>
    <m/>
    <m/>
    <m/>
    <m/>
    <m/>
    <m/>
    <m/>
  </r>
  <r>
    <m/>
    <s v="Y"/>
    <x v="2"/>
    <m/>
    <x v="18"/>
    <x v="127"/>
    <s v="Merrill-Johnson B2 PG (South)"/>
    <d v="2023-09-05T00:00:00"/>
    <n v="19.600000000000001"/>
    <n v="20"/>
    <n v="20.5"/>
    <x v="1"/>
    <m/>
    <m/>
    <m/>
    <m/>
    <m/>
    <m/>
    <m/>
    <m/>
    <m/>
    <m/>
    <m/>
    <m/>
    <m/>
    <m/>
    <m/>
    <m/>
    <m/>
    <m/>
    <m/>
    <m/>
    <m/>
    <m/>
    <m/>
    <m/>
    <m/>
    <m/>
    <m/>
    <m/>
    <m/>
    <m/>
    <m/>
    <m/>
    <m/>
    <n v="19.2"/>
    <m/>
    <m/>
    <m/>
    <m/>
    <m/>
    <n v="19.600000000000001"/>
    <m/>
    <m/>
    <m/>
    <m/>
    <m/>
    <m/>
    <m/>
    <m/>
    <m/>
    <m/>
    <m/>
    <m/>
    <m/>
    <m/>
    <m/>
    <m/>
    <m/>
    <m/>
    <m/>
    <m/>
    <m/>
    <m/>
    <m/>
    <m/>
    <m/>
    <m/>
    <m/>
    <m/>
    <m/>
    <m/>
    <m/>
    <m/>
    <m/>
    <m/>
    <m/>
    <m/>
    <m/>
    <m/>
    <m/>
    <m/>
    <m/>
    <m/>
    <m/>
    <m/>
    <m/>
    <m/>
    <m/>
    <m/>
    <m/>
    <m/>
    <m/>
    <m/>
    <m/>
    <m/>
    <m/>
    <m/>
    <m/>
    <m/>
    <m/>
    <m/>
    <m/>
    <m/>
    <m/>
    <m/>
    <m/>
    <m/>
    <m/>
    <m/>
    <m/>
    <m/>
    <m/>
    <m/>
    <m/>
    <m/>
    <m/>
    <m/>
  </r>
  <r>
    <s v="Y"/>
    <s v="Y"/>
    <x v="1"/>
    <n v="20.98"/>
    <x v="18"/>
    <x v="128"/>
    <s v="Muchmore B2 PG"/>
    <d v="2023-08-22T00:00:00"/>
    <n v="19.100000000000001"/>
    <n v="20"/>
    <m/>
    <x v="2"/>
    <m/>
    <m/>
    <m/>
    <m/>
    <n v="15.2"/>
    <m/>
    <m/>
    <m/>
    <m/>
    <m/>
    <m/>
    <m/>
    <n v="16.8"/>
    <m/>
    <m/>
    <m/>
    <m/>
    <n v="17.3"/>
    <m/>
    <m/>
    <m/>
    <m/>
    <m/>
    <m/>
    <m/>
    <n v="19.100000000000001"/>
    <m/>
    <m/>
    <m/>
    <m/>
    <m/>
    <m/>
    <m/>
    <m/>
    <m/>
    <m/>
    <m/>
    <m/>
    <m/>
    <m/>
    <m/>
    <m/>
    <m/>
    <m/>
    <m/>
    <m/>
    <m/>
    <m/>
    <m/>
    <m/>
    <m/>
    <m/>
    <m/>
    <m/>
    <m/>
    <m/>
    <m/>
    <m/>
    <m/>
    <m/>
    <m/>
    <m/>
    <m/>
    <m/>
    <m/>
    <m/>
    <m/>
    <m/>
    <m/>
    <m/>
    <m/>
    <m/>
    <m/>
    <m/>
    <m/>
    <m/>
    <m/>
    <m/>
    <m/>
    <m/>
    <m/>
    <m/>
    <m/>
    <m/>
    <m/>
    <m/>
    <m/>
    <m/>
    <m/>
    <m/>
    <m/>
    <m/>
    <m/>
    <m/>
    <m/>
    <m/>
    <m/>
    <m/>
    <m/>
    <m/>
    <m/>
    <m/>
    <m/>
    <m/>
    <m/>
    <m/>
    <m/>
    <m/>
    <m/>
    <m/>
    <m/>
    <m/>
    <m/>
    <m/>
    <m/>
    <m/>
  </r>
  <r>
    <m/>
    <s v="Y"/>
    <x v="2"/>
    <n v="45.11"/>
    <x v="18"/>
    <x v="129"/>
    <s v="Runyon - B3 PG"/>
    <d v="2023-09-01T00:00:00"/>
    <n v="21.5"/>
    <n v="22"/>
    <m/>
    <x v="2"/>
    <m/>
    <m/>
    <m/>
    <m/>
    <m/>
    <m/>
    <m/>
    <m/>
    <m/>
    <m/>
    <m/>
    <m/>
    <m/>
    <m/>
    <m/>
    <m/>
    <m/>
    <m/>
    <m/>
    <m/>
    <n v="16.600000000000001"/>
    <m/>
    <m/>
    <m/>
    <m/>
    <m/>
    <n v="18.600000000000001"/>
    <m/>
    <m/>
    <m/>
    <m/>
    <m/>
    <m/>
    <m/>
    <m/>
    <n v="21.5"/>
    <m/>
    <m/>
    <m/>
    <m/>
    <m/>
    <m/>
    <m/>
    <m/>
    <m/>
    <m/>
    <m/>
    <m/>
    <m/>
    <m/>
    <m/>
    <m/>
    <m/>
    <m/>
    <m/>
    <m/>
    <m/>
    <m/>
    <m/>
    <m/>
    <m/>
    <m/>
    <m/>
    <m/>
    <m/>
    <m/>
    <m/>
    <m/>
    <m/>
    <m/>
    <m/>
    <m/>
    <m/>
    <m/>
    <m/>
    <m/>
    <m/>
    <m/>
    <m/>
    <m/>
    <m/>
    <m/>
    <m/>
    <m/>
    <m/>
    <m/>
    <m/>
    <m/>
    <m/>
    <m/>
    <m/>
    <m/>
    <m/>
    <m/>
    <m/>
    <m/>
    <m/>
    <m/>
    <m/>
    <m/>
    <m/>
    <m/>
    <m/>
    <m/>
    <m/>
    <m/>
    <m/>
    <m/>
    <m/>
    <m/>
    <m/>
    <m/>
    <m/>
    <m/>
    <m/>
    <m/>
  </r>
  <r>
    <m/>
    <s v="Y"/>
    <x v="2"/>
    <n v="34.89"/>
    <x v="18"/>
    <x v="130"/>
    <s v="Wheelhouse B2 PG"/>
    <d v="2023-09-07T00:00:00"/>
    <n v="20.8"/>
    <n v="20"/>
    <m/>
    <x v="16"/>
    <m/>
    <m/>
    <m/>
    <m/>
    <m/>
    <m/>
    <m/>
    <m/>
    <m/>
    <m/>
    <m/>
    <m/>
    <m/>
    <m/>
    <n v="15.4"/>
    <m/>
    <m/>
    <m/>
    <m/>
    <m/>
    <n v="16"/>
    <m/>
    <m/>
    <m/>
    <m/>
    <m/>
    <n v="16.8"/>
    <m/>
    <m/>
    <m/>
    <m/>
    <m/>
    <m/>
    <m/>
    <m/>
    <m/>
    <m/>
    <m/>
    <m/>
    <m/>
    <m/>
    <n v="20.8"/>
    <m/>
    <m/>
    <m/>
    <m/>
    <m/>
    <m/>
    <m/>
    <m/>
    <m/>
    <m/>
    <m/>
    <m/>
    <m/>
    <m/>
    <m/>
    <m/>
    <m/>
    <m/>
    <m/>
    <m/>
    <m/>
    <m/>
    <m/>
    <m/>
    <m/>
    <m/>
    <m/>
    <m/>
    <m/>
    <m/>
    <m/>
    <m/>
    <m/>
    <m/>
    <m/>
    <m/>
    <m/>
    <m/>
    <m/>
    <m/>
    <m/>
    <m/>
    <m/>
    <m/>
    <m/>
    <m/>
    <m/>
    <m/>
    <m/>
    <m/>
    <m/>
    <m/>
    <m/>
    <m/>
    <m/>
    <m/>
    <m/>
    <m/>
    <m/>
    <m/>
    <m/>
    <m/>
    <m/>
    <m/>
    <m/>
    <m/>
    <m/>
    <m/>
    <m/>
    <m/>
    <m/>
    <m/>
    <m/>
    <m/>
  </r>
  <r>
    <m/>
    <m/>
    <x v="0"/>
    <m/>
    <x v="19"/>
    <x v="0"/>
    <s v=" PINOT NOIR"/>
    <m/>
    <m/>
    <m/>
    <m/>
    <x v="0"/>
    <m/>
    <m/>
    <m/>
    <m/>
    <m/>
    <m/>
    <m/>
    <m/>
    <m/>
    <m/>
    <m/>
    <m/>
    <m/>
    <m/>
    <m/>
    <m/>
    <m/>
    <m/>
    <m/>
    <m/>
    <m/>
    <m/>
    <m/>
    <m/>
    <m/>
    <m/>
    <m/>
    <m/>
    <m/>
    <m/>
    <m/>
    <m/>
    <m/>
    <m/>
    <m/>
    <m/>
    <m/>
    <m/>
    <m/>
    <m/>
    <m/>
    <m/>
    <m/>
    <m/>
    <m/>
    <m/>
    <m/>
    <m/>
    <m/>
    <m/>
    <m/>
    <m/>
    <m/>
    <m/>
    <m/>
    <m/>
    <m/>
    <m/>
    <m/>
    <m/>
    <m/>
    <m/>
    <m/>
    <m/>
    <m/>
    <m/>
    <m/>
    <m/>
    <m/>
    <m/>
    <m/>
    <m/>
    <m/>
    <m/>
    <m/>
    <m/>
    <m/>
    <m/>
    <m/>
    <m/>
    <m/>
    <m/>
    <m/>
    <m/>
    <m/>
    <m/>
    <m/>
    <m/>
    <m/>
    <m/>
    <m/>
    <m/>
    <m/>
    <m/>
    <m/>
    <m/>
    <m/>
    <m/>
    <m/>
    <m/>
    <m/>
    <m/>
    <m/>
    <m/>
    <m/>
    <m/>
    <m/>
    <m/>
    <m/>
    <m/>
    <m/>
    <m/>
    <m/>
    <m/>
    <m/>
    <m/>
  </r>
  <r>
    <m/>
    <s v="Y"/>
    <x v="2"/>
    <m/>
    <x v="19"/>
    <x v="131"/>
    <s v="Diablo Dutra B8 (North)"/>
    <d v="2023-09-02T00:00:00"/>
    <n v="20.399999999999999"/>
    <n v="21.5"/>
    <n v="21.5"/>
    <x v="1"/>
    <m/>
    <m/>
    <m/>
    <m/>
    <m/>
    <m/>
    <m/>
    <m/>
    <m/>
    <m/>
    <m/>
    <n v="15.2"/>
    <m/>
    <m/>
    <m/>
    <m/>
    <m/>
    <m/>
    <n v="16"/>
    <m/>
    <m/>
    <m/>
    <m/>
    <m/>
    <m/>
    <n v="17.2"/>
    <m/>
    <m/>
    <m/>
    <m/>
    <m/>
    <m/>
    <n v="18.8"/>
    <m/>
    <m/>
    <m/>
    <n v="20.399999999999999"/>
    <m/>
    <m/>
    <m/>
    <m/>
    <m/>
    <m/>
    <m/>
    <m/>
    <m/>
    <m/>
    <m/>
    <m/>
    <m/>
    <m/>
    <m/>
    <m/>
    <m/>
    <m/>
    <m/>
    <m/>
    <m/>
    <m/>
    <m/>
    <m/>
    <m/>
    <m/>
    <m/>
    <m/>
    <m/>
    <m/>
    <m/>
    <m/>
    <m/>
    <m/>
    <m/>
    <m/>
    <m/>
    <m/>
    <m/>
    <m/>
    <m/>
    <m/>
    <m/>
    <m/>
    <m/>
    <m/>
    <m/>
    <m/>
    <m/>
    <m/>
    <m/>
    <m/>
    <m/>
    <m/>
    <m/>
    <m/>
    <m/>
    <m/>
    <m/>
    <m/>
    <m/>
    <m/>
    <m/>
    <m/>
    <m/>
    <m/>
    <m/>
    <m/>
    <m/>
    <m/>
    <m/>
    <m/>
    <m/>
    <m/>
    <m/>
    <m/>
    <m/>
    <m/>
    <m/>
  </r>
  <r>
    <m/>
    <s v="Y"/>
    <x v="2"/>
    <m/>
    <x v="19"/>
    <x v="131"/>
    <s v="Diablo Dutra B8 (South)"/>
    <d v="2023-09-02T00:00:00"/>
    <n v="21.3"/>
    <n v="21.5"/>
    <n v="21.5"/>
    <x v="1"/>
    <m/>
    <m/>
    <m/>
    <m/>
    <m/>
    <m/>
    <m/>
    <m/>
    <m/>
    <m/>
    <m/>
    <n v="15.8"/>
    <m/>
    <m/>
    <m/>
    <m/>
    <m/>
    <m/>
    <n v="17"/>
    <m/>
    <m/>
    <m/>
    <m/>
    <m/>
    <m/>
    <n v="18.5"/>
    <m/>
    <m/>
    <m/>
    <m/>
    <m/>
    <m/>
    <n v="20.6"/>
    <m/>
    <m/>
    <m/>
    <n v="21.3"/>
    <m/>
    <m/>
    <m/>
    <m/>
    <m/>
    <m/>
    <m/>
    <m/>
    <m/>
    <m/>
    <m/>
    <m/>
    <m/>
    <m/>
    <m/>
    <m/>
    <m/>
    <m/>
    <m/>
    <m/>
    <m/>
    <m/>
    <m/>
    <m/>
    <m/>
    <m/>
    <m/>
    <m/>
    <m/>
    <m/>
    <m/>
    <m/>
    <m/>
    <m/>
    <m/>
    <m/>
    <m/>
    <m/>
    <m/>
    <m/>
    <m/>
    <m/>
    <m/>
    <m/>
    <m/>
    <m/>
    <m/>
    <m/>
    <m/>
    <m/>
    <m/>
    <m/>
    <m/>
    <m/>
    <m/>
    <m/>
    <m/>
    <m/>
    <m/>
    <m/>
    <m/>
    <m/>
    <m/>
    <m/>
    <m/>
    <m/>
    <m/>
    <m/>
    <m/>
    <m/>
    <m/>
    <m/>
    <m/>
    <m/>
    <m/>
    <m/>
    <m/>
    <m/>
    <m/>
  </r>
  <r>
    <m/>
    <s v="Y"/>
    <x v="2"/>
    <n v="46"/>
    <x v="19"/>
    <x v="131"/>
    <s v="Diablo Dutra BLK 8"/>
    <s v=""/>
    <s v=" "/>
    <n v="21.5"/>
    <n v="21.5"/>
    <x v="1"/>
    <m/>
    <m/>
    <m/>
    <m/>
    <m/>
    <m/>
    <m/>
    <m/>
    <m/>
    <m/>
    <m/>
    <m/>
    <m/>
    <m/>
    <m/>
    <m/>
    <m/>
    <m/>
    <m/>
    <m/>
    <m/>
    <m/>
    <m/>
    <m/>
    <m/>
    <m/>
    <m/>
    <m/>
    <m/>
    <m/>
    <m/>
    <m/>
    <m/>
    <m/>
    <m/>
    <m/>
    <m/>
    <m/>
    <m/>
    <m/>
    <m/>
    <m/>
    <m/>
    <m/>
    <m/>
    <m/>
    <m/>
    <m/>
    <m/>
    <m/>
    <m/>
    <m/>
    <m/>
    <m/>
    <m/>
    <m/>
    <m/>
    <m/>
    <m/>
    <m/>
    <m/>
    <m/>
    <m/>
    <m/>
    <m/>
    <m/>
    <m/>
    <m/>
    <m/>
    <m/>
    <m/>
    <m/>
    <m/>
    <m/>
    <m/>
    <m/>
    <m/>
    <m/>
    <m/>
    <m/>
    <m/>
    <m/>
    <m/>
    <m/>
    <m/>
    <m/>
    <m/>
    <m/>
    <m/>
    <m/>
    <m/>
    <m/>
    <m/>
    <m/>
    <m/>
    <m/>
    <m/>
    <m/>
    <m/>
    <m/>
    <m/>
    <m/>
    <m/>
    <m/>
    <m/>
    <m/>
    <m/>
    <m/>
    <m/>
    <m/>
    <m/>
    <m/>
    <m/>
    <m/>
    <m/>
    <m/>
  </r>
  <r>
    <m/>
    <s v="Y"/>
    <x v="2"/>
    <n v="46.69"/>
    <x v="19"/>
    <x v="132"/>
    <s v="Diablo Maria B1 PN - C 115"/>
    <d v="2023-09-11T00:00:00"/>
    <n v="25"/>
    <n v="24"/>
    <n v="24.5"/>
    <x v="17"/>
    <m/>
    <m/>
    <m/>
    <m/>
    <m/>
    <m/>
    <m/>
    <m/>
    <m/>
    <m/>
    <m/>
    <n v="16.3"/>
    <m/>
    <m/>
    <m/>
    <m/>
    <m/>
    <m/>
    <m/>
    <m/>
    <n v="18.899999999999999"/>
    <m/>
    <m/>
    <m/>
    <m/>
    <m/>
    <m/>
    <n v="21.2"/>
    <m/>
    <m/>
    <m/>
    <m/>
    <m/>
    <m/>
    <m/>
    <n v="23"/>
    <m/>
    <m/>
    <m/>
    <n v="21.4"/>
    <m/>
    <m/>
    <m/>
    <m/>
    <m/>
    <n v="25"/>
    <m/>
    <m/>
    <m/>
    <m/>
    <m/>
    <m/>
    <m/>
    <m/>
    <m/>
    <m/>
    <m/>
    <m/>
    <m/>
    <m/>
    <m/>
    <m/>
    <m/>
    <m/>
    <m/>
    <m/>
    <m/>
    <m/>
    <m/>
    <m/>
    <m/>
    <m/>
    <m/>
    <m/>
    <m/>
    <m/>
    <m/>
    <m/>
    <m/>
    <m/>
    <m/>
    <m/>
    <m/>
    <m/>
    <m/>
    <m/>
    <m/>
    <m/>
    <m/>
    <m/>
    <m/>
    <m/>
    <m/>
    <m/>
    <m/>
    <m/>
    <m/>
    <m/>
    <m/>
    <m/>
    <m/>
    <m/>
    <m/>
    <m/>
    <m/>
    <m/>
    <m/>
    <m/>
    <m/>
    <m/>
    <m/>
    <m/>
    <m/>
    <m/>
    <m/>
    <m/>
  </r>
  <r>
    <m/>
    <s v="Y"/>
    <x v="2"/>
    <m/>
    <x v="19"/>
    <x v="133"/>
    <s v="Diablo Maria B1 PN - C 23 EAST"/>
    <d v="2023-09-11T00:00:00"/>
    <s v="25.6, 26.4"/>
    <n v="24"/>
    <n v="24.5"/>
    <x v="17"/>
    <m/>
    <m/>
    <m/>
    <m/>
    <m/>
    <m/>
    <m/>
    <m/>
    <m/>
    <m/>
    <m/>
    <n v="17.5"/>
    <m/>
    <m/>
    <m/>
    <m/>
    <m/>
    <m/>
    <m/>
    <m/>
    <n v="19.8"/>
    <m/>
    <m/>
    <m/>
    <m/>
    <m/>
    <m/>
    <n v="21.1"/>
    <m/>
    <m/>
    <m/>
    <m/>
    <m/>
    <m/>
    <m/>
    <n v="23.2"/>
    <m/>
    <m/>
    <m/>
    <m/>
    <m/>
    <m/>
    <m/>
    <m/>
    <m/>
    <s v="25.6, 26.4"/>
    <m/>
    <m/>
    <m/>
    <m/>
    <m/>
    <m/>
    <m/>
    <m/>
    <m/>
    <m/>
    <m/>
    <m/>
    <m/>
    <m/>
    <m/>
    <m/>
    <m/>
    <m/>
    <m/>
    <m/>
    <m/>
    <m/>
    <m/>
    <m/>
    <m/>
    <m/>
    <m/>
    <m/>
    <m/>
    <m/>
    <m/>
    <m/>
    <m/>
    <m/>
    <m/>
    <m/>
    <m/>
    <m/>
    <m/>
    <m/>
    <m/>
    <m/>
    <m/>
    <m/>
    <m/>
    <m/>
    <m/>
    <m/>
    <m/>
    <m/>
    <m/>
    <m/>
    <m/>
    <m/>
    <m/>
    <m/>
    <m/>
    <m/>
    <m/>
    <m/>
    <m/>
    <m/>
    <m/>
    <m/>
    <m/>
    <m/>
    <m/>
    <m/>
    <m/>
    <m/>
  </r>
  <r>
    <m/>
    <s v="Y"/>
    <x v="2"/>
    <m/>
    <x v="19"/>
    <x v="133"/>
    <s v="Diablo Maria B1 PN - C 23 WEST"/>
    <d v="2023-08-17T00:00:00"/>
    <n v="19"/>
    <n v="24"/>
    <n v="24.5"/>
    <x v="17"/>
    <m/>
    <m/>
    <m/>
    <m/>
    <m/>
    <m/>
    <m/>
    <m/>
    <m/>
    <m/>
    <m/>
    <m/>
    <m/>
    <m/>
    <m/>
    <m/>
    <m/>
    <m/>
    <m/>
    <m/>
    <n v="19"/>
    <m/>
    <m/>
    <m/>
    <m/>
    <m/>
    <m/>
    <m/>
    <m/>
    <m/>
    <m/>
    <m/>
    <m/>
    <m/>
    <m/>
    <m/>
    <m/>
    <m/>
    <m/>
    <m/>
    <m/>
    <m/>
    <m/>
    <m/>
    <m/>
    <m/>
    <m/>
    <m/>
    <m/>
    <m/>
    <m/>
    <m/>
    <m/>
    <m/>
    <m/>
    <m/>
    <m/>
    <m/>
    <m/>
    <m/>
    <m/>
    <m/>
    <m/>
    <m/>
    <m/>
    <m/>
    <m/>
    <m/>
    <m/>
    <m/>
    <m/>
    <m/>
    <m/>
    <m/>
    <m/>
    <m/>
    <m/>
    <m/>
    <m/>
    <m/>
    <m/>
    <m/>
    <m/>
    <m/>
    <m/>
    <m/>
    <m/>
    <m/>
    <m/>
    <m/>
    <m/>
    <m/>
    <m/>
    <m/>
    <m/>
    <m/>
    <m/>
    <m/>
    <m/>
    <m/>
    <m/>
    <m/>
    <m/>
    <m/>
    <m/>
    <m/>
    <m/>
    <m/>
    <m/>
    <m/>
    <m/>
    <m/>
    <m/>
    <m/>
    <m/>
    <m/>
  </r>
  <r>
    <m/>
    <s v="Y"/>
    <x v="2"/>
    <m/>
    <x v="19"/>
    <x v="134"/>
    <s v="Diablo Maria B1 PN - C 667"/>
    <d v="2023-09-11T00:00:00"/>
    <n v="24.6"/>
    <n v="24"/>
    <n v="24.5"/>
    <x v="17"/>
    <m/>
    <m/>
    <m/>
    <m/>
    <m/>
    <m/>
    <m/>
    <m/>
    <m/>
    <m/>
    <m/>
    <n v="15.4"/>
    <m/>
    <m/>
    <m/>
    <m/>
    <m/>
    <m/>
    <m/>
    <m/>
    <n v="18.3"/>
    <m/>
    <m/>
    <m/>
    <m/>
    <m/>
    <m/>
    <n v="20"/>
    <m/>
    <m/>
    <m/>
    <m/>
    <m/>
    <m/>
    <m/>
    <n v="22.2"/>
    <m/>
    <m/>
    <m/>
    <n v="21.2"/>
    <m/>
    <m/>
    <m/>
    <m/>
    <m/>
    <n v="24.6"/>
    <m/>
    <m/>
    <m/>
    <m/>
    <m/>
    <m/>
    <m/>
    <m/>
    <m/>
    <m/>
    <m/>
    <m/>
    <m/>
    <m/>
    <m/>
    <m/>
    <m/>
    <m/>
    <m/>
    <m/>
    <m/>
    <m/>
    <m/>
    <m/>
    <m/>
    <m/>
    <m/>
    <m/>
    <m/>
    <m/>
    <m/>
    <m/>
    <m/>
    <m/>
    <m/>
    <m/>
    <m/>
    <m/>
    <m/>
    <m/>
    <m/>
    <m/>
    <m/>
    <m/>
    <m/>
    <m/>
    <m/>
    <m/>
    <m/>
    <m/>
    <m/>
    <m/>
    <m/>
    <m/>
    <m/>
    <m/>
    <m/>
    <m/>
    <m/>
    <m/>
    <m/>
    <m/>
    <m/>
    <m/>
    <m/>
    <m/>
    <m/>
    <m/>
    <m/>
    <m/>
  </r>
  <r>
    <m/>
    <s v="Y"/>
    <x v="2"/>
    <m/>
    <x v="19"/>
    <x v="135"/>
    <s v="Diablo Maria B1 PN - C 777"/>
    <d v="2023-09-11T00:00:00"/>
    <n v="24.7"/>
    <n v="24"/>
    <n v="24.5"/>
    <x v="17"/>
    <m/>
    <m/>
    <m/>
    <m/>
    <m/>
    <m/>
    <m/>
    <m/>
    <m/>
    <m/>
    <m/>
    <n v="17.2"/>
    <m/>
    <m/>
    <m/>
    <m/>
    <m/>
    <m/>
    <m/>
    <m/>
    <n v="19.3"/>
    <m/>
    <m/>
    <m/>
    <m/>
    <m/>
    <m/>
    <n v="20.9"/>
    <m/>
    <m/>
    <m/>
    <m/>
    <m/>
    <m/>
    <m/>
    <n v="23.5"/>
    <m/>
    <m/>
    <m/>
    <m/>
    <m/>
    <m/>
    <m/>
    <m/>
    <m/>
    <n v="24.7"/>
    <m/>
    <m/>
    <m/>
    <m/>
    <m/>
    <m/>
    <m/>
    <m/>
    <m/>
    <m/>
    <m/>
    <m/>
    <m/>
    <m/>
    <m/>
    <m/>
    <m/>
    <m/>
    <m/>
    <m/>
    <m/>
    <m/>
    <m/>
    <m/>
    <m/>
    <m/>
    <m/>
    <m/>
    <m/>
    <m/>
    <m/>
    <m/>
    <m/>
    <m/>
    <m/>
    <m/>
    <m/>
    <m/>
    <m/>
    <m/>
    <m/>
    <m/>
    <m/>
    <m/>
    <m/>
    <m/>
    <m/>
    <m/>
    <m/>
    <m/>
    <m/>
    <m/>
    <m/>
    <m/>
    <m/>
    <m/>
    <m/>
    <m/>
    <m/>
    <m/>
    <m/>
    <m/>
    <m/>
    <m/>
    <m/>
    <m/>
    <m/>
    <m/>
    <m/>
    <m/>
  </r>
  <r>
    <m/>
    <m/>
    <x v="2"/>
    <n v="38.21"/>
    <x v="19"/>
    <x v="136"/>
    <s v="Foley BLK 1"/>
    <d v="2023-08-28T00:00:00"/>
    <n v="18.399999999999999"/>
    <m/>
    <m/>
    <x v="18"/>
    <m/>
    <m/>
    <m/>
    <m/>
    <m/>
    <m/>
    <m/>
    <m/>
    <m/>
    <m/>
    <m/>
    <m/>
    <m/>
    <m/>
    <m/>
    <m/>
    <m/>
    <m/>
    <m/>
    <m/>
    <m/>
    <m/>
    <m/>
    <m/>
    <m/>
    <m/>
    <m/>
    <m/>
    <m/>
    <m/>
    <m/>
    <n v="18.399999999999999"/>
    <m/>
    <m/>
    <m/>
    <m/>
    <m/>
    <m/>
    <m/>
    <m/>
    <m/>
    <m/>
    <m/>
    <m/>
    <m/>
    <m/>
    <m/>
    <m/>
    <m/>
    <m/>
    <m/>
    <m/>
    <m/>
    <m/>
    <m/>
    <m/>
    <m/>
    <m/>
    <m/>
    <m/>
    <m/>
    <m/>
    <m/>
    <m/>
    <m/>
    <m/>
    <m/>
    <m/>
    <m/>
    <m/>
    <m/>
    <m/>
    <m/>
    <m/>
    <m/>
    <m/>
    <m/>
    <m/>
    <m/>
    <m/>
    <m/>
    <m/>
    <m/>
    <m/>
    <m/>
    <m/>
    <m/>
    <m/>
    <m/>
    <m/>
    <m/>
    <m/>
    <m/>
    <m/>
    <m/>
    <m/>
    <m/>
    <m/>
    <m/>
    <m/>
    <m/>
    <m/>
    <m/>
    <m/>
    <m/>
    <m/>
    <m/>
    <m/>
    <m/>
    <m/>
    <m/>
    <m/>
    <m/>
    <m/>
    <m/>
    <m/>
  </r>
  <r>
    <m/>
    <m/>
    <x v="2"/>
    <n v="9.48"/>
    <x v="19"/>
    <x v="137"/>
    <s v="Foley BLK 10"/>
    <d v="2023-08-28T00:00:00"/>
    <n v="19.2"/>
    <m/>
    <m/>
    <x v="18"/>
    <m/>
    <m/>
    <m/>
    <m/>
    <m/>
    <m/>
    <m/>
    <m/>
    <m/>
    <m/>
    <m/>
    <m/>
    <m/>
    <m/>
    <m/>
    <m/>
    <m/>
    <m/>
    <m/>
    <m/>
    <m/>
    <m/>
    <m/>
    <m/>
    <m/>
    <m/>
    <m/>
    <m/>
    <m/>
    <m/>
    <m/>
    <n v="19.2"/>
    <m/>
    <m/>
    <m/>
    <m/>
    <m/>
    <m/>
    <m/>
    <m/>
    <m/>
    <m/>
    <m/>
    <m/>
    <m/>
    <m/>
    <m/>
    <m/>
    <m/>
    <m/>
    <m/>
    <m/>
    <m/>
    <m/>
    <m/>
    <m/>
    <m/>
    <m/>
    <m/>
    <m/>
    <m/>
    <m/>
    <m/>
    <m/>
    <m/>
    <m/>
    <m/>
    <m/>
    <m/>
    <m/>
    <m/>
    <m/>
    <m/>
    <m/>
    <m/>
    <m/>
    <m/>
    <m/>
    <m/>
    <m/>
    <m/>
    <m/>
    <m/>
    <m/>
    <m/>
    <m/>
    <m/>
    <m/>
    <m/>
    <m/>
    <m/>
    <m/>
    <m/>
    <m/>
    <m/>
    <m/>
    <m/>
    <m/>
    <m/>
    <m/>
    <m/>
    <m/>
    <m/>
    <m/>
    <m/>
    <m/>
    <m/>
    <m/>
    <m/>
    <m/>
    <m/>
    <m/>
    <m/>
    <m/>
    <m/>
    <m/>
  </r>
  <r>
    <m/>
    <m/>
    <x v="2"/>
    <n v="34.880000000000003"/>
    <x v="19"/>
    <x v="138"/>
    <s v="Foley BLK 11"/>
    <s v=""/>
    <s v=" "/>
    <m/>
    <m/>
    <x v="18"/>
    <m/>
    <m/>
    <m/>
    <m/>
    <m/>
    <m/>
    <m/>
    <m/>
    <m/>
    <m/>
    <m/>
    <m/>
    <m/>
    <m/>
    <m/>
    <m/>
    <m/>
    <m/>
    <m/>
    <m/>
    <m/>
    <m/>
    <m/>
    <m/>
    <m/>
    <m/>
    <m/>
    <m/>
    <m/>
    <m/>
    <m/>
    <m/>
    <m/>
    <m/>
    <m/>
    <m/>
    <m/>
    <m/>
    <m/>
    <m/>
    <m/>
    <m/>
    <m/>
    <m/>
    <m/>
    <m/>
    <m/>
    <m/>
    <m/>
    <m/>
    <m/>
    <m/>
    <m/>
    <m/>
    <m/>
    <m/>
    <m/>
    <m/>
    <m/>
    <m/>
    <m/>
    <m/>
    <m/>
    <m/>
    <m/>
    <m/>
    <m/>
    <m/>
    <m/>
    <m/>
    <m/>
    <m/>
    <m/>
    <m/>
    <m/>
    <m/>
    <m/>
    <m/>
    <m/>
    <m/>
    <m/>
    <m/>
    <m/>
    <m/>
    <m/>
    <m/>
    <m/>
    <m/>
    <m/>
    <m/>
    <m/>
    <m/>
    <m/>
    <m/>
    <m/>
    <m/>
    <m/>
    <m/>
    <m/>
    <m/>
    <m/>
    <m/>
    <m/>
    <m/>
    <m/>
    <m/>
    <m/>
    <m/>
    <m/>
    <m/>
    <m/>
    <m/>
    <m/>
    <m/>
    <m/>
    <m/>
  </r>
  <r>
    <m/>
    <m/>
    <x v="2"/>
    <m/>
    <x v="19"/>
    <x v="138"/>
    <s v="Foley BLK 11 - N Young 99"/>
    <s v=""/>
    <s v=" "/>
    <m/>
    <m/>
    <x v="18"/>
    <m/>
    <m/>
    <m/>
    <m/>
    <m/>
    <m/>
    <m/>
    <m/>
    <m/>
    <m/>
    <m/>
    <m/>
    <m/>
    <m/>
    <m/>
    <m/>
    <m/>
    <m/>
    <m/>
    <m/>
    <m/>
    <m/>
    <m/>
    <m/>
    <m/>
    <m/>
    <m/>
    <m/>
    <m/>
    <m/>
    <m/>
    <m/>
    <m/>
    <m/>
    <m/>
    <m/>
    <m/>
    <m/>
    <m/>
    <m/>
    <m/>
    <m/>
    <m/>
    <m/>
    <m/>
    <m/>
    <m/>
    <m/>
    <m/>
    <m/>
    <m/>
    <m/>
    <m/>
    <m/>
    <m/>
    <m/>
    <m/>
    <m/>
    <m/>
    <m/>
    <m/>
    <m/>
    <m/>
    <m/>
    <m/>
    <m/>
    <m/>
    <m/>
    <m/>
    <m/>
    <m/>
    <m/>
    <m/>
    <m/>
    <m/>
    <m/>
    <m/>
    <m/>
    <m/>
    <m/>
    <m/>
    <m/>
    <m/>
    <m/>
    <m/>
    <m/>
    <m/>
    <m/>
    <m/>
    <m/>
    <m/>
    <m/>
    <m/>
    <m/>
    <m/>
    <m/>
    <m/>
    <m/>
    <m/>
    <m/>
    <m/>
    <m/>
    <m/>
    <m/>
    <m/>
    <m/>
    <m/>
    <m/>
    <m/>
    <m/>
    <m/>
    <m/>
    <m/>
    <m/>
    <m/>
    <m/>
  </r>
  <r>
    <m/>
    <m/>
    <x v="2"/>
    <m/>
    <x v="19"/>
    <x v="138"/>
    <s v="Foley BLK 11 - S Old"/>
    <s v=""/>
    <s v=" "/>
    <m/>
    <m/>
    <x v="18"/>
    <m/>
    <m/>
    <m/>
    <m/>
    <m/>
    <m/>
    <m/>
    <m/>
    <m/>
    <m/>
    <m/>
    <m/>
    <m/>
    <m/>
    <m/>
    <m/>
    <m/>
    <m/>
    <m/>
    <m/>
    <m/>
    <m/>
    <m/>
    <m/>
    <m/>
    <m/>
    <m/>
    <m/>
    <m/>
    <m/>
    <m/>
    <m/>
    <m/>
    <m/>
    <m/>
    <m/>
    <m/>
    <m/>
    <m/>
    <m/>
    <m/>
    <m/>
    <m/>
    <m/>
    <m/>
    <m/>
    <m/>
    <m/>
    <m/>
    <m/>
    <m/>
    <m/>
    <m/>
    <m/>
    <m/>
    <m/>
    <m/>
    <m/>
    <m/>
    <m/>
    <m/>
    <m/>
    <m/>
    <m/>
    <m/>
    <m/>
    <m/>
    <m/>
    <m/>
    <m/>
    <m/>
    <m/>
    <m/>
    <m/>
    <m/>
    <m/>
    <m/>
    <m/>
    <m/>
    <m/>
    <m/>
    <m/>
    <m/>
    <m/>
    <m/>
    <m/>
    <m/>
    <m/>
    <m/>
    <m/>
    <m/>
    <m/>
    <m/>
    <m/>
    <m/>
    <m/>
    <m/>
    <m/>
    <m/>
    <m/>
    <m/>
    <m/>
    <m/>
    <m/>
    <m/>
    <m/>
    <m/>
    <m/>
    <m/>
    <m/>
    <m/>
    <m/>
    <m/>
    <m/>
    <m/>
    <m/>
  </r>
  <r>
    <m/>
    <m/>
    <x v="2"/>
    <n v="9.64"/>
    <x v="19"/>
    <x v="139"/>
    <s v="Foley BLK 12"/>
    <d v="2023-08-28T00:00:00"/>
    <n v="20.8"/>
    <m/>
    <m/>
    <x v="18"/>
    <m/>
    <m/>
    <m/>
    <m/>
    <m/>
    <m/>
    <m/>
    <m/>
    <m/>
    <m/>
    <m/>
    <m/>
    <m/>
    <m/>
    <m/>
    <m/>
    <m/>
    <m/>
    <m/>
    <m/>
    <m/>
    <m/>
    <m/>
    <m/>
    <m/>
    <m/>
    <m/>
    <m/>
    <m/>
    <m/>
    <m/>
    <n v="20.8"/>
    <m/>
    <m/>
    <m/>
    <m/>
    <m/>
    <m/>
    <m/>
    <m/>
    <m/>
    <m/>
    <m/>
    <m/>
    <m/>
    <m/>
    <m/>
    <m/>
    <m/>
    <m/>
    <m/>
    <m/>
    <m/>
    <m/>
    <m/>
    <m/>
    <m/>
    <m/>
    <m/>
    <m/>
    <m/>
    <m/>
    <m/>
    <m/>
    <m/>
    <m/>
    <m/>
    <m/>
    <m/>
    <m/>
    <m/>
    <m/>
    <m/>
    <m/>
    <m/>
    <m/>
    <m/>
    <m/>
    <m/>
    <m/>
    <m/>
    <m/>
    <m/>
    <m/>
    <m/>
    <m/>
    <m/>
    <m/>
    <m/>
    <m/>
    <m/>
    <m/>
    <m/>
    <m/>
    <m/>
    <m/>
    <m/>
    <m/>
    <m/>
    <m/>
    <m/>
    <m/>
    <m/>
    <m/>
    <m/>
    <m/>
    <m/>
    <m/>
    <m/>
    <m/>
    <m/>
    <m/>
    <m/>
    <m/>
    <m/>
    <m/>
  </r>
  <r>
    <m/>
    <m/>
    <x v="2"/>
    <n v="15.18"/>
    <x v="19"/>
    <x v="140"/>
    <s v="Foley BLK 2 "/>
    <d v="2023-08-28T00:00:00"/>
    <n v="19.600000000000001"/>
    <m/>
    <m/>
    <x v="18"/>
    <m/>
    <m/>
    <m/>
    <m/>
    <m/>
    <m/>
    <m/>
    <m/>
    <m/>
    <m/>
    <m/>
    <m/>
    <m/>
    <m/>
    <m/>
    <m/>
    <m/>
    <m/>
    <m/>
    <m/>
    <m/>
    <m/>
    <m/>
    <m/>
    <m/>
    <m/>
    <m/>
    <m/>
    <m/>
    <m/>
    <m/>
    <n v="19.600000000000001"/>
    <m/>
    <m/>
    <m/>
    <m/>
    <m/>
    <m/>
    <m/>
    <m/>
    <m/>
    <m/>
    <m/>
    <m/>
    <m/>
    <m/>
    <m/>
    <m/>
    <m/>
    <m/>
    <m/>
    <m/>
    <m/>
    <m/>
    <m/>
    <m/>
    <m/>
    <m/>
    <m/>
    <m/>
    <m/>
    <m/>
    <m/>
    <m/>
    <m/>
    <m/>
    <m/>
    <m/>
    <m/>
    <m/>
    <m/>
    <m/>
    <m/>
    <m/>
    <m/>
    <m/>
    <m/>
    <m/>
    <m/>
    <m/>
    <m/>
    <m/>
    <m/>
    <m/>
    <m/>
    <m/>
    <m/>
    <m/>
    <m/>
    <m/>
    <m/>
    <m/>
    <m/>
    <m/>
    <m/>
    <m/>
    <m/>
    <m/>
    <m/>
    <m/>
    <m/>
    <m/>
    <m/>
    <m/>
    <m/>
    <m/>
    <m/>
    <m/>
    <m/>
    <m/>
    <m/>
    <m/>
    <m/>
    <m/>
    <m/>
    <m/>
  </r>
  <r>
    <m/>
    <m/>
    <x v="2"/>
    <m/>
    <x v="19"/>
    <x v="140"/>
    <s v="Foley BLK 2 North"/>
    <s v=""/>
    <s v=" "/>
    <m/>
    <m/>
    <x v="18"/>
    <m/>
    <m/>
    <m/>
    <m/>
    <m/>
    <m/>
    <m/>
    <m/>
    <m/>
    <m/>
    <m/>
    <m/>
    <m/>
    <m/>
    <m/>
    <m/>
    <m/>
    <m/>
    <m/>
    <m/>
    <m/>
    <m/>
    <m/>
    <m/>
    <m/>
    <m/>
    <m/>
    <m/>
    <m/>
    <m/>
    <m/>
    <m/>
    <m/>
    <m/>
    <m/>
    <m/>
    <m/>
    <m/>
    <m/>
    <m/>
    <m/>
    <m/>
    <m/>
    <m/>
    <m/>
    <m/>
    <m/>
    <m/>
    <m/>
    <m/>
    <m/>
    <m/>
    <m/>
    <m/>
    <m/>
    <m/>
    <m/>
    <m/>
    <m/>
    <m/>
    <m/>
    <m/>
    <m/>
    <m/>
    <m/>
    <m/>
    <m/>
    <m/>
    <m/>
    <m/>
    <m/>
    <m/>
    <m/>
    <m/>
    <m/>
    <m/>
    <m/>
    <m/>
    <m/>
    <m/>
    <m/>
    <m/>
    <m/>
    <m/>
    <m/>
    <m/>
    <m/>
    <m/>
    <m/>
    <m/>
    <m/>
    <m/>
    <m/>
    <m/>
    <m/>
    <m/>
    <m/>
    <m/>
    <m/>
    <m/>
    <m/>
    <m/>
    <m/>
    <m/>
    <m/>
    <m/>
    <m/>
    <m/>
    <m/>
    <m/>
    <m/>
    <m/>
    <m/>
    <m/>
    <m/>
    <m/>
  </r>
  <r>
    <m/>
    <m/>
    <x v="2"/>
    <m/>
    <x v="19"/>
    <x v="140"/>
    <s v="Foley BLK 2 South"/>
    <s v=""/>
    <s v=" "/>
    <m/>
    <m/>
    <x v="18"/>
    <m/>
    <m/>
    <m/>
    <m/>
    <m/>
    <m/>
    <m/>
    <m/>
    <m/>
    <m/>
    <m/>
    <m/>
    <m/>
    <m/>
    <m/>
    <m/>
    <m/>
    <m/>
    <m/>
    <m/>
    <m/>
    <m/>
    <m/>
    <m/>
    <m/>
    <m/>
    <m/>
    <m/>
    <m/>
    <m/>
    <m/>
    <m/>
    <m/>
    <m/>
    <m/>
    <m/>
    <m/>
    <m/>
    <m/>
    <m/>
    <m/>
    <m/>
    <m/>
    <m/>
    <m/>
    <m/>
    <m/>
    <m/>
    <m/>
    <m/>
    <m/>
    <m/>
    <m/>
    <m/>
    <m/>
    <m/>
    <m/>
    <m/>
    <m/>
    <m/>
    <m/>
    <m/>
    <m/>
    <m/>
    <m/>
    <m/>
    <m/>
    <m/>
    <m/>
    <m/>
    <m/>
    <m/>
    <m/>
    <m/>
    <m/>
    <m/>
    <m/>
    <m/>
    <m/>
    <m/>
    <m/>
    <m/>
    <m/>
    <m/>
    <m/>
    <m/>
    <m/>
    <m/>
    <m/>
    <m/>
    <m/>
    <m/>
    <m/>
    <m/>
    <m/>
    <m/>
    <m/>
    <m/>
    <m/>
    <m/>
    <m/>
    <m/>
    <m/>
    <m/>
    <m/>
    <m/>
    <m/>
    <m/>
    <m/>
    <m/>
    <m/>
    <m/>
    <m/>
    <m/>
    <m/>
    <m/>
  </r>
  <r>
    <m/>
    <m/>
    <x v="2"/>
    <n v="4.53"/>
    <x v="19"/>
    <x v="141"/>
    <s v="Foley BLK 9"/>
    <d v="2023-08-28T00:00:00"/>
    <n v="18.899999999999999"/>
    <m/>
    <m/>
    <x v="18"/>
    <m/>
    <m/>
    <m/>
    <m/>
    <m/>
    <m/>
    <m/>
    <m/>
    <m/>
    <m/>
    <m/>
    <m/>
    <m/>
    <m/>
    <m/>
    <m/>
    <m/>
    <m/>
    <m/>
    <m/>
    <m/>
    <m/>
    <m/>
    <m/>
    <m/>
    <m/>
    <m/>
    <m/>
    <m/>
    <m/>
    <m/>
    <n v="18.899999999999999"/>
    <m/>
    <m/>
    <m/>
    <m/>
    <m/>
    <m/>
    <m/>
    <m/>
    <m/>
    <m/>
    <m/>
    <m/>
    <m/>
    <m/>
    <m/>
    <m/>
    <m/>
    <m/>
    <m/>
    <m/>
    <m/>
    <m/>
    <m/>
    <m/>
    <m/>
    <m/>
    <m/>
    <m/>
    <m/>
    <m/>
    <m/>
    <m/>
    <m/>
    <m/>
    <m/>
    <m/>
    <m/>
    <m/>
    <m/>
    <m/>
    <m/>
    <m/>
    <m/>
    <m/>
    <m/>
    <m/>
    <m/>
    <m/>
    <m/>
    <m/>
    <m/>
    <m/>
    <m/>
    <m/>
    <m/>
    <m/>
    <m/>
    <m/>
    <m/>
    <m/>
    <m/>
    <m/>
    <m/>
    <m/>
    <m/>
    <m/>
    <m/>
    <m/>
    <m/>
    <m/>
    <m/>
    <m/>
    <m/>
    <m/>
    <m/>
    <m/>
    <m/>
    <m/>
    <m/>
    <m/>
    <m/>
    <m/>
    <m/>
    <m/>
  </r>
  <r>
    <m/>
    <m/>
    <x v="2"/>
    <n v="7.27"/>
    <x v="19"/>
    <x v="142"/>
    <s v="Prince B3 PN"/>
    <d v="2023-09-07T00:00:00"/>
    <n v="26.7"/>
    <n v="23"/>
    <m/>
    <x v="9"/>
    <m/>
    <m/>
    <m/>
    <m/>
    <m/>
    <m/>
    <m/>
    <m/>
    <m/>
    <m/>
    <m/>
    <m/>
    <m/>
    <m/>
    <m/>
    <m/>
    <m/>
    <m/>
    <n v="20"/>
    <m/>
    <m/>
    <m/>
    <m/>
    <m/>
    <m/>
    <m/>
    <n v="21.7"/>
    <m/>
    <m/>
    <m/>
    <m/>
    <m/>
    <n v="22.9"/>
    <m/>
    <m/>
    <m/>
    <m/>
    <m/>
    <m/>
    <m/>
    <m/>
    <n v="26.7"/>
    <m/>
    <m/>
    <m/>
    <m/>
    <m/>
    <m/>
    <m/>
    <m/>
    <m/>
    <m/>
    <m/>
    <m/>
    <m/>
    <m/>
    <m/>
    <m/>
    <m/>
    <m/>
    <m/>
    <m/>
    <m/>
    <m/>
    <m/>
    <m/>
    <m/>
    <m/>
    <m/>
    <m/>
    <m/>
    <m/>
    <m/>
    <m/>
    <m/>
    <m/>
    <m/>
    <m/>
    <m/>
    <m/>
    <m/>
    <m/>
    <m/>
    <m/>
    <m/>
    <m/>
    <m/>
    <m/>
    <m/>
    <m/>
    <m/>
    <m/>
    <m/>
    <m/>
    <m/>
    <m/>
    <m/>
    <m/>
    <m/>
    <m/>
    <m/>
    <m/>
    <m/>
    <m/>
    <m/>
    <m/>
    <m/>
    <m/>
    <m/>
    <m/>
    <m/>
    <m/>
    <m/>
    <m/>
    <m/>
    <m/>
  </r>
  <r>
    <m/>
    <m/>
    <x v="3"/>
    <n v="42.9"/>
    <x v="19"/>
    <x v="143"/>
    <s v="Proplant Betsey Rose BLK 4"/>
    <d v="2023-09-13T00:00:00"/>
    <n v="21.3"/>
    <n v="21.5"/>
    <m/>
    <x v="2"/>
    <m/>
    <m/>
    <m/>
    <m/>
    <m/>
    <m/>
    <m/>
    <m/>
    <m/>
    <m/>
    <m/>
    <m/>
    <m/>
    <m/>
    <m/>
    <m/>
    <m/>
    <m/>
    <m/>
    <m/>
    <m/>
    <m/>
    <m/>
    <m/>
    <m/>
    <m/>
    <m/>
    <m/>
    <m/>
    <m/>
    <m/>
    <m/>
    <m/>
    <m/>
    <m/>
    <m/>
    <m/>
    <m/>
    <m/>
    <m/>
    <m/>
    <m/>
    <m/>
    <m/>
    <m/>
    <m/>
    <m/>
    <n v="21.3"/>
    <m/>
    <m/>
    <m/>
    <m/>
    <m/>
    <m/>
    <m/>
    <m/>
    <m/>
    <m/>
    <m/>
    <m/>
    <m/>
    <m/>
    <m/>
    <m/>
    <m/>
    <m/>
    <m/>
    <m/>
    <m/>
    <m/>
    <m/>
    <m/>
    <m/>
    <m/>
    <m/>
    <m/>
    <m/>
    <m/>
    <m/>
    <m/>
    <m/>
    <m/>
    <m/>
    <m/>
    <m/>
    <m/>
    <m/>
    <m/>
    <m/>
    <m/>
    <m/>
    <m/>
    <m/>
    <m/>
    <m/>
    <m/>
    <m/>
    <m/>
    <m/>
    <m/>
    <m/>
    <m/>
    <m/>
    <m/>
    <m/>
    <m/>
    <m/>
    <m/>
    <m/>
    <m/>
    <m/>
    <m/>
    <m/>
    <m/>
    <m/>
    <m/>
  </r>
  <r>
    <m/>
    <m/>
    <x v="3"/>
    <m/>
    <x v="19"/>
    <x v="143"/>
    <s v="Proplant Betsey Rose BLK 4 - Mid"/>
    <s v=""/>
    <s v=" "/>
    <n v="21.5"/>
    <m/>
    <x v="2"/>
    <m/>
    <m/>
    <m/>
    <m/>
    <m/>
    <m/>
    <m/>
    <m/>
    <m/>
    <m/>
    <m/>
    <m/>
    <m/>
    <m/>
    <m/>
    <m/>
    <m/>
    <m/>
    <m/>
    <m/>
    <m/>
    <m/>
    <m/>
    <m/>
    <m/>
    <m/>
    <m/>
    <m/>
    <m/>
    <m/>
    <m/>
    <m/>
    <m/>
    <m/>
    <m/>
    <m/>
    <m/>
    <m/>
    <m/>
    <m/>
    <m/>
    <m/>
    <m/>
    <m/>
    <m/>
    <m/>
    <m/>
    <m/>
    <m/>
    <m/>
    <m/>
    <m/>
    <m/>
    <m/>
    <m/>
    <m/>
    <m/>
    <m/>
    <m/>
    <m/>
    <m/>
    <m/>
    <m/>
    <m/>
    <m/>
    <m/>
    <m/>
    <m/>
    <m/>
    <m/>
    <m/>
    <m/>
    <m/>
    <m/>
    <m/>
    <m/>
    <m/>
    <m/>
    <m/>
    <m/>
    <m/>
    <m/>
    <m/>
    <m/>
    <m/>
    <m/>
    <m/>
    <m/>
    <m/>
    <m/>
    <m/>
    <m/>
    <m/>
    <m/>
    <m/>
    <m/>
    <m/>
    <m/>
    <m/>
    <m/>
    <m/>
    <m/>
    <m/>
    <m/>
    <m/>
    <m/>
    <m/>
    <m/>
    <m/>
    <m/>
    <m/>
    <m/>
    <m/>
    <m/>
    <m/>
    <m/>
  </r>
  <r>
    <m/>
    <m/>
    <x v="3"/>
    <m/>
    <x v="19"/>
    <x v="143"/>
    <s v="Proplant Betsey Rose BLK 4 - N"/>
    <d v="2023-08-30T00:00:00"/>
    <n v="18.399999999999999"/>
    <n v="21.5"/>
    <m/>
    <x v="2"/>
    <m/>
    <m/>
    <m/>
    <m/>
    <m/>
    <m/>
    <m/>
    <m/>
    <m/>
    <m/>
    <m/>
    <m/>
    <m/>
    <m/>
    <m/>
    <m/>
    <m/>
    <m/>
    <m/>
    <m/>
    <m/>
    <m/>
    <m/>
    <m/>
    <m/>
    <m/>
    <m/>
    <n v="16"/>
    <m/>
    <m/>
    <m/>
    <m/>
    <m/>
    <n v="18.399999999999999"/>
    <m/>
    <m/>
    <m/>
    <m/>
    <m/>
    <m/>
    <m/>
    <m/>
    <m/>
    <m/>
    <m/>
    <m/>
    <m/>
    <m/>
    <m/>
    <m/>
    <m/>
    <m/>
    <m/>
    <m/>
    <m/>
    <m/>
    <m/>
    <m/>
    <m/>
    <m/>
    <m/>
    <m/>
    <m/>
    <m/>
    <m/>
    <m/>
    <m/>
    <m/>
    <m/>
    <m/>
    <m/>
    <m/>
    <m/>
    <m/>
    <m/>
    <m/>
    <m/>
    <m/>
    <m/>
    <m/>
    <m/>
    <m/>
    <m/>
    <m/>
    <m/>
    <m/>
    <m/>
    <m/>
    <m/>
    <m/>
    <m/>
    <m/>
    <m/>
    <m/>
    <m/>
    <m/>
    <m/>
    <m/>
    <m/>
    <m/>
    <m/>
    <m/>
    <m/>
    <m/>
    <m/>
    <m/>
    <m/>
    <m/>
    <m/>
    <m/>
    <m/>
    <m/>
    <m/>
    <m/>
    <m/>
    <m/>
  </r>
  <r>
    <m/>
    <m/>
    <x v="3"/>
    <m/>
    <x v="19"/>
    <x v="143"/>
    <s v="Proplant Betsey Rose BLK 4 - S"/>
    <d v="2023-08-30T00:00:00"/>
    <n v="18.600000000000001"/>
    <n v="21.5"/>
    <m/>
    <x v="2"/>
    <m/>
    <m/>
    <m/>
    <m/>
    <m/>
    <m/>
    <m/>
    <m/>
    <m/>
    <m/>
    <m/>
    <m/>
    <m/>
    <m/>
    <m/>
    <m/>
    <m/>
    <m/>
    <m/>
    <m/>
    <m/>
    <m/>
    <m/>
    <m/>
    <m/>
    <m/>
    <m/>
    <n v="16.2"/>
    <m/>
    <m/>
    <m/>
    <m/>
    <m/>
    <n v="18.600000000000001"/>
    <m/>
    <m/>
    <m/>
    <m/>
    <m/>
    <m/>
    <m/>
    <m/>
    <m/>
    <m/>
    <m/>
    <m/>
    <m/>
    <m/>
    <m/>
    <m/>
    <m/>
    <m/>
    <m/>
    <m/>
    <m/>
    <m/>
    <m/>
    <m/>
    <m/>
    <m/>
    <m/>
    <m/>
    <m/>
    <m/>
    <m/>
    <m/>
    <m/>
    <m/>
    <m/>
    <m/>
    <m/>
    <m/>
    <m/>
    <m/>
    <m/>
    <m/>
    <m/>
    <m/>
    <m/>
    <m/>
    <m/>
    <m/>
    <m/>
    <m/>
    <m/>
    <m/>
    <m/>
    <m/>
    <m/>
    <m/>
    <m/>
    <m/>
    <m/>
    <m/>
    <m/>
    <m/>
    <m/>
    <m/>
    <m/>
    <m/>
    <m/>
    <m/>
    <m/>
    <m/>
    <m/>
    <m/>
    <m/>
    <m/>
    <m/>
    <m/>
    <m/>
    <m/>
    <m/>
    <m/>
    <m/>
    <m/>
  </r>
  <r>
    <m/>
    <s v="Y"/>
    <x v="2"/>
    <n v="34.57"/>
    <x v="19"/>
    <x v="144"/>
    <s v="Runyon - B1 PN"/>
    <d v="2023-09-11T00:00:00"/>
    <n v="23.4"/>
    <m/>
    <m/>
    <x v="19"/>
    <m/>
    <m/>
    <m/>
    <m/>
    <m/>
    <m/>
    <m/>
    <m/>
    <m/>
    <m/>
    <m/>
    <m/>
    <m/>
    <m/>
    <n v="15.3"/>
    <m/>
    <m/>
    <m/>
    <m/>
    <m/>
    <n v="18.100000000000001"/>
    <m/>
    <m/>
    <m/>
    <m/>
    <m/>
    <n v="18.8"/>
    <m/>
    <m/>
    <m/>
    <m/>
    <m/>
    <m/>
    <m/>
    <m/>
    <n v="22.4"/>
    <m/>
    <m/>
    <m/>
    <m/>
    <m/>
    <m/>
    <m/>
    <m/>
    <m/>
    <n v="23.4"/>
    <m/>
    <m/>
    <m/>
    <m/>
    <m/>
    <m/>
    <m/>
    <m/>
    <m/>
    <m/>
    <m/>
    <m/>
    <m/>
    <m/>
    <m/>
    <m/>
    <m/>
    <m/>
    <m/>
    <m/>
    <m/>
    <m/>
    <m/>
    <m/>
    <m/>
    <m/>
    <m/>
    <m/>
    <m/>
    <m/>
    <m/>
    <m/>
    <m/>
    <m/>
    <m/>
    <m/>
    <m/>
    <m/>
    <m/>
    <m/>
    <m/>
    <m/>
    <m/>
    <m/>
    <m/>
    <m/>
    <m/>
    <m/>
    <m/>
    <m/>
    <m/>
    <m/>
    <m/>
    <m/>
    <m/>
    <m/>
    <m/>
    <m/>
    <m/>
    <m/>
    <m/>
    <m/>
    <m/>
    <m/>
    <m/>
    <m/>
    <m/>
    <m/>
    <m/>
    <m/>
  </r>
  <r>
    <m/>
    <s v="Y"/>
    <x v="2"/>
    <n v="45.71"/>
    <x v="19"/>
    <x v="145"/>
    <s v="Runyon - B2 PN"/>
    <d v="2023-09-11T00:00:00"/>
    <n v="24.1"/>
    <n v="23.8"/>
    <m/>
    <x v="20"/>
    <m/>
    <m/>
    <m/>
    <m/>
    <m/>
    <m/>
    <m/>
    <m/>
    <m/>
    <m/>
    <m/>
    <m/>
    <m/>
    <m/>
    <n v="16.5"/>
    <m/>
    <m/>
    <m/>
    <m/>
    <n v="18.8"/>
    <n v="19.100000000000001"/>
    <m/>
    <m/>
    <m/>
    <m/>
    <m/>
    <n v="18.600000000000001"/>
    <n v="19.600000000000001"/>
    <m/>
    <m/>
    <m/>
    <m/>
    <m/>
    <n v="22.7"/>
    <m/>
    <m/>
    <m/>
    <m/>
    <m/>
    <m/>
    <n v="23"/>
    <m/>
    <m/>
    <m/>
    <m/>
    <n v="24.1"/>
    <m/>
    <m/>
    <m/>
    <m/>
    <m/>
    <m/>
    <m/>
    <m/>
    <m/>
    <m/>
    <m/>
    <m/>
    <m/>
    <m/>
    <m/>
    <m/>
    <m/>
    <m/>
    <m/>
    <m/>
    <m/>
    <m/>
    <m/>
    <m/>
    <m/>
    <m/>
    <m/>
    <m/>
    <m/>
    <m/>
    <m/>
    <m/>
    <m/>
    <m/>
    <m/>
    <m/>
    <m/>
    <m/>
    <m/>
    <m/>
    <m/>
    <m/>
    <m/>
    <m/>
    <m/>
    <m/>
    <m/>
    <m/>
    <m/>
    <m/>
    <m/>
    <m/>
    <m/>
    <m/>
    <m/>
    <m/>
    <m/>
    <m/>
    <m/>
    <m/>
    <m/>
    <m/>
    <m/>
    <m/>
    <m/>
    <m/>
    <m/>
    <m/>
    <m/>
    <m/>
  </r>
  <r>
    <s v="Y"/>
    <m/>
    <x v="1"/>
    <n v="18.41"/>
    <x v="19"/>
    <x v="146"/>
    <s v="Seibly Ray B1 PN"/>
    <d v="2023-08-21T00:00:00"/>
    <n v="17.899999999999999"/>
    <s v="18-20"/>
    <m/>
    <x v="21"/>
    <m/>
    <m/>
    <m/>
    <m/>
    <m/>
    <m/>
    <m/>
    <m/>
    <m/>
    <m/>
    <m/>
    <m/>
    <n v="14.6"/>
    <m/>
    <m/>
    <m/>
    <m/>
    <m/>
    <m/>
    <n v="17.399999999999999"/>
    <m/>
    <m/>
    <m/>
    <m/>
    <n v="17.899999999999999"/>
    <m/>
    <m/>
    <m/>
    <m/>
    <m/>
    <m/>
    <m/>
    <m/>
    <m/>
    <m/>
    <m/>
    <m/>
    <m/>
    <m/>
    <m/>
    <m/>
    <m/>
    <m/>
    <m/>
    <m/>
    <m/>
    <m/>
    <m/>
    <m/>
    <m/>
    <m/>
    <m/>
    <m/>
    <m/>
    <m/>
    <m/>
    <m/>
    <m/>
    <m/>
    <m/>
    <m/>
    <m/>
    <m/>
    <m/>
    <m/>
    <m/>
    <m/>
    <m/>
    <m/>
    <m/>
    <m/>
    <m/>
    <m/>
    <m/>
    <m/>
    <m/>
    <m/>
    <m/>
    <m/>
    <m/>
    <m/>
    <m/>
    <m/>
    <m/>
    <m/>
    <m/>
    <m/>
    <m/>
    <m/>
    <m/>
    <m/>
    <m/>
    <m/>
    <m/>
    <m/>
    <m/>
    <m/>
    <m/>
    <m/>
    <m/>
    <m/>
    <m/>
    <m/>
    <m/>
    <m/>
    <m/>
    <m/>
    <m/>
    <m/>
    <m/>
    <m/>
    <m/>
    <m/>
    <m/>
    <m/>
    <m/>
  </r>
  <r>
    <s v="Y"/>
    <s v="Y"/>
    <x v="1"/>
    <n v="23.24"/>
    <x v="19"/>
    <x v="147"/>
    <s v="Stanton - BLK 5"/>
    <d v="2023-08-14T00:00:00"/>
    <n v="18.8"/>
    <s v="18-20"/>
    <m/>
    <x v="21"/>
    <m/>
    <m/>
    <m/>
    <m/>
    <m/>
    <n v="14.1"/>
    <m/>
    <m/>
    <m/>
    <m/>
    <m/>
    <m/>
    <n v="17.399999999999999"/>
    <m/>
    <m/>
    <m/>
    <m/>
    <n v="18.8"/>
    <m/>
    <m/>
    <m/>
    <m/>
    <m/>
    <m/>
    <m/>
    <m/>
    <m/>
    <m/>
    <m/>
    <m/>
    <m/>
    <m/>
    <m/>
    <m/>
    <m/>
    <m/>
    <m/>
    <m/>
    <m/>
    <m/>
    <m/>
    <m/>
    <m/>
    <m/>
    <m/>
    <m/>
    <m/>
    <m/>
    <m/>
    <m/>
    <m/>
    <m/>
    <m/>
    <m/>
    <m/>
    <m/>
    <m/>
    <m/>
    <m/>
    <m/>
    <m/>
    <m/>
    <m/>
    <m/>
    <m/>
    <m/>
    <m/>
    <m/>
    <m/>
    <m/>
    <m/>
    <m/>
    <m/>
    <m/>
    <m/>
    <m/>
    <m/>
    <m/>
    <m/>
    <m/>
    <m/>
    <m/>
    <m/>
    <m/>
    <m/>
    <m/>
    <m/>
    <m/>
    <m/>
    <m/>
    <m/>
    <m/>
    <m/>
    <m/>
    <m/>
    <m/>
    <m/>
    <m/>
    <m/>
    <m/>
    <m/>
    <m/>
    <m/>
    <m/>
    <m/>
    <m/>
    <m/>
    <m/>
    <m/>
    <m/>
    <m/>
    <m/>
    <m/>
    <m/>
    <m/>
    <m/>
  </r>
  <r>
    <m/>
    <m/>
    <x v="3"/>
    <n v="87.24"/>
    <x v="19"/>
    <x v="148"/>
    <s v="Zaballos-Lange Sowles"/>
    <m/>
    <m/>
    <n v="23.5"/>
    <m/>
    <x v="2"/>
    <m/>
    <m/>
    <m/>
    <m/>
    <m/>
    <m/>
    <m/>
    <m/>
    <m/>
    <m/>
    <m/>
    <m/>
    <m/>
    <m/>
    <m/>
    <m/>
    <m/>
    <m/>
    <m/>
    <m/>
    <m/>
    <s v="17.3*"/>
    <m/>
    <m/>
    <m/>
    <m/>
    <m/>
    <m/>
    <m/>
    <m/>
    <m/>
    <m/>
    <m/>
    <m/>
    <m/>
    <m/>
    <m/>
    <m/>
    <m/>
    <m/>
    <m/>
    <m/>
    <m/>
    <m/>
    <m/>
    <m/>
    <m/>
    <m/>
    <m/>
    <m/>
    <m/>
    <m/>
    <m/>
    <m/>
    <m/>
    <m/>
    <m/>
    <m/>
    <m/>
    <m/>
    <m/>
    <m/>
    <m/>
    <m/>
    <m/>
    <m/>
    <m/>
    <m/>
    <m/>
    <m/>
    <m/>
    <m/>
    <m/>
    <m/>
    <m/>
    <m/>
    <m/>
    <m/>
    <m/>
    <m/>
    <m/>
    <m/>
    <m/>
    <m/>
    <m/>
    <m/>
    <m/>
    <m/>
    <m/>
    <m/>
    <m/>
    <m/>
    <m/>
    <m/>
    <m/>
    <m/>
    <m/>
    <m/>
    <m/>
    <m/>
    <m/>
    <m/>
    <m/>
    <m/>
    <m/>
    <m/>
    <m/>
    <m/>
    <m/>
    <m/>
    <m/>
    <m/>
    <m/>
    <m/>
    <m/>
    <m/>
  </r>
  <r>
    <m/>
    <m/>
    <x v="3"/>
    <m/>
    <x v="19"/>
    <x v="148"/>
    <s v="Zaballos-Lange Sowles - MID"/>
    <d v="2023-09-04T00:00:00"/>
    <n v="20.6"/>
    <n v="23.5"/>
    <m/>
    <x v="2"/>
    <m/>
    <m/>
    <m/>
    <m/>
    <m/>
    <m/>
    <m/>
    <m/>
    <m/>
    <m/>
    <m/>
    <m/>
    <m/>
    <m/>
    <m/>
    <m/>
    <m/>
    <m/>
    <m/>
    <m/>
    <m/>
    <m/>
    <m/>
    <m/>
    <m/>
    <m/>
    <m/>
    <m/>
    <m/>
    <n v="19.600000000000001"/>
    <m/>
    <m/>
    <m/>
    <m/>
    <m/>
    <m/>
    <m/>
    <m/>
    <n v="20.6"/>
    <m/>
    <m/>
    <m/>
    <m/>
    <m/>
    <m/>
    <m/>
    <m/>
    <m/>
    <m/>
    <m/>
    <m/>
    <m/>
    <m/>
    <m/>
    <m/>
    <m/>
    <m/>
    <m/>
    <m/>
    <m/>
    <m/>
    <m/>
    <m/>
    <m/>
    <m/>
    <m/>
    <m/>
    <m/>
    <m/>
    <m/>
    <m/>
    <m/>
    <m/>
    <m/>
    <m/>
    <m/>
    <m/>
    <m/>
    <m/>
    <m/>
    <m/>
    <m/>
    <m/>
    <m/>
    <m/>
    <m/>
    <m/>
    <m/>
    <m/>
    <m/>
    <m/>
    <m/>
    <m/>
    <m/>
    <m/>
    <m/>
    <m/>
    <m/>
    <m/>
    <m/>
    <m/>
    <m/>
    <m/>
    <m/>
    <m/>
    <m/>
    <m/>
    <m/>
    <m/>
    <m/>
    <m/>
    <m/>
    <m/>
    <m/>
    <m/>
    <m/>
  </r>
  <r>
    <m/>
    <m/>
    <x v="3"/>
    <m/>
    <x v="19"/>
    <x v="148"/>
    <s v="Zaballos-Lange Sowles - N"/>
    <d v="2023-09-04T00:00:00"/>
    <n v="19.8"/>
    <n v="23.5"/>
    <m/>
    <x v="2"/>
    <m/>
    <m/>
    <m/>
    <m/>
    <m/>
    <m/>
    <m/>
    <m/>
    <m/>
    <m/>
    <m/>
    <m/>
    <m/>
    <m/>
    <m/>
    <m/>
    <m/>
    <m/>
    <m/>
    <m/>
    <m/>
    <m/>
    <m/>
    <m/>
    <m/>
    <m/>
    <m/>
    <m/>
    <m/>
    <n v="17.8"/>
    <m/>
    <m/>
    <m/>
    <m/>
    <m/>
    <m/>
    <m/>
    <m/>
    <n v="19.8"/>
    <m/>
    <m/>
    <m/>
    <m/>
    <m/>
    <m/>
    <m/>
    <m/>
    <m/>
    <m/>
    <m/>
    <m/>
    <m/>
    <m/>
    <m/>
    <m/>
    <m/>
    <m/>
    <m/>
    <m/>
    <m/>
    <m/>
    <m/>
    <m/>
    <m/>
    <m/>
    <m/>
    <m/>
    <m/>
    <m/>
    <m/>
    <m/>
    <m/>
    <m/>
    <m/>
    <m/>
    <m/>
    <m/>
    <m/>
    <m/>
    <m/>
    <m/>
    <m/>
    <m/>
    <m/>
    <m/>
    <m/>
    <m/>
    <m/>
    <m/>
    <m/>
    <m/>
    <m/>
    <m/>
    <m/>
    <m/>
    <m/>
    <m/>
    <m/>
    <m/>
    <m/>
    <m/>
    <m/>
    <m/>
    <m/>
    <m/>
    <m/>
    <m/>
    <m/>
    <m/>
    <m/>
    <m/>
    <m/>
    <m/>
    <m/>
    <m/>
    <m/>
  </r>
  <r>
    <m/>
    <m/>
    <x v="3"/>
    <m/>
    <x v="19"/>
    <x v="148"/>
    <s v="Zaballos-Lange Sowles - S"/>
    <d v="2023-09-04T00:00:00"/>
    <n v="22"/>
    <n v="23.5"/>
    <m/>
    <x v="2"/>
    <m/>
    <m/>
    <m/>
    <m/>
    <m/>
    <m/>
    <m/>
    <m/>
    <m/>
    <m/>
    <m/>
    <m/>
    <m/>
    <m/>
    <m/>
    <m/>
    <m/>
    <m/>
    <m/>
    <m/>
    <m/>
    <m/>
    <m/>
    <m/>
    <m/>
    <m/>
    <m/>
    <m/>
    <m/>
    <n v="19.2"/>
    <m/>
    <m/>
    <m/>
    <m/>
    <m/>
    <m/>
    <m/>
    <m/>
    <n v="22"/>
    <m/>
    <m/>
    <m/>
    <m/>
    <m/>
    <m/>
    <m/>
    <m/>
    <m/>
    <m/>
    <m/>
    <m/>
    <m/>
    <m/>
    <m/>
    <m/>
    <m/>
    <m/>
    <m/>
    <m/>
    <m/>
    <m/>
    <m/>
    <m/>
    <m/>
    <m/>
    <m/>
    <m/>
    <m/>
    <m/>
    <m/>
    <m/>
    <m/>
    <m/>
    <m/>
    <m/>
    <m/>
    <m/>
    <m/>
    <m/>
    <m/>
    <m/>
    <m/>
    <m/>
    <m/>
    <m/>
    <m/>
    <m/>
    <m/>
    <m/>
    <m/>
    <m/>
    <m/>
    <m/>
    <m/>
    <m/>
    <m/>
    <m/>
    <m/>
    <m/>
    <m/>
    <m/>
    <m/>
    <m/>
    <m/>
    <m/>
    <m/>
    <m/>
    <m/>
    <m/>
    <m/>
    <m/>
    <m/>
    <m/>
    <m/>
    <m/>
    <m/>
  </r>
  <r>
    <m/>
    <m/>
    <x v="0"/>
    <m/>
    <x v="20"/>
    <x v="0"/>
    <s v=" PETITE SYRAH"/>
    <m/>
    <m/>
    <m/>
    <m/>
    <x v="0"/>
    <m/>
    <m/>
    <m/>
    <m/>
    <m/>
    <m/>
    <m/>
    <m/>
    <m/>
    <m/>
    <m/>
    <m/>
    <m/>
    <m/>
    <m/>
    <m/>
    <m/>
    <m/>
    <m/>
    <m/>
    <m/>
    <m/>
    <m/>
    <m/>
    <m/>
    <m/>
    <m/>
    <m/>
    <m/>
    <m/>
    <m/>
    <m/>
    <m/>
    <m/>
    <m/>
    <m/>
    <m/>
    <m/>
    <m/>
    <m/>
    <m/>
    <m/>
    <m/>
    <m/>
    <m/>
    <m/>
    <m/>
    <m/>
    <m/>
    <m/>
    <m/>
    <m/>
    <m/>
    <m/>
    <m/>
    <m/>
    <m/>
    <m/>
    <m/>
    <m/>
    <m/>
    <m/>
    <m/>
    <m/>
    <m/>
    <m/>
    <m/>
    <m/>
    <m/>
    <m/>
    <m/>
    <m/>
    <m/>
    <m/>
    <m/>
    <m/>
    <m/>
    <m/>
    <m/>
    <m/>
    <m/>
    <m/>
    <m/>
    <m/>
    <m/>
    <m/>
    <m/>
    <m/>
    <m/>
    <m/>
    <m/>
    <m/>
    <m/>
    <m/>
    <m/>
    <m/>
    <m/>
    <m/>
    <m/>
    <m/>
    <m/>
    <m/>
    <m/>
    <m/>
    <m/>
    <m/>
    <m/>
    <m/>
    <m/>
    <m/>
    <m/>
    <m/>
    <m/>
    <m/>
    <m/>
    <m/>
  </r>
  <r>
    <m/>
    <m/>
    <x v="3"/>
    <n v="23.85"/>
    <x v="20"/>
    <x v="149"/>
    <s v="98 Oaks B8 PS"/>
    <d v="2023-09-13T00:00:00"/>
    <n v="24.5"/>
    <n v="24.5"/>
    <n v="25"/>
    <x v="1"/>
    <m/>
    <m/>
    <m/>
    <m/>
    <m/>
    <m/>
    <m/>
    <m/>
    <m/>
    <m/>
    <m/>
    <m/>
    <m/>
    <m/>
    <m/>
    <m/>
    <m/>
    <m/>
    <m/>
    <m/>
    <m/>
    <m/>
    <m/>
    <m/>
    <m/>
    <m/>
    <m/>
    <m/>
    <m/>
    <n v="19.8"/>
    <m/>
    <m/>
    <m/>
    <m/>
    <m/>
    <m/>
    <n v="20.7"/>
    <m/>
    <m/>
    <m/>
    <m/>
    <m/>
    <m/>
    <m/>
    <m/>
    <m/>
    <n v="23.8"/>
    <n v="24.5"/>
    <m/>
    <m/>
    <m/>
    <m/>
    <m/>
    <m/>
    <m/>
    <m/>
    <m/>
    <m/>
    <m/>
    <m/>
    <m/>
    <m/>
    <m/>
    <m/>
    <m/>
    <m/>
    <m/>
    <m/>
    <m/>
    <m/>
    <m/>
    <m/>
    <m/>
    <m/>
    <m/>
    <m/>
    <m/>
    <m/>
    <m/>
    <m/>
    <m/>
    <m/>
    <m/>
    <m/>
    <m/>
    <m/>
    <m/>
    <m/>
    <m/>
    <m/>
    <m/>
    <m/>
    <m/>
    <m/>
    <m/>
    <m/>
    <m/>
    <m/>
    <m/>
    <m/>
    <m/>
    <m/>
    <m/>
    <m/>
    <m/>
    <m/>
    <m/>
    <m/>
    <m/>
    <m/>
    <m/>
    <m/>
    <m/>
    <m/>
    <m/>
    <m/>
  </r>
  <r>
    <m/>
    <s v="Y"/>
    <x v="3"/>
    <n v="4.97"/>
    <x v="20"/>
    <x v="150"/>
    <s v="Clements Moren BLK 3 (East)"/>
    <d v="2023-08-28T00:00:00"/>
    <n v="16.7"/>
    <n v="24.5"/>
    <n v="25"/>
    <x v="1"/>
    <m/>
    <m/>
    <m/>
    <m/>
    <m/>
    <m/>
    <m/>
    <m/>
    <m/>
    <m/>
    <m/>
    <m/>
    <m/>
    <m/>
    <m/>
    <m/>
    <m/>
    <m/>
    <m/>
    <m/>
    <m/>
    <m/>
    <m/>
    <m/>
    <m/>
    <m/>
    <m/>
    <m/>
    <m/>
    <m/>
    <m/>
    <n v="16.7"/>
    <m/>
    <m/>
    <m/>
    <m/>
    <m/>
    <m/>
    <m/>
    <m/>
    <m/>
    <m/>
    <m/>
    <m/>
    <m/>
    <m/>
    <m/>
    <m/>
    <m/>
    <m/>
    <m/>
    <m/>
    <m/>
    <m/>
    <m/>
    <m/>
    <m/>
    <m/>
    <m/>
    <m/>
    <m/>
    <m/>
    <m/>
    <m/>
    <m/>
    <m/>
    <m/>
    <m/>
    <m/>
    <m/>
    <m/>
    <m/>
    <m/>
    <m/>
    <m/>
    <m/>
    <m/>
    <m/>
    <m/>
    <m/>
    <m/>
    <m/>
    <m/>
    <m/>
    <m/>
    <m/>
    <m/>
    <m/>
    <m/>
    <m/>
    <m/>
    <m/>
    <m/>
    <m/>
    <m/>
    <m/>
    <m/>
    <m/>
    <m/>
    <m/>
    <m/>
    <m/>
    <m/>
    <m/>
    <m/>
    <m/>
    <m/>
    <m/>
    <m/>
    <m/>
    <m/>
    <m/>
    <m/>
    <m/>
    <m/>
    <m/>
  </r>
  <r>
    <m/>
    <s v="Y"/>
    <x v="3"/>
    <n v="12.29"/>
    <x v="20"/>
    <x v="151"/>
    <s v="Clements Moren BLK 4 (South)"/>
    <s v=""/>
    <s v=" "/>
    <n v="24.5"/>
    <n v="25"/>
    <x v="1"/>
    <m/>
    <m/>
    <m/>
    <m/>
    <m/>
    <m/>
    <m/>
    <m/>
    <m/>
    <m/>
    <m/>
    <m/>
    <m/>
    <m/>
    <m/>
    <m/>
    <m/>
    <m/>
    <m/>
    <m/>
    <m/>
    <m/>
    <m/>
    <m/>
    <m/>
    <m/>
    <m/>
    <m/>
    <m/>
    <m/>
    <m/>
    <m/>
    <m/>
    <m/>
    <m/>
    <m/>
    <m/>
    <m/>
    <m/>
    <m/>
    <m/>
    <m/>
    <m/>
    <m/>
    <m/>
    <m/>
    <m/>
    <m/>
    <m/>
    <m/>
    <m/>
    <m/>
    <m/>
    <m/>
    <m/>
    <m/>
    <m/>
    <m/>
    <m/>
    <m/>
    <m/>
    <m/>
    <m/>
    <m/>
    <m/>
    <m/>
    <m/>
    <m/>
    <m/>
    <m/>
    <m/>
    <m/>
    <m/>
    <m/>
    <m/>
    <m/>
    <m/>
    <m/>
    <m/>
    <m/>
    <m/>
    <m/>
    <m/>
    <m/>
    <m/>
    <m/>
    <m/>
    <m/>
    <m/>
    <m/>
    <m/>
    <m/>
    <m/>
    <m/>
    <m/>
    <m/>
    <m/>
    <m/>
    <m/>
    <m/>
    <m/>
    <m/>
    <m/>
    <m/>
    <m/>
    <m/>
    <m/>
    <m/>
    <m/>
    <m/>
    <m/>
    <m/>
    <m/>
    <m/>
    <m/>
    <m/>
  </r>
  <r>
    <m/>
    <s v="Y"/>
    <x v="3"/>
    <n v="16.22"/>
    <x v="20"/>
    <x v="152"/>
    <s v="Clements Moren BLK 5 (North)"/>
    <d v="2023-08-28T00:00:00"/>
    <n v="19.2"/>
    <n v="24.5"/>
    <n v="25"/>
    <x v="1"/>
    <m/>
    <m/>
    <m/>
    <m/>
    <m/>
    <m/>
    <m/>
    <m/>
    <m/>
    <m/>
    <m/>
    <m/>
    <m/>
    <m/>
    <m/>
    <m/>
    <m/>
    <m/>
    <m/>
    <m/>
    <m/>
    <m/>
    <m/>
    <m/>
    <m/>
    <m/>
    <m/>
    <m/>
    <m/>
    <m/>
    <m/>
    <n v="19.2"/>
    <m/>
    <m/>
    <m/>
    <m/>
    <m/>
    <m/>
    <m/>
    <m/>
    <m/>
    <m/>
    <m/>
    <m/>
    <m/>
    <m/>
    <m/>
    <m/>
    <m/>
    <m/>
    <m/>
    <m/>
    <m/>
    <m/>
    <m/>
    <m/>
    <m/>
    <m/>
    <m/>
    <m/>
    <m/>
    <m/>
    <m/>
    <m/>
    <m/>
    <m/>
    <m/>
    <m/>
    <m/>
    <m/>
    <m/>
    <m/>
    <m/>
    <m/>
    <m/>
    <m/>
    <m/>
    <m/>
    <m/>
    <m/>
    <m/>
    <m/>
    <m/>
    <m/>
    <m/>
    <m/>
    <m/>
    <m/>
    <m/>
    <m/>
    <m/>
    <m/>
    <m/>
    <m/>
    <m/>
    <m/>
    <m/>
    <m/>
    <m/>
    <m/>
    <m/>
    <m/>
    <m/>
    <m/>
    <m/>
    <m/>
    <m/>
    <m/>
    <m/>
    <m/>
    <m/>
    <m/>
    <m/>
    <m/>
    <m/>
    <m/>
  </r>
  <r>
    <m/>
    <s v="Y"/>
    <x v="1"/>
    <n v="57.07"/>
    <x v="20"/>
    <x v="73"/>
    <s v="Hilder Vines B5 PS"/>
    <d v="2023-08-31T00:00:00"/>
    <n v="19.2"/>
    <n v="25"/>
    <m/>
    <x v="7"/>
    <m/>
    <m/>
    <m/>
    <m/>
    <m/>
    <m/>
    <m/>
    <m/>
    <m/>
    <m/>
    <m/>
    <m/>
    <m/>
    <m/>
    <m/>
    <m/>
    <m/>
    <m/>
    <m/>
    <m/>
    <m/>
    <m/>
    <m/>
    <m/>
    <m/>
    <m/>
    <m/>
    <m/>
    <m/>
    <m/>
    <m/>
    <m/>
    <m/>
    <m/>
    <n v="19.2"/>
    <m/>
    <m/>
    <m/>
    <m/>
    <m/>
    <m/>
    <m/>
    <m/>
    <m/>
    <m/>
    <m/>
    <m/>
    <m/>
    <m/>
    <m/>
    <m/>
    <m/>
    <m/>
    <m/>
    <m/>
    <m/>
    <m/>
    <m/>
    <m/>
    <m/>
    <m/>
    <m/>
    <m/>
    <m/>
    <m/>
    <m/>
    <m/>
    <m/>
    <m/>
    <m/>
    <m/>
    <m/>
    <m/>
    <m/>
    <m/>
    <m/>
    <m/>
    <m/>
    <m/>
    <m/>
    <m/>
    <m/>
    <m/>
    <m/>
    <m/>
    <m/>
    <m/>
    <m/>
    <m/>
    <m/>
    <m/>
    <m/>
    <m/>
    <m/>
    <m/>
    <m/>
    <m/>
    <m/>
    <m/>
    <m/>
    <m/>
    <m/>
    <m/>
    <m/>
    <m/>
    <m/>
    <m/>
    <m/>
    <m/>
    <m/>
    <m/>
    <m/>
    <m/>
    <m/>
    <m/>
    <m/>
  </r>
  <r>
    <m/>
    <s v="Y"/>
    <x v="1"/>
    <m/>
    <x v="20"/>
    <x v="73"/>
    <s v="Hilder Vines BLK 5 - Mid"/>
    <s v=""/>
    <s v=" "/>
    <n v="25"/>
    <m/>
    <x v="7"/>
    <m/>
    <m/>
    <m/>
    <m/>
    <m/>
    <m/>
    <m/>
    <m/>
    <m/>
    <m/>
    <m/>
    <m/>
    <m/>
    <m/>
    <m/>
    <m/>
    <m/>
    <m/>
    <m/>
    <m/>
    <m/>
    <m/>
    <m/>
    <m/>
    <m/>
    <m/>
    <m/>
    <m/>
    <m/>
    <m/>
    <m/>
    <m/>
    <m/>
    <m/>
    <m/>
    <m/>
    <m/>
    <m/>
    <m/>
    <m/>
    <m/>
    <m/>
    <m/>
    <m/>
    <m/>
    <m/>
    <m/>
    <m/>
    <m/>
    <m/>
    <m/>
    <m/>
    <m/>
    <m/>
    <m/>
    <m/>
    <m/>
    <m/>
    <m/>
    <m/>
    <m/>
    <m/>
    <m/>
    <m/>
    <m/>
    <m/>
    <m/>
    <m/>
    <m/>
    <m/>
    <m/>
    <m/>
    <m/>
    <m/>
    <m/>
    <m/>
    <m/>
    <m/>
    <m/>
    <m/>
    <m/>
    <m/>
    <m/>
    <m/>
    <m/>
    <m/>
    <m/>
    <m/>
    <m/>
    <m/>
    <m/>
    <m/>
    <m/>
    <m/>
    <m/>
    <m/>
    <m/>
    <m/>
    <m/>
    <m/>
    <m/>
    <m/>
    <m/>
    <m/>
    <m/>
    <m/>
    <m/>
    <m/>
    <m/>
    <m/>
    <m/>
    <m/>
    <m/>
    <m/>
    <m/>
    <m/>
  </r>
  <r>
    <m/>
    <s v="Y"/>
    <x v="1"/>
    <m/>
    <x v="20"/>
    <x v="73"/>
    <s v="Hilder Vines BLK 5 - N"/>
    <d v="2023-09-12T00:00:00"/>
    <n v="22.7"/>
    <n v="25"/>
    <m/>
    <x v="7"/>
    <m/>
    <m/>
    <m/>
    <m/>
    <m/>
    <m/>
    <m/>
    <m/>
    <m/>
    <m/>
    <m/>
    <m/>
    <m/>
    <m/>
    <m/>
    <m/>
    <m/>
    <m/>
    <m/>
    <m/>
    <m/>
    <m/>
    <m/>
    <m/>
    <m/>
    <m/>
    <m/>
    <m/>
    <m/>
    <m/>
    <m/>
    <m/>
    <m/>
    <m/>
    <m/>
    <m/>
    <m/>
    <m/>
    <m/>
    <m/>
    <m/>
    <m/>
    <m/>
    <m/>
    <m/>
    <m/>
    <n v="22.7"/>
    <m/>
    <m/>
    <m/>
    <m/>
    <m/>
    <m/>
    <m/>
    <m/>
    <m/>
    <m/>
    <m/>
    <m/>
    <m/>
    <m/>
    <m/>
    <m/>
    <m/>
    <m/>
    <m/>
    <m/>
    <m/>
    <m/>
    <m/>
    <m/>
    <m/>
    <m/>
    <m/>
    <m/>
    <m/>
    <m/>
    <m/>
    <m/>
    <m/>
    <m/>
    <m/>
    <m/>
    <m/>
    <m/>
    <m/>
    <m/>
    <m/>
    <m/>
    <m/>
    <m/>
    <m/>
    <m/>
    <m/>
    <m/>
    <m/>
    <m/>
    <m/>
    <m/>
    <m/>
    <m/>
    <m/>
    <m/>
    <m/>
    <m/>
    <m/>
    <m/>
    <m/>
    <m/>
    <m/>
    <m/>
    <m/>
    <m/>
    <m/>
    <m/>
    <m/>
  </r>
  <r>
    <m/>
    <s v="Y"/>
    <x v="1"/>
    <m/>
    <x v="20"/>
    <x v="73"/>
    <s v="Hilder Vines BLK 5 - S"/>
    <d v="2023-09-12T00:00:00"/>
    <n v="22.4"/>
    <n v="25"/>
    <m/>
    <x v="7"/>
    <m/>
    <m/>
    <m/>
    <m/>
    <m/>
    <m/>
    <m/>
    <m/>
    <m/>
    <m/>
    <m/>
    <m/>
    <m/>
    <m/>
    <m/>
    <m/>
    <m/>
    <m/>
    <m/>
    <m/>
    <m/>
    <m/>
    <m/>
    <m/>
    <m/>
    <m/>
    <m/>
    <m/>
    <m/>
    <m/>
    <m/>
    <m/>
    <m/>
    <m/>
    <m/>
    <m/>
    <m/>
    <m/>
    <m/>
    <m/>
    <m/>
    <m/>
    <m/>
    <m/>
    <m/>
    <m/>
    <n v="22.4"/>
    <m/>
    <m/>
    <m/>
    <m/>
    <m/>
    <m/>
    <m/>
    <m/>
    <m/>
    <m/>
    <m/>
    <m/>
    <m/>
    <m/>
    <m/>
    <m/>
    <m/>
    <m/>
    <m/>
    <m/>
    <m/>
    <m/>
    <m/>
    <m/>
    <m/>
    <m/>
    <m/>
    <m/>
    <m/>
    <m/>
    <m/>
    <m/>
    <m/>
    <m/>
    <m/>
    <m/>
    <m/>
    <m/>
    <m/>
    <m/>
    <m/>
    <m/>
    <m/>
    <m/>
    <m/>
    <m/>
    <m/>
    <m/>
    <m/>
    <m/>
    <m/>
    <m/>
    <m/>
    <m/>
    <m/>
    <m/>
    <m/>
    <m/>
    <m/>
    <m/>
    <m/>
    <m/>
    <m/>
    <m/>
    <m/>
    <m/>
    <m/>
    <m/>
    <m/>
  </r>
  <r>
    <m/>
    <s v="Y"/>
    <x v="1"/>
    <n v="43.76"/>
    <x v="20"/>
    <x v="153"/>
    <s v="LaPrima - BLK 4"/>
    <s v=""/>
    <s v=" "/>
    <n v="25"/>
    <m/>
    <x v="7"/>
    <m/>
    <m/>
    <m/>
    <m/>
    <m/>
    <m/>
    <m/>
    <m/>
    <m/>
    <m/>
    <m/>
    <m/>
    <m/>
    <m/>
    <m/>
    <m/>
    <m/>
    <m/>
    <m/>
    <m/>
    <m/>
    <m/>
    <m/>
    <m/>
    <m/>
    <m/>
    <m/>
    <m/>
    <m/>
    <m/>
    <m/>
    <m/>
    <m/>
    <m/>
    <m/>
    <m/>
    <m/>
    <m/>
    <m/>
    <m/>
    <m/>
    <m/>
    <m/>
    <m/>
    <m/>
    <m/>
    <m/>
    <m/>
    <m/>
    <m/>
    <m/>
    <m/>
    <m/>
    <m/>
    <m/>
    <m/>
    <m/>
    <m/>
    <m/>
    <m/>
    <m/>
    <m/>
    <m/>
    <m/>
    <m/>
    <m/>
    <m/>
    <m/>
    <m/>
    <m/>
    <m/>
    <m/>
    <m/>
    <m/>
    <m/>
    <m/>
    <m/>
    <m/>
    <m/>
    <m/>
    <m/>
    <m/>
    <m/>
    <m/>
    <m/>
    <m/>
    <m/>
    <m/>
    <m/>
    <m/>
    <m/>
    <m/>
    <m/>
    <m/>
    <m/>
    <m/>
    <m/>
    <m/>
    <m/>
    <m/>
    <m/>
    <m/>
    <m/>
    <m/>
    <m/>
    <m/>
    <m/>
    <m/>
    <m/>
    <m/>
    <m/>
    <m/>
    <m/>
    <m/>
    <m/>
    <m/>
  </r>
  <r>
    <m/>
    <s v="Y"/>
    <x v="1"/>
    <m/>
    <x v="20"/>
    <x v="153"/>
    <s v="LaPrima - BLK 4- N"/>
    <d v="2023-09-11T00:00:00"/>
    <n v="21.9"/>
    <n v="25"/>
    <m/>
    <x v="7"/>
    <m/>
    <m/>
    <m/>
    <m/>
    <m/>
    <m/>
    <m/>
    <m/>
    <m/>
    <m/>
    <m/>
    <m/>
    <m/>
    <m/>
    <m/>
    <m/>
    <m/>
    <m/>
    <m/>
    <m/>
    <m/>
    <m/>
    <m/>
    <m/>
    <m/>
    <m/>
    <m/>
    <m/>
    <m/>
    <m/>
    <m/>
    <m/>
    <m/>
    <m/>
    <m/>
    <m/>
    <m/>
    <m/>
    <n v="19.8"/>
    <m/>
    <m/>
    <m/>
    <m/>
    <m/>
    <m/>
    <n v="21.9"/>
    <m/>
    <m/>
    <m/>
    <m/>
    <m/>
    <m/>
    <m/>
    <m/>
    <m/>
    <m/>
    <m/>
    <m/>
    <m/>
    <m/>
    <m/>
    <m/>
    <m/>
    <m/>
    <m/>
    <m/>
    <m/>
    <m/>
    <m/>
    <m/>
    <m/>
    <m/>
    <m/>
    <m/>
    <m/>
    <m/>
    <m/>
    <m/>
    <m/>
    <m/>
    <m/>
    <m/>
    <m/>
    <m/>
    <m/>
    <m/>
    <m/>
    <m/>
    <m/>
    <m/>
    <m/>
    <m/>
    <m/>
    <m/>
    <m/>
    <m/>
    <m/>
    <m/>
    <m/>
    <m/>
    <m/>
    <m/>
    <m/>
    <m/>
    <m/>
    <m/>
    <m/>
    <m/>
    <m/>
    <m/>
    <m/>
    <m/>
    <m/>
    <m/>
    <m/>
    <m/>
  </r>
  <r>
    <m/>
    <s v="Y"/>
    <x v="1"/>
    <m/>
    <x v="20"/>
    <x v="153"/>
    <s v="LaPrima - BLK 4- S"/>
    <d v="2023-09-11T00:00:00"/>
    <n v="23"/>
    <n v="25"/>
    <m/>
    <x v="7"/>
    <m/>
    <m/>
    <m/>
    <m/>
    <m/>
    <m/>
    <m/>
    <m/>
    <m/>
    <m/>
    <m/>
    <m/>
    <m/>
    <m/>
    <m/>
    <m/>
    <m/>
    <m/>
    <m/>
    <m/>
    <m/>
    <m/>
    <m/>
    <m/>
    <m/>
    <m/>
    <m/>
    <m/>
    <m/>
    <m/>
    <m/>
    <m/>
    <m/>
    <m/>
    <m/>
    <m/>
    <m/>
    <m/>
    <n v="19.899999999999999"/>
    <m/>
    <m/>
    <m/>
    <m/>
    <m/>
    <m/>
    <n v="23"/>
    <m/>
    <m/>
    <m/>
    <m/>
    <m/>
    <m/>
    <m/>
    <m/>
    <m/>
    <m/>
    <m/>
    <m/>
    <m/>
    <m/>
    <m/>
    <m/>
    <m/>
    <m/>
    <m/>
    <m/>
    <m/>
    <m/>
    <m/>
    <m/>
    <m/>
    <m/>
    <m/>
    <m/>
    <m/>
    <m/>
    <m/>
    <m/>
    <m/>
    <m/>
    <m/>
    <m/>
    <m/>
    <m/>
    <m/>
    <m/>
    <m/>
    <m/>
    <m/>
    <m/>
    <m/>
    <m/>
    <m/>
    <m/>
    <m/>
    <m/>
    <m/>
    <m/>
    <m/>
    <m/>
    <m/>
    <m/>
    <m/>
    <m/>
    <m/>
    <m/>
    <m/>
    <m/>
    <m/>
    <m/>
    <m/>
    <m/>
    <m/>
    <m/>
    <m/>
    <m/>
  </r>
  <r>
    <m/>
    <s v="Y"/>
    <x v="1"/>
    <n v="49.52"/>
    <x v="20"/>
    <x v="77"/>
    <s v="LF 100 "/>
    <d v="2023-08-26T00:00:00"/>
    <n v="19.8"/>
    <n v="24.5"/>
    <m/>
    <x v="22"/>
    <m/>
    <m/>
    <m/>
    <m/>
    <m/>
    <m/>
    <m/>
    <m/>
    <m/>
    <m/>
    <m/>
    <m/>
    <m/>
    <m/>
    <m/>
    <m/>
    <m/>
    <m/>
    <m/>
    <m/>
    <m/>
    <m/>
    <m/>
    <m/>
    <m/>
    <m/>
    <m/>
    <m/>
    <m/>
    <n v="19.8"/>
    <m/>
    <m/>
    <m/>
    <m/>
    <m/>
    <m/>
    <m/>
    <m/>
    <m/>
    <m/>
    <m/>
    <m/>
    <m/>
    <m/>
    <m/>
    <m/>
    <m/>
    <m/>
    <m/>
    <m/>
    <m/>
    <m/>
    <m/>
    <m/>
    <m/>
    <m/>
    <m/>
    <m/>
    <m/>
    <m/>
    <m/>
    <m/>
    <m/>
    <m/>
    <m/>
    <m/>
    <m/>
    <m/>
    <m/>
    <m/>
    <m/>
    <m/>
    <m/>
    <m/>
    <m/>
    <m/>
    <m/>
    <m/>
    <m/>
    <m/>
    <m/>
    <m/>
    <m/>
    <m/>
    <m/>
    <m/>
    <m/>
    <m/>
    <m/>
    <m/>
    <m/>
    <m/>
    <m/>
    <m/>
    <m/>
    <m/>
    <m/>
    <m/>
    <m/>
    <m/>
    <m/>
    <m/>
    <m/>
    <m/>
    <m/>
    <m/>
    <m/>
    <m/>
    <m/>
    <m/>
    <m/>
    <m/>
    <m/>
    <m/>
    <m/>
    <m/>
  </r>
  <r>
    <m/>
    <s v="Y"/>
    <x v="1"/>
    <m/>
    <x v="20"/>
    <x v="77"/>
    <s v="LF 100 - Middle"/>
    <s v=""/>
    <s v=" "/>
    <n v="24.5"/>
    <m/>
    <x v="22"/>
    <m/>
    <m/>
    <m/>
    <m/>
    <m/>
    <m/>
    <m/>
    <m/>
    <m/>
    <m/>
    <m/>
    <m/>
    <m/>
    <m/>
    <m/>
    <m/>
    <m/>
    <m/>
    <m/>
    <m/>
    <m/>
    <m/>
    <m/>
    <m/>
    <m/>
    <m/>
    <m/>
    <m/>
    <m/>
    <m/>
    <m/>
    <m/>
    <m/>
    <m/>
    <m/>
    <m/>
    <m/>
    <m/>
    <m/>
    <m/>
    <m/>
    <m/>
    <m/>
    <m/>
    <m/>
    <m/>
    <m/>
    <m/>
    <m/>
    <m/>
    <m/>
    <m/>
    <m/>
    <m/>
    <m/>
    <m/>
    <m/>
    <m/>
    <m/>
    <m/>
    <m/>
    <m/>
    <m/>
    <m/>
    <m/>
    <m/>
    <m/>
    <m/>
    <m/>
    <m/>
    <m/>
    <m/>
    <m/>
    <m/>
    <m/>
    <m/>
    <m/>
    <m/>
    <m/>
    <m/>
    <m/>
    <m/>
    <m/>
    <m/>
    <m/>
    <m/>
    <m/>
    <m/>
    <m/>
    <m/>
    <m/>
    <m/>
    <m/>
    <m/>
    <m/>
    <m/>
    <m/>
    <m/>
    <m/>
    <m/>
    <m/>
    <m/>
    <m/>
    <m/>
    <m/>
    <m/>
    <m/>
    <m/>
    <m/>
    <m/>
    <m/>
    <m/>
    <m/>
    <m/>
    <m/>
    <m/>
  </r>
  <r>
    <m/>
    <s v="Y"/>
    <x v="1"/>
    <m/>
    <x v="20"/>
    <x v="77"/>
    <s v="LF 100 - N"/>
    <d v="2023-09-11T00:00:00"/>
    <n v="21"/>
    <n v="24.5"/>
    <m/>
    <x v="22"/>
    <m/>
    <m/>
    <m/>
    <m/>
    <m/>
    <m/>
    <m/>
    <m/>
    <m/>
    <m/>
    <m/>
    <m/>
    <m/>
    <m/>
    <m/>
    <m/>
    <m/>
    <m/>
    <m/>
    <m/>
    <m/>
    <m/>
    <m/>
    <m/>
    <m/>
    <m/>
    <m/>
    <m/>
    <m/>
    <m/>
    <m/>
    <m/>
    <m/>
    <m/>
    <m/>
    <m/>
    <m/>
    <m/>
    <n v="18.5"/>
    <m/>
    <m/>
    <m/>
    <m/>
    <m/>
    <m/>
    <n v="21"/>
    <m/>
    <m/>
    <m/>
    <m/>
    <m/>
    <m/>
    <m/>
    <m/>
    <m/>
    <m/>
    <m/>
    <m/>
    <m/>
    <m/>
    <m/>
    <m/>
    <m/>
    <m/>
    <m/>
    <m/>
    <m/>
    <m/>
    <m/>
    <m/>
    <m/>
    <m/>
    <m/>
    <m/>
    <m/>
    <m/>
    <m/>
    <m/>
    <m/>
    <m/>
    <m/>
    <m/>
    <m/>
    <m/>
    <m/>
    <m/>
    <m/>
    <m/>
    <m/>
    <m/>
    <m/>
    <m/>
    <m/>
    <m/>
    <m/>
    <m/>
    <m/>
    <m/>
    <m/>
    <m/>
    <m/>
    <m/>
    <m/>
    <m/>
    <m/>
    <m/>
    <m/>
    <m/>
    <m/>
    <m/>
    <m/>
    <m/>
    <m/>
    <m/>
    <m/>
    <m/>
  </r>
  <r>
    <m/>
    <s v="Y"/>
    <x v="1"/>
    <m/>
    <x v="20"/>
    <x v="77"/>
    <s v="LF 100 - S"/>
    <d v="2023-09-11T00:00:00"/>
    <n v="21.4"/>
    <n v="24.5"/>
    <m/>
    <x v="22"/>
    <m/>
    <m/>
    <m/>
    <m/>
    <m/>
    <m/>
    <m/>
    <m/>
    <m/>
    <m/>
    <m/>
    <m/>
    <m/>
    <m/>
    <m/>
    <m/>
    <m/>
    <m/>
    <m/>
    <m/>
    <m/>
    <m/>
    <m/>
    <m/>
    <m/>
    <m/>
    <m/>
    <m/>
    <m/>
    <m/>
    <m/>
    <m/>
    <m/>
    <m/>
    <m/>
    <m/>
    <m/>
    <m/>
    <n v="18.399999999999999"/>
    <m/>
    <m/>
    <m/>
    <m/>
    <m/>
    <m/>
    <n v="21.4"/>
    <m/>
    <m/>
    <m/>
    <m/>
    <m/>
    <m/>
    <m/>
    <m/>
    <m/>
    <m/>
    <m/>
    <m/>
    <m/>
    <m/>
    <m/>
    <m/>
    <m/>
    <m/>
    <m/>
    <m/>
    <m/>
    <m/>
    <m/>
    <m/>
    <m/>
    <m/>
    <m/>
    <m/>
    <m/>
    <m/>
    <m/>
    <m/>
    <m/>
    <m/>
    <m/>
    <m/>
    <m/>
    <m/>
    <m/>
    <m/>
    <m/>
    <m/>
    <m/>
    <m/>
    <m/>
    <m/>
    <m/>
    <m/>
    <m/>
    <m/>
    <m/>
    <m/>
    <m/>
    <m/>
    <m/>
    <m/>
    <m/>
    <m/>
    <m/>
    <m/>
    <m/>
    <m/>
    <m/>
    <m/>
    <m/>
    <m/>
    <m/>
    <m/>
    <m/>
    <m/>
  </r>
  <r>
    <m/>
    <s v="Y"/>
    <x v="1"/>
    <m/>
    <x v="20"/>
    <x v="77"/>
    <s v="LF 100 - SW"/>
    <s v=""/>
    <s v=" "/>
    <n v="24.5"/>
    <m/>
    <x v="22"/>
    <m/>
    <m/>
    <m/>
    <m/>
    <m/>
    <m/>
    <m/>
    <m/>
    <m/>
    <m/>
    <m/>
    <m/>
    <m/>
    <m/>
    <m/>
    <m/>
    <m/>
    <m/>
    <m/>
    <m/>
    <m/>
    <m/>
    <m/>
    <m/>
    <m/>
    <m/>
    <m/>
    <m/>
    <m/>
    <m/>
    <m/>
    <m/>
    <m/>
    <m/>
    <m/>
    <m/>
    <m/>
    <m/>
    <m/>
    <m/>
    <m/>
    <m/>
    <m/>
    <m/>
    <m/>
    <m/>
    <m/>
    <m/>
    <m/>
    <m/>
    <m/>
    <m/>
    <m/>
    <m/>
    <m/>
    <m/>
    <m/>
    <m/>
    <m/>
    <m/>
    <m/>
    <m/>
    <m/>
    <m/>
    <m/>
    <m/>
    <m/>
    <m/>
    <m/>
    <m/>
    <m/>
    <m/>
    <m/>
    <m/>
    <m/>
    <m/>
    <m/>
    <m/>
    <m/>
    <m/>
    <m/>
    <m/>
    <m/>
    <m/>
    <m/>
    <m/>
    <m/>
    <m/>
    <m/>
    <m/>
    <m/>
    <m/>
    <m/>
    <m/>
    <m/>
    <m/>
    <m/>
    <m/>
    <m/>
    <m/>
    <m/>
    <m/>
    <m/>
    <m/>
    <m/>
    <m/>
    <m/>
    <m/>
    <m/>
    <m/>
    <m/>
    <m/>
    <m/>
    <m/>
    <m/>
    <m/>
  </r>
  <r>
    <m/>
    <s v="Y"/>
    <x v="1"/>
    <n v="7.08"/>
    <x v="20"/>
    <x v="154"/>
    <s v="LF 80 BLK 3"/>
    <d v="2023-09-11T00:00:00"/>
    <n v="21.9"/>
    <n v="24.5"/>
    <n v="25"/>
    <x v="1"/>
    <m/>
    <m/>
    <m/>
    <m/>
    <m/>
    <m/>
    <m/>
    <m/>
    <m/>
    <m/>
    <m/>
    <m/>
    <m/>
    <m/>
    <m/>
    <m/>
    <m/>
    <m/>
    <m/>
    <m/>
    <m/>
    <m/>
    <m/>
    <m/>
    <m/>
    <m/>
    <m/>
    <m/>
    <m/>
    <n v="16.8"/>
    <m/>
    <m/>
    <m/>
    <m/>
    <m/>
    <m/>
    <m/>
    <m/>
    <m/>
    <m/>
    <m/>
    <m/>
    <m/>
    <m/>
    <m/>
    <n v="21.9"/>
    <m/>
    <m/>
    <m/>
    <m/>
    <m/>
    <m/>
    <m/>
    <m/>
    <m/>
    <m/>
    <m/>
    <m/>
    <m/>
    <m/>
    <m/>
    <m/>
    <m/>
    <m/>
    <m/>
    <m/>
    <m/>
    <m/>
    <m/>
    <m/>
    <m/>
    <m/>
    <m/>
    <m/>
    <m/>
    <m/>
    <m/>
    <m/>
    <m/>
    <m/>
    <m/>
    <m/>
    <m/>
    <m/>
    <m/>
    <m/>
    <m/>
    <m/>
    <m/>
    <m/>
    <m/>
    <m/>
    <m/>
    <m/>
    <m/>
    <m/>
    <m/>
    <m/>
    <m/>
    <m/>
    <m/>
    <m/>
    <m/>
    <m/>
    <m/>
    <m/>
    <m/>
    <m/>
    <m/>
    <m/>
    <m/>
    <m/>
    <m/>
    <m/>
    <m/>
    <m/>
  </r>
  <r>
    <m/>
    <m/>
    <x v="2"/>
    <n v="9.5500000000000007"/>
    <x v="20"/>
    <x v="155"/>
    <s v="Prince BLK 18"/>
    <d v="2023-09-13T00:00:00"/>
    <n v="19.3"/>
    <m/>
    <m/>
    <x v="9"/>
    <m/>
    <m/>
    <m/>
    <m/>
    <m/>
    <m/>
    <m/>
    <m/>
    <m/>
    <m/>
    <m/>
    <m/>
    <m/>
    <m/>
    <m/>
    <m/>
    <m/>
    <m/>
    <m/>
    <m/>
    <m/>
    <m/>
    <m/>
    <m/>
    <m/>
    <m/>
    <m/>
    <m/>
    <m/>
    <m/>
    <m/>
    <m/>
    <m/>
    <m/>
    <m/>
    <m/>
    <m/>
    <m/>
    <m/>
    <m/>
    <m/>
    <n v="17.7"/>
    <m/>
    <m/>
    <m/>
    <m/>
    <m/>
    <n v="19.3"/>
    <m/>
    <m/>
    <m/>
    <m/>
    <m/>
    <m/>
    <m/>
    <m/>
    <m/>
    <m/>
    <m/>
    <m/>
    <m/>
    <m/>
    <m/>
    <m/>
    <m/>
    <m/>
    <m/>
    <m/>
    <m/>
    <m/>
    <m/>
    <m/>
    <m/>
    <m/>
    <m/>
    <m/>
    <m/>
    <m/>
    <m/>
    <m/>
    <m/>
    <m/>
    <m/>
    <m/>
    <m/>
    <m/>
    <m/>
    <m/>
    <m/>
    <m/>
    <m/>
    <m/>
    <m/>
    <m/>
    <m/>
    <m/>
    <m/>
    <m/>
    <m/>
    <m/>
    <m/>
    <m/>
    <m/>
    <m/>
    <m/>
    <m/>
    <m/>
    <m/>
    <m/>
    <m/>
    <m/>
    <m/>
    <m/>
    <m/>
    <m/>
    <m/>
  </r>
  <r>
    <m/>
    <m/>
    <x v="0"/>
    <m/>
    <x v="21"/>
    <x v="0"/>
    <s v=" PETITE VERDOT"/>
    <m/>
    <m/>
    <m/>
    <m/>
    <x v="0"/>
    <m/>
    <m/>
    <m/>
    <m/>
    <m/>
    <m/>
    <m/>
    <m/>
    <m/>
    <m/>
    <m/>
    <m/>
    <m/>
    <m/>
    <m/>
    <m/>
    <m/>
    <m/>
    <m/>
    <m/>
    <m/>
    <m/>
    <m/>
    <m/>
    <m/>
    <m/>
    <m/>
    <m/>
    <m/>
    <m/>
    <m/>
    <m/>
    <m/>
    <m/>
    <m/>
    <m/>
    <m/>
    <m/>
    <m/>
    <m/>
    <m/>
    <m/>
    <m/>
    <m/>
    <m/>
    <m/>
    <m/>
    <m/>
    <m/>
    <m/>
    <m/>
    <m/>
    <m/>
    <m/>
    <m/>
    <m/>
    <m/>
    <m/>
    <m/>
    <m/>
    <m/>
    <m/>
    <m/>
    <m/>
    <m/>
    <m/>
    <m/>
    <m/>
    <m/>
    <m/>
    <m/>
    <m/>
    <m/>
    <m/>
    <m/>
    <m/>
    <m/>
    <m/>
    <m/>
    <m/>
    <m/>
    <m/>
    <m/>
    <m/>
    <m/>
    <m/>
    <m/>
    <m/>
    <m/>
    <m/>
    <m/>
    <m/>
    <m/>
    <m/>
    <m/>
    <m/>
    <m/>
    <m/>
    <m/>
    <m/>
    <m/>
    <m/>
    <m/>
    <m/>
    <m/>
    <m/>
    <m/>
    <m/>
    <m/>
    <m/>
    <m/>
    <m/>
    <m/>
    <m/>
    <m/>
    <m/>
  </r>
  <r>
    <m/>
    <m/>
    <x v="3"/>
    <n v="87.33"/>
    <x v="21"/>
    <x v="156"/>
    <s v="Clements AAA Barn #1 Mid"/>
    <s v=""/>
    <s v=" "/>
    <n v="24"/>
    <m/>
    <x v="2"/>
    <m/>
    <m/>
    <m/>
    <m/>
    <m/>
    <m/>
    <m/>
    <m/>
    <m/>
    <m/>
    <m/>
    <m/>
    <m/>
    <m/>
    <m/>
    <m/>
    <m/>
    <m/>
    <m/>
    <m/>
    <m/>
    <m/>
    <m/>
    <m/>
    <m/>
    <m/>
    <m/>
    <m/>
    <m/>
    <m/>
    <m/>
    <m/>
    <m/>
    <m/>
    <m/>
    <m/>
    <m/>
    <m/>
    <m/>
    <m/>
    <m/>
    <m/>
    <m/>
    <m/>
    <m/>
    <m/>
    <m/>
    <m/>
    <m/>
    <m/>
    <m/>
    <m/>
    <m/>
    <m/>
    <m/>
    <m/>
    <m/>
    <m/>
    <m/>
    <m/>
    <m/>
    <m/>
    <m/>
    <m/>
    <m/>
    <m/>
    <m/>
    <m/>
    <m/>
    <m/>
    <m/>
    <m/>
    <m/>
    <m/>
    <m/>
    <m/>
    <m/>
    <m/>
    <m/>
    <m/>
    <m/>
    <m/>
    <m/>
    <m/>
    <m/>
    <m/>
    <m/>
    <m/>
    <m/>
    <m/>
    <m/>
    <m/>
    <m/>
    <m/>
    <m/>
    <m/>
    <m/>
    <m/>
    <m/>
    <m/>
    <m/>
    <m/>
    <m/>
    <m/>
    <m/>
    <m/>
    <m/>
    <m/>
    <m/>
    <m/>
    <m/>
    <m/>
    <m/>
    <m/>
    <m/>
    <m/>
  </r>
  <r>
    <m/>
    <m/>
    <x v="3"/>
    <m/>
    <x v="21"/>
    <x v="156"/>
    <s v="Clements AAA Barn #1 N"/>
    <s v=""/>
    <s v=" "/>
    <n v="24"/>
    <m/>
    <x v="2"/>
    <m/>
    <m/>
    <m/>
    <m/>
    <m/>
    <m/>
    <m/>
    <m/>
    <m/>
    <m/>
    <m/>
    <m/>
    <m/>
    <m/>
    <m/>
    <m/>
    <m/>
    <m/>
    <m/>
    <m/>
    <m/>
    <m/>
    <m/>
    <m/>
    <m/>
    <m/>
    <m/>
    <m/>
    <m/>
    <m/>
    <m/>
    <m/>
    <m/>
    <m/>
    <m/>
    <m/>
    <m/>
    <m/>
    <m/>
    <m/>
    <m/>
    <m/>
    <m/>
    <m/>
    <m/>
    <m/>
    <m/>
    <m/>
    <m/>
    <m/>
    <m/>
    <m/>
    <m/>
    <m/>
    <m/>
    <m/>
    <m/>
    <m/>
    <m/>
    <m/>
    <m/>
    <m/>
    <m/>
    <m/>
    <m/>
    <m/>
    <m/>
    <m/>
    <m/>
    <m/>
    <m/>
    <m/>
    <m/>
    <m/>
    <m/>
    <m/>
    <m/>
    <m/>
    <m/>
    <m/>
    <m/>
    <m/>
    <m/>
    <m/>
    <m/>
    <m/>
    <m/>
    <m/>
    <m/>
    <m/>
    <m/>
    <m/>
    <m/>
    <m/>
    <m/>
    <m/>
    <m/>
    <m/>
    <m/>
    <m/>
    <m/>
    <m/>
    <m/>
    <m/>
    <m/>
    <m/>
    <m/>
    <m/>
    <m/>
    <m/>
    <m/>
    <m/>
    <m/>
    <m/>
    <m/>
    <m/>
  </r>
  <r>
    <m/>
    <m/>
    <x v="3"/>
    <m/>
    <x v="21"/>
    <x v="156"/>
    <s v="Clements AAA Barn #1 S"/>
    <s v=""/>
    <s v=" "/>
    <n v="24"/>
    <m/>
    <x v="2"/>
    <m/>
    <m/>
    <m/>
    <m/>
    <m/>
    <m/>
    <m/>
    <m/>
    <m/>
    <m/>
    <m/>
    <m/>
    <m/>
    <m/>
    <m/>
    <m/>
    <m/>
    <m/>
    <m/>
    <m/>
    <m/>
    <m/>
    <m/>
    <m/>
    <m/>
    <m/>
    <m/>
    <m/>
    <m/>
    <m/>
    <m/>
    <m/>
    <m/>
    <m/>
    <m/>
    <m/>
    <m/>
    <m/>
    <m/>
    <m/>
    <m/>
    <m/>
    <m/>
    <m/>
    <m/>
    <m/>
    <m/>
    <m/>
    <m/>
    <m/>
    <m/>
    <m/>
    <m/>
    <m/>
    <m/>
    <m/>
    <m/>
    <m/>
    <m/>
    <m/>
    <m/>
    <m/>
    <m/>
    <m/>
    <m/>
    <m/>
    <m/>
    <m/>
    <m/>
    <m/>
    <m/>
    <m/>
    <m/>
    <m/>
    <m/>
    <m/>
    <m/>
    <m/>
    <m/>
    <m/>
    <m/>
    <m/>
    <m/>
    <m/>
    <m/>
    <m/>
    <m/>
    <m/>
    <m/>
    <m/>
    <m/>
    <m/>
    <m/>
    <m/>
    <m/>
    <m/>
    <m/>
    <m/>
    <m/>
    <m/>
    <m/>
    <m/>
    <m/>
    <m/>
    <m/>
    <m/>
    <m/>
    <m/>
    <m/>
    <m/>
    <m/>
    <m/>
    <m/>
    <m/>
    <m/>
    <m/>
  </r>
  <r>
    <m/>
    <m/>
    <x v="3"/>
    <n v="53.76"/>
    <x v="21"/>
    <x v="157"/>
    <s v="Clements AAA Brandt #4 "/>
    <s v=""/>
    <s v=" "/>
    <n v="24"/>
    <m/>
    <x v="2"/>
    <m/>
    <m/>
    <m/>
    <m/>
    <m/>
    <m/>
    <m/>
    <m/>
    <m/>
    <m/>
    <m/>
    <m/>
    <m/>
    <m/>
    <m/>
    <m/>
    <m/>
    <m/>
    <m/>
    <m/>
    <m/>
    <m/>
    <m/>
    <m/>
    <m/>
    <m/>
    <m/>
    <m/>
    <m/>
    <m/>
    <m/>
    <m/>
    <m/>
    <m/>
    <m/>
    <m/>
    <m/>
    <m/>
    <m/>
    <m/>
    <m/>
    <m/>
    <m/>
    <m/>
    <m/>
    <m/>
    <m/>
    <m/>
    <m/>
    <m/>
    <m/>
    <m/>
    <m/>
    <m/>
    <m/>
    <m/>
    <m/>
    <m/>
    <m/>
    <m/>
    <m/>
    <m/>
    <m/>
    <m/>
    <m/>
    <m/>
    <m/>
    <m/>
    <m/>
    <m/>
    <m/>
    <m/>
    <m/>
    <m/>
    <m/>
    <m/>
    <m/>
    <m/>
    <m/>
    <m/>
    <m/>
    <m/>
    <m/>
    <m/>
    <m/>
    <m/>
    <m/>
    <m/>
    <m/>
    <m/>
    <m/>
    <m/>
    <m/>
    <m/>
    <m/>
    <m/>
    <m/>
    <m/>
    <m/>
    <m/>
    <m/>
    <m/>
    <m/>
    <m/>
    <m/>
    <m/>
    <m/>
    <m/>
    <m/>
    <m/>
    <m/>
    <m/>
    <m/>
    <m/>
    <m/>
    <m/>
  </r>
  <r>
    <m/>
    <s v="Y"/>
    <x v="3"/>
    <n v="14.84"/>
    <x v="21"/>
    <x v="158"/>
    <s v="Clements Moren BLK 2"/>
    <s v=""/>
    <s v=" "/>
    <n v="24"/>
    <m/>
    <x v="8"/>
    <m/>
    <m/>
    <m/>
    <m/>
    <m/>
    <m/>
    <m/>
    <m/>
    <m/>
    <m/>
    <m/>
    <m/>
    <m/>
    <m/>
    <m/>
    <m/>
    <m/>
    <m/>
    <m/>
    <m/>
    <m/>
    <m/>
    <m/>
    <m/>
    <m/>
    <m/>
    <m/>
    <m/>
    <m/>
    <m/>
    <m/>
    <m/>
    <m/>
    <m/>
    <m/>
    <m/>
    <m/>
    <m/>
    <m/>
    <m/>
    <m/>
    <m/>
    <m/>
    <m/>
    <m/>
    <m/>
    <m/>
    <m/>
    <m/>
    <m/>
    <m/>
    <m/>
    <m/>
    <m/>
    <m/>
    <m/>
    <m/>
    <m/>
    <m/>
    <m/>
    <m/>
    <m/>
    <m/>
    <m/>
    <m/>
    <m/>
    <m/>
    <m/>
    <m/>
    <m/>
    <m/>
    <m/>
    <m/>
    <m/>
    <m/>
    <m/>
    <m/>
    <m/>
    <m/>
    <m/>
    <m/>
    <m/>
    <m/>
    <m/>
    <m/>
    <m/>
    <m/>
    <m/>
    <m/>
    <m/>
    <m/>
    <m/>
    <m/>
    <m/>
    <m/>
    <m/>
    <m/>
    <m/>
    <m/>
    <m/>
    <m/>
    <m/>
    <m/>
    <m/>
    <m/>
    <m/>
    <m/>
    <m/>
    <m/>
    <m/>
    <m/>
    <m/>
    <m/>
    <m/>
    <m/>
    <m/>
  </r>
  <r>
    <m/>
    <s v="Y"/>
    <x v="1"/>
    <n v="26.02"/>
    <x v="21"/>
    <x v="159"/>
    <s v="LF 80 BLK 2"/>
    <d v="2023-09-11T00:00:00"/>
    <n v="20.9"/>
    <n v="24"/>
    <n v="24.5"/>
    <x v="23"/>
    <m/>
    <m/>
    <m/>
    <m/>
    <m/>
    <m/>
    <m/>
    <m/>
    <m/>
    <m/>
    <m/>
    <m/>
    <m/>
    <m/>
    <m/>
    <m/>
    <m/>
    <m/>
    <m/>
    <m/>
    <m/>
    <m/>
    <m/>
    <m/>
    <m/>
    <m/>
    <m/>
    <m/>
    <m/>
    <m/>
    <m/>
    <m/>
    <m/>
    <m/>
    <n v="18.2"/>
    <m/>
    <m/>
    <m/>
    <m/>
    <m/>
    <m/>
    <m/>
    <m/>
    <m/>
    <m/>
    <n v="20.9"/>
    <m/>
    <m/>
    <m/>
    <m/>
    <m/>
    <m/>
    <m/>
    <m/>
    <m/>
    <m/>
    <m/>
    <m/>
    <m/>
    <m/>
    <m/>
    <m/>
    <m/>
    <m/>
    <m/>
    <m/>
    <m/>
    <m/>
    <m/>
    <m/>
    <m/>
    <m/>
    <m/>
    <m/>
    <m/>
    <m/>
    <m/>
    <m/>
    <m/>
    <m/>
    <m/>
    <m/>
    <m/>
    <m/>
    <m/>
    <m/>
    <m/>
    <m/>
    <m/>
    <m/>
    <m/>
    <m/>
    <m/>
    <m/>
    <m/>
    <m/>
    <m/>
    <m/>
    <m/>
    <m/>
    <m/>
    <m/>
    <m/>
    <m/>
    <m/>
    <m/>
    <m/>
    <m/>
    <m/>
    <m/>
    <m/>
    <m/>
    <m/>
    <m/>
    <m/>
    <m/>
  </r>
  <r>
    <m/>
    <m/>
    <x v="1"/>
    <n v="21.4"/>
    <x v="21"/>
    <x v="160"/>
    <s v="LF Jahant Woods 1"/>
    <s v=""/>
    <s v=" "/>
    <n v="24"/>
    <m/>
    <x v="2"/>
    <m/>
    <m/>
    <m/>
    <m/>
    <m/>
    <m/>
    <m/>
    <m/>
    <m/>
    <m/>
    <m/>
    <m/>
    <m/>
    <m/>
    <m/>
    <m/>
    <m/>
    <m/>
    <m/>
    <m/>
    <m/>
    <m/>
    <m/>
    <m/>
    <m/>
    <m/>
    <m/>
    <m/>
    <m/>
    <m/>
    <m/>
    <m/>
    <m/>
    <m/>
    <m/>
    <m/>
    <m/>
    <m/>
    <m/>
    <m/>
    <m/>
    <m/>
    <m/>
    <m/>
    <m/>
    <m/>
    <m/>
    <m/>
    <m/>
    <m/>
    <m/>
    <m/>
    <m/>
    <m/>
    <m/>
    <m/>
    <m/>
    <m/>
    <m/>
    <m/>
    <m/>
    <m/>
    <m/>
    <m/>
    <m/>
    <m/>
    <m/>
    <m/>
    <m/>
    <m/>
    <m/>
    <m/>
    <m/>
    <m/>
    <m/>
    <m/>
    <m/>
    <m/>
    <m/>
    <m/>
    <m/>
    <m/>
    <m/>
    <m/>
    <m/>
    <m/>
    <m/>
    <m/>
    <m/>
    <m/>
    <m/>
    <m/>
    <m/>
    <m/>
    <m/>
    <m/>
    <m/>
    <m/>
    <m/>
    <m/>
    <m/>
    <m/>
    <m/>
    <m/>
    <m/>
    <m/>
    <m/>
    <m/>
    <m/>
    <m/>
    <m/>
    <m/>
    <m/>
    <m/>
    <m/>
    <m/>
  </r>
  <r>
    <m/>
    <s v="Y"/>
    <x v="1"/>
    <n v="6.32"/>
    <x v="21"/>
    <x v="161"/>
    <s v="LF River BLK 1"/>
    <s v=""/>
    <s v=" "/>
    <n v="24"/>
    <n v="24.5"/>
    <x v="1"/>
    <m/>
    <m/>
    <m/>
    <m/>
    <m/>
    <m/>
    <m/>
    <m/>
    <m/>
    <m/>
    <m/>
    <m/>
    <m/>
    <m/>
    <m/>
    <m/>
    <m/>
    <m/>
    <m/>
    <m/>
    <m/>
    <m/>
    <m/>
    <m/>
    <m/>
    <m/>
    <m/>
    <m/>
    <m/>
    <m/>
    <m/>
    <m/>
    <m/>
    <m/>
    <m/>
    <m/>
    <m/>
    <m/>
    <m/>
    <m/>
    <m/>
    <m/>
    <m/>
    <m/>
    <m/>
    <m/>
    <m/>
    <m/>
    <m/>
    <m/>
    <m/>
    <m/>
    <m/>
    <m/>
    <m/>
    <m/>
    <m/>
    <m/>
    <m/>
    <m/>
    <m/>
    <m/>
    <m/>
    <m/>
    <m/>
    <m/>
    <m/>
    <m/>
    <m/>
    <m/>
    <m/>
    <m/>
    <m/>
    <m/>
    <m/>
    <m/>
    <m/>
    <m/>
    <m/>
    <m/>
    <m/>
    <m/>
    <m/>
    <m/>
    <m/>
    <m/>
    <m/>
    <m/>
    <m/>
    <m/>
    <m/>
    <m/>
    <m/>
    <m/>
    <m/>
    <m/>
    <m/>
    <m/>
    <m/>
    <m/>
    <m/>
    <m/>
    <m/>
    <m/>
    <m/>
    <m/>
    <m/>
    <m/>
    <m/>
    <m/>
    <m/>
    <m/>
    <m/>
    <m/>
    <m/>
    <m/>
  </r>
  <r>
    <m/>
    <m/>
    <x v="1"/>
    <m/>
    <x v="21"/>
    <x v="161"/>
    <s v="LF River BLK 1- N"/>
    <s v=""/>
    <s v=" "/>
    <n v="24"/>
    <n v="24.5"/>
    <x v="1"/>
    <m/>
    <m/>
    <m/>
    <m/>
    <m/>
    <m/>
    <m/>
    <m/>
    <m/>
    <m/>
    <m/>
    <m/>
    <m/>
    <m/>
    <m/>
    <m/>
    <m/>
    <m/>
    <m/>
    <m/>
    <m/>
    <m/>
    <m/>
    <m/>
    <m/>
    <m/>
    <m/>
    <m/>
    <m/>
    <m/>
    <m/>
    <m/>
    <m/>
    <m/>
    <m/>
    <m/>
    <m/>
    <m/>
    <m/>
    <m/>
    <m/>
    <m/>
    <m/>
    <m/>
    <m/>
    <m/>
    <m/>
    <m/>
    <m/>
    <m/>
    <m/>
    <m/>
    <m/>
    <m/>
    <m/>
    <m/>
    <m/>
    <m/>
    <m/>
    <m/>
    <m/>
    <m/>
    <m/>
    <m/>
    <m/>
    <m/>
    <m/>
    <m/>
    <m/>
    <m/>
    <m/>
    <m/>
    <m/>
    <m/>
    <m/>
    <m/>
    <m/>
    <m/>
    <m/>
    <m/>
    <m/>
    <m/>
    <m/>
    <m/>
    <m/>
    <m/>
    <m/>
    <m/>
    <m/>
    <m/>
    <m/>
    <m/>
    <m/>
    <m/>
    <m/>
    <m/>
    <m/>
    <m/>
    <m/>
    <m/>
    <m/>
    <m/>
    <m/>
    <m/>
    <m/>
    <m/>
    <m/>
    <m/>
    <m/>
    <m/>
    <m/>
    <m/>
    <m/>
    <m/>
    <m/>
    <m/>
  </r>
  <r>
    <m/>
    <m/>
    <x v="1"/>
    <m/>
    <x v="21"/>
    <x v="161"/>
    <s v="LF River BLK 1- S"/>
    <s v=""/>
    <s v=" "/>
    <n v="24"/>
    <n v="24.5"/>
    <x v="1"/>
    <m/>
    <m/>
    <m/>
    <m/>
    <m/>
    <m/>
    <m/>
    <m/>
    <m/>
    <m/>
    <m/>
    <m/>
    <m/>
    <m/>
    <m/>
    <m/>
    <m/>
    <m/>
    <m/>
    <m/>
    <m/>
    <m/>
    <m/>
    <m/>
    <m/>
    <m/>
    <m/>
    <m/>
    <m/>
    <m/>
    <m/>
    <m/>
    <m/>
    <m/>
    <m/>
    <m/>
    <m/>
    <m/>
    <m/>
    <m/>
    <m/>
    <m/>
    <m/>
    <m/>
    <m/>
    <m/>
    <m/>
    <m/>
    <m/>
    <m/>
    <m/>
    <m/>
    <m/>
    <m/>
    <m/>
    <m/>
    <m/>
    <m/>
    <m/>
    <m/>
    <m/>
    <m/>
    <m/>
    <m/>
    <m/>
    <m/>
    <m/>
    <m/>
    <m/>
    <m/>
    <m/>
    <m/>
    <m/>
    <m/>
    <m/>
    <m/>
    <m/>
    <m/>
    <m/>
    <m/>
    <m/>
    <m/>
    <m/>
    <m/>
    <m/>
    <m/>
    <m/>
    <m/>
    <m/>
    <m/>
    <m/>
    <m/>
    <m/>
    <m/>
    <m/>
    <m/>
    <m/>
    <m/>
    <m/>
    <m/>
    <m/>
    <m/>
    <m/>
    <m/>
    <m/>
    <m/>
    <m/>
    <m/>
    <m/>
    <m/>
    <m/>
    <m/>
    <m/>
    <m/>
    <m/>
    <m/>
  </r>
  <r>
    <m/>
    <m/>
    <x v="3"/>
    <n v="15"/>
    <x v="21"/>
    <x v="162"/>
    <s v="Patriot Oaks - Home"/>
    <s v=""/>
    <s v=" "/>
    <m/>
    <m/>
    <x v="24"/>
    <m/>
    <m/>
    <m/>
    <m/>
    <m/>
    <m/>
    <m/>
    <m/>
    <m/>
    <m/>
    <m/>
    <m/>
    <m/>
    <m/>
    <m/>
    <m/>
    <m/>
    <m/>
    <m/>
    <m/>
    <m/>
    <m/>
    <m/>
    <m/>
    <m/>
    <m/>
    <m/>
    <m/>
    <m/>
    <m/>
    <m/>
    <m/>
    <m/>
    <m/>
    <m/>
    <m/>
    <m/>
    <m/>
    <m/>
    <m/>
    <m/>
    <m/>
    <m/>
    <m/>
    <m/>
    <m/>
    <m/>
    <m/>
    <m/>
    <m/>
    <m/>
    <m/>
    <m/>
    <m/>
    <m/>
    <m/>
    <m/>
    <m/>
    <m/>
    <m/>
    <m/>
    <m/>
    <m/>
    <m/>
    <m/>
    <m/>
    <m/>
    <m/>
    <m/>
    <m/>
    <m/>
    <m/>
    <m/>
    <m/>
    <m/>
    <m/>
    <m/>
    <m/>
    <m/>
    <m/>
    <m/>
    <m/>
    <m/>
    <m/>
    <m/>
    <m/>
    <m/>
    <m/>
    <m/>
    <m/>
    <m/>
    <m/>
    <m/>
    <m/>
    <m/>
    <m/>
    <m/>
    <m/>
    <m/>
    <m/>
    <m/>
    <m/>
    <m/>
    <m/>
    <m/>
    <m/>
    <m/>
    <m/>
    <m/>
    <m/>
    <m/>
    <m/>
    <m/>
    <m/>
    <m/>
    <m/>
  </r>
  <r>
    <m/>
    <m/>
    <x v="0"/>
    <m/>
    <x v="22"/>
    <x v="0"/>
    <s v=" SANGIOVESE"/>
    <m/>
    <m/>
    <m/>
    <m/>
    <x v="0"/>
    <m/>
    <m/>
    <m/>
    <m/>
    <m/>
    <m/>
    <m/>
    <m/>
    <m/>
    <m/>
    <m/>
    <m/>
    <m/>
    <m/>
    <m/>
    <m/>
    <m/>
    <m/>
    <m/>
    <m/>
    <m/>
    <m/>
    <m/>
    <m/>
    <m/>
    <m/>
    <m/>
    <m/>
    <m/>
    <m/>
    <m/>
    <m/>
    <m/>
    <m/>
    <m/>
    <m/>
    <m/>
    <m/>
    <m/>
    <m/>
    <m/>
    <m/>
    <m/>
    <m/>
    <m/>
    <m/>
    <m/>
    <m/>
    <m/>
    <m/>
    <m/>
    <m/>
    <m/>
    <m/>
    <m/>
    <m/>
    <m/>
    <m/>
    <m/>
    <m/>
    <m/>
    <m/>
    <m/>
    <m/>
    <m/>
    <m/>
    <m/>
    <m/>
    <m/>
    <m/>
    <m/>
    <m/>
    <m/>
    <m/>
    <m/>
    <m/>
    <m/>
    <m/>
    <m/>
    <m/>
    <m/>
    <m/>
    <m/>
    <m/>
    <m/>
    <m/>
    <m/>
    <m/>
    <m/>
    <m/>
    <m/>
    <m/>
    <m/>
    <m/>
    <m/>
    <m/>
    <m/>
    <m/>
    <m/>
    <m/>
    <m/>
    <m/>
    <m/>
    <m/>
    <m/>
    <m/>
    <m/>
    <m/>
    <m/>
    <m/>
    <m/>
    <m/>
    <m/>
    <m/>
    <m/>
    <m/>
  </r>
  <r>
    <s v="Y"/>
    <s v="Y"/>
    <x v="1"/>
    <n v="10.029999999999999"/>
    <x v="22"/>
    <x v="163"/>
    <s v="Donald, Brian Airport B2 SA"/>
    <d v="2023-08-21T00:00:00"/>
    <n v="18.2"/>
    <n v="17.5"/>
    <n v="18.5"/>
    <x v="1"/>
    <m/>
    <m/>
    <m/>
    <m/>
    <m/>
    <m/>
    <m/>
    <m/>
    <m/>
    <m/>
    <m/>
    <m/>
    <m/>
    <n v="15.9"/>
    <m/>
    <m/>
    <m/>
    <m/>
    <n v="17.2"/>
    <m/>
    <n v="17.600000000000001"/>
    <m/>
    <m/>
    <m/>
    <n v="18.2"/>
    <m/>
    <m/>
    <m/>
    <m/>
    <m/>
    <m/>
    <m/>
    <m/>
    <m/>
    <m/>
    <m/>
    <m/>
    <m/>
    <m/>
    <m/>
    <m/>
    <m/>
    <m/>
    <m/>
    <m/>
    <m/>
    <m/>
    <m/>
    <m/>
    <m/>
    <m/>
    <m/>
    <m/>
    <m/>
    <m/>
    <m/>
    <m/>
    <m/>
    <m/>
    <m/>
    <m/>
    <m/>
    <m/>
    <m/>
    <m/>
    <m/>
    <m/>
    <m/>
    <m/>
    <m/>
    <m/>
    <m/>
    <m/>
    <m/>
    <m/>
    <m/>
    <m/>
    <m/>
    <m/>
    <m/>
    <m/>
    <m/>
    <m/>
    <m/>
    <m/>
    <m/>
    <m/>
    <m/>
    <m/>
    <m/>
    <m/>
    <m/>
    <m/>
    <m/>
    <m/>
    <m/>
    <m/>
    <m/>
    <m/>
    <m/>
    <m/>
    <m/>
    <m/>
    <m/>
    <m/>
    <m/>
    <m/>
    <m/>
    <m/>
    <m/>
    <m/>
    <m/>
    <m/>
    <m/>
    <m/>
    <m/>
  </r>
  <r>
    <m/>
    <s v="Y"/>
    <x v="1"/>
    <m/>
    <x v="22"/>
    <x v="164"/>
    <s v="LF Exotics B1 (North)"/>
    <d v="2023-09-13T00:00:00"/>
    <n v="22.4"/>
    <n v="21.5"/>
    <n v="22"/>
    <x v="1"/>
    <m/>
    <m/>
    <m/>
    <m/>
    <m/>
    <m/>
    <m/>
    <m/>
    <m/>
    <m/>
    <m/>
    <m/>
    <m/>
    <n v="16"/>
    <m/>
    <m/>
    <m/>
    <m/>
    <m/>
    <n v="16.399999999999999"/>
    <m/>
    <m/>
    <m/>
    <m/>
    <m/>
    <n v="17.2"/>
    <m/>
    <m/>
    <m/>
    <m/>
    <m/>
    <m/>
    <n v="18.899999999999999"/>
    <m/>
    <m/>
    <m/>
    <m/>
    <m/>
    <m/>
    <n v="20.3"/>
    <m/>
    <m/>
    <n v="19.899999999999999"/>
    <m/>
    <m/>
    <m/>
    <m/>
    <n v="22.4"/>
    <m/>
    <m/>
    <m/>
    <m/>
    <m/>
    <m/>
    <m/>
    <m/>
    <m/>
    <m/>
    <m/>
    <m/>
    <m/>
    <m/>
    <m/>
    <m/>
    <m/>
    <m/>
    <m/>
    <m/>
    <m/>
    <m/>
    <m/>
    <m/>
    <m/>
    <m/>
    <m/>
    <m/>
    <m/>
    <m/>
    <m/>
    <m/>
    <m/>
    <m/>
    <m/>
    <m/>
    <m/>
    <m/>
    <m/>
    <m/>
    <m/>
    <m/>
    <m/>
    <m/>
    <m/>
    <m/>
    <m/>
    <m/>
    <m/>
    <m/>
    <m/>
    <m/>
    <m/>
    <m/>
    <m/>
    <m/>
    <m/>
    <m/>
    <m/>
    <m/>
    <m/>
    <m/>
    <m/>
    <m/>
    <m/>
    <m/>
    <m/>
    <m/>
  </r>
  <r>
    <m/>
    <s v="Y"/>
    <x v="1"/>
    <m/>
    <x v="22"/>
    <x v="164"/>
    <s v="LF Exotics B1 (South)"/>
    <d v="2023-09-08T00:00:00"/>
    <n v="19.8"/>
    <n v="21.5"/>
    <n v="22"/>
    <x v="1"/>
    <m/>
    <m/>
    <m/>
    <m/>
    <m/>
    <m/>
    <m/>
    <m/>
    <m/>
    <m/>
    <m/>
    <m/>
    <m/>
    <n v="16.399999999999999"/>
    <m/>
    <m/>
    <m/>
    <m/>
    <m/>
    <n v="17"/>
    <m/>
    <m/>
    <m/>
    <m/>
    <m/>
    <n v="18.3"/>
    <m/>
    <m/>
    <m/>
    <m/>
    <m/>
    <m/>
    <n v="18.399999999999999"/>
    <m/>
    <m/>
    <m/>
    <m/>
    <m/>
    <m/>
    <n v="19.2"/>
    <m/>
    <m/>
    <n v="19.8"/>
    <m/>
    <m/>
    <m/>
    <m/>
    <m/>
    <m/>
    <m/>
    <m/>
    <m/>
    <m/>
    <m/>
    <m/>
    <m/>
    <m/>
    <m/>
    <m/>
    <m/>
    <m/>
    <m/>
    <m/>
    <m/>
    <m/>
    <m/>
    <m/>
    <m/>
    <m/>
    <m/>
    <m/>
    <m/>
    <m/>
    <m/>
    <m/>
    <m/>
    <m/>
    <m/>
    <m/>
    <m/>
    <m/>
    <m/>
    <m/>
    <m/>
    <m/>
    <m/>
    <m/>
    <m/>
    <m/>
    <m/>
    <m/>
    <m/>
    <m/>
    <m/>
    <m/>
    <m/>
    <m/>
    <m/>
    <m/>
    <m/>
    <m/>
    <m/>
    <m/>
    <m/>
    <m/>
    <m/>
    <m/>
    <m/>
    <m/>
    <m/>
    <m/>
    <m/>
    <m/>
    <m/>
    <m/>
    <m/>
  </r>
  <r>
    <m/>
    <s v="Y"/>
    <x v="1"/>
    <n v="16.87"/>
    <x v="22"/>
    <x v="164"/>
    <s v="LF Exotics BLK 1"/>
    <s v=""/>
    <s v=" "/>
    <s v="17.5-19.5; 21.5"/>
    <n v="22"/>
    <x v="1"/>
    <m/>
    <m/>
    <m/>
    <m/>
    <m/>
    <m/>
    <m/>
    <m/>
    <m/>
    <m/>
    <m/>
    <m/>
    <m/>
    <m/>
    <m/>
    <m/>
    <m/>
    <m/>
    <m/>
    <m/>
    <m/>
    <m/>
    <m/>
    <m/>
    <m/>
    <m/>
    <m/>
    <m/>
    <m/>
    <m/>
    <m/>
    <m/>
    <m/>
    <m/>
    <m/>
    <m/>
    <m/>
    <m/>
    <m/>
    <m/>
    <m/>
    <m/>
    <m/>
    <m/>
    <m/>
    <m/>
    <m/>
    <m/>
    <m/>
    <m/>
    <m/>
    <m/>
    <m/>
    <m/>
    <m/>
    <m/>
    <m/>
    <m/>
    <m/>
    <m/>
    <m/>
    <m/>
    <m/>
    <m/>
    <m/>
    <m/>
    <m/>
    <m/>
    <m/>
    <m/>
    <m/>
    <m/>
    <m/>
    <m/>
    <m/>
    <m/>
    <m/>
    <m/>
    <m/>
    <m/>
    <m/>
    <m/>
    <m/>
    <m/>
    <m/>
    <m/>
    <m/>
    <m/>
    <m/>
    <m/>
    <m/>
    <m/>
    <m/>
    <m/>
    <m/>
    <m/>
    <m/>
    <m/>
    <m/>
    <m/>
    <m/>
    <m/>
    <m/>
    <m/>
    <m/>
    <m/>
    <m/>
    <m/>
    <m/>
    <m/>
    <m/>
    <m/>
    <m/>
    <m/>
    <m/>
    <m/>
  </r>
  <r>
    <m/>
    <m/>
    <x v="0"/>
    <m/>
    <x v="23"/>
    <x v="0"/>
    <s v=" SAUVIGNON BLANC"/>
    <m/>
    <m/>
    <m/>
    <m/>
    <x v="0"/>
    <m/>
    <m/>
    <m/>
    <m/>
    <m/>
    <m/>
    <m/>
    <m/>
    <m/>
    <m/>
    <m/>
    <m/>
    <m/>
    <m/>
    <m/>
    <m/>
    <m/>
    <m/>
    <m/>
    <m/>
    <m/>
    <m/>
    <m/>
    <m/>
    <m/>
    <m/>
    <m/>
    <m/>
    <m/>
    <m/>
    <m/>
    <m/>
    <m/>
    <m/>
    <m/>
    <m/>
    <m/>
    <m/>
    <m/>
    <m/>
    <m/>
    <m/>
    <m/>
    <m/>
    <m/>
    <m/>
    <m/>
    <m/>
    <m/>
    <m/>
    <m/>
    <m/>
    <m/>
    <m/>
    <m/>
    <m/>
    <m/>
    <m/>
    <m/>
    <m/>
    <m/>
    <m/>
    <m/>
    <m/>
    <m/>
    <m/>
    <m/>
    <m/>
    <m/>
    <m/>
    <m/>
    <m/>
    <m/>
    <m/>
    <m/>
    <m/>
    <m/>
    <m/>
    <m/>
    <m/>
    <m/>
    <m/>
    <m/>
    <m/>
    <m/>
    <m/>
    <m/>
    <m/>
    <m/>
    <m/>
    <m/>
    <m/>
    <m/>
    <m/>
    <m/>
    <m/>
    <m/>
    <m/>
    <m/>
    <m/>
    <m/>
    <m/>
    <m/>
    <m/>
    <m/>
    <m/>
    <m/>
    <m/>
    <m/>
    <m/>
    <m/>
    <m/>
    <m/>
    <m/>
    <m/>
    <m/>
  </r>
  <r>
    <m/>
    <m/>
    <x v="3"/>
    <n v="50.74"/>
    <x v="23"/>
    <x v="165"/>
    <s v="Clements AAA"/>
    <d v="2023-08-31T00:00:00"/>
    <n v="16.5"/>
    <n v="20"/>
    <m/>
    <x v="6"/>
    <m/>
    <m/>
    <m/>
    <m/>
    <m/>
    <m/>
    <m/>
    <m/>
    <m/>
    <m/>
    <m/>
    <m/>
    <n v="14"/>
    <m/>
    <m/>
    <m/>
    <m/>
    <m/>
    <m/>
    <n v="14"/>
    <m/>
    <m/>
    <m/>
    <m/>
    <m/>
    <m/>
    <m/>
    <n v="15.8"/>
    <m/>
    <m/>
    <m/>
    <m/>
    <m/>
    <m/>
    <n v="16.5"/>
    <m/>
    <m/>
    <m/>
    <m/>
    <m/>
    <m/>
    <m/>
    <m/>
    <m/>
    <m/>
    <m/>
    <m/>
    <m/>
    <m/>
    <m/>
    <m/>
    <m/>
    <m/>
    <m/>
    <m/>
    <m/>
    <m/>
    <m/>
    <m/>
    <m/>
    <m/>
    <m/>
    <m/>
    <m/>
    <m/>
    <m/>
    <m/>
    <m/>
    <m/>
    <m/>
    <m/>
    <m/>
    <m/>
    <m/>
    <m/>
    <m/>
    <m/>
    <m/>
    <m/>
    <m/>
    <m/>
    <m/>
    <m/>
    <m/>
    <m/>
    <m/>
    <m/>
    <m/>
    <m/>
    <m/>
    <m/>
    <m/>
    <m/>
    <m/>
    <m/>
    <m/>
    <m/>
    <m/>
    <m/>
    <m/>
    <m/>
    <m/>
    <m/>
    <m/>
    <m/>
    <m/>
    <m/>
    <m/>
    <m/>
    <m/>
    <m/>
    <m/>
    <m/>
    <m/>
    <m/>
    <m/>
  </r>
  <r>
    <s v="Y"/>
    <s v="Y"/>
    <x v="2"/>
    <n v="45.21"/>
    <x v="23"/>
    <x v="166"/>
    <s v="Diablo Dutra - BLK 1C"/>
    <d v="2023-08-08T00:00:00"/>
    <n v="14.8"/>
    <n v="20"/>
    <m/>
    <x v="2"/>
    <m/>
    <m/>
    <m/>
    <m/>
    <m/>
    <m/>
    <m/>
    <m/>
    <m/>
    <m/>
    <m/>
    <n v="14.8"/>
    <m/>
    <m/>
    <m/>
    <m/>
    <m/>
    <m/>
    <m/>
    <m/>
    <m/>
    <m/>
    <m/>
    <m/>
    <m/>
    <m/>
    <m/>
    <m/>
    <m/>
    <m/>
    <m/>
    <m/>
    <m/>
    <m/>
    <m/>
    <m/>
    <m/>
    <m/>
    <m/>
    <m/>
    <m/>
    <m/>
    <m/>
    <m/>
    <m/>
    <m/>
    <m/>
    <m/>
    <m/>
    <m/>
    <m/>
    <m/>
    <m/>
    <m/>
    <m/>
    <m/>
    <m/>
    <m/>
    <m/>
    <m/>
    <m/>
    <m/>
    <m/>
    <m/>
    <m/>
    <m/>
    <m/>
    <m/>
    <m/>
    <m/>
    <m/>
    <m/>
    <m/>
    <m/>
    <m/>
    <m/>
    <m/>
    <m/>
    <m/>
    <m/>
    <m/>
    <m/>
    <m/>
    <m/>
    <m/>
    <m/>
    <m/>
    <m/>
    <m/>
    <m/>
    <m/>
    <m/>
    <m/>
    <m/>
    <m/>
    <m/>
    <m/>
    <m/>
    <m/>
    <m/>
    <m/>
    <m/>
    <m/>
    <m/>
    <m/>
    <m/>
    <m/>
    <m/>
    <m/>
    <m/>
    <m/>
    <m/>
    <m/>
    <m/>
    <m/>
    <m/>
  </r>
  <r>
    <s v="Y"/>
    <m/>
    <x v="2"/>
    <n v="39.42"/>
    <x v="23"/>
    <x v="167"/>
    <s v="Diablo Dutra - BLK 2"/>
    <s v=""/>
    <s v=" "/>
    <n v="20"/>
    <m/>
    <x v="2"/>
    <m/>
    <m/>
    <m/>
    <m/>
    <m/>
    <m/>
    <m/>
    <m/>
    <m/>
    <m/>
    <m/>
    <m/>
    <m/>
    <m/>
    <m/>
    <m/>
    <m/>
    <m/>
    <m/>
    <m/>
    <m/>
    <m/>
    <m/>
    <m/>
    <m/>
    <m/>
    <m/>
    <m/>
    <m/>
    <m/>
    <m/>
    <m/>
    <m/>
    <m/>
    <m/>
    <m/>
    <m/>
    <m/>
    <m/>
    <m/>
    <m/>
    <m/>
    <m/>
    <m/>
    <m/>
    <m/>
    <m/>
    <m/>
    <m/>
    <m/>
    <m/>
    <m/>
    <m/>
    <m/>
    <m/>
    <m/>
    <m/>
    <m/>
    <m/>
    <m/>
    <m/>
    <m/>
    <m/>
    <m/>
    <m/>
    <m/>
    <m/>
    <m/>
    <m/>
    <m/>
    <m/>
    <m/>
    <m/>
    <m/>
    <m/>
    <m/>
    <m/>
    <m/>
    <m/>
    <m/>
    <m/>
    <m/>
    <m/>
    <m/>
    <m/>
    <m/>
    <m/>
    <m/>
    <m/>
    <m/>
    <m/>
    <m/>
    <m/>
    <m/>
    <m/>
    <m/>
    <m/>
    <m/>
    <m/>
    <m/>
    <m/>
    <m/>
    <m/>
    <m/>
    <m/>
    <m/>
    <m/>
    <m/>
    <m/>
    <m/>
    <m/>
    <m/>
    <m/>
    <m/>
    <m/>
    <m/>
  </r>
  <r>
    <s v="Y"/>
    <s v="Y"/>
    <x v="2"/>
    <n v="47.21"/>
    <x v="23"/>
    <x v="168"/>
    <s v="Diablo Dutra - BLK 3"/>
    <d v="2023-09-02T00:00:00"/>
    <n v="19.399999999999999"/>
    <n v="20"/>
    <m/>
    <x v="2"/>
    <m/>
    <m/>
    <m/>
    <m/>
    <m/>
    <m/>
    <m/>
    <m/>
    <m/>
    <m/>
    <m/>
    <m/>
    <m/>
    <m/>
    <m/>
    <m/>
    <m/>
    <m/>
    <m/>
    <m/>
    <m/>
    <m/>
    <m/>
    <m/>
    <m/>
    <m/>
    <m/>
    <m/>
    <m/>
    <m/>
    <m/>
    <m/>
    <m/>
    <m/>
    <m/>
    <m/>
    <n v="19.399999999999999"/>
    <m/>
    <m/>
    <m/>
    <m/>
    <m/>
    <m/>
    <m/>
    <m/>
    <m/>
    <m/>
    <m/>
    <m/>
    <m/>
    <m/>
    <m/>
    <m/>
    <m/>
    <m/>
    <m/>
    <m/>
    <m/>
    <m/>
    <m/>
    <m/>
    <m/>
    <m/>
    <m/>
    <m/>
    <m/>
    <m/>
    <m/>
    <m/>
    <m/>
    <m/>
    <m/>
    <m/>
    <m/>
    <m/>
    <m/>
    <m/>
    <m/>
    <m/>
    <m/>
    <m/>
    <m/>
    <m/>
    <m/>
    <m/>
    <m/>
    <m/>
    <m/>
    <m/>
    <m/>
    <m/>
    <m/>
    <m/>
    <m/>
    <m/>
    <m/>
    <m/>
    <m/>
    <m/>
    <m/>
    <m/>
    <m/>
    <m/>
    <m/>
    <m/>
    <m/>
    <m/>
    <m/>
    <m/>
    <m/>
    <m/>
    <m/>
    <m/>
    <m/>
    <m/>
    <m/>
  </r>
  <r>
    <s v="Y"/>
    <m/>
    <x v="2"/>
    <n v="33.53"/>
    <x v="23"/>
    <x v="169"/>
    <s v="Diablo Dutra - BLK 4"/>
    <d v="2023-09-02T00:00:00"/>
    <n v="19"/>
    <n v="20"/>
    <m/>
    <x v="2"/>
    <m/>
    <m/>
    <m/>
    <m/>
    <m/>
    <m/>
    <m/>
    <m/>
    <m/>
    <m/>
    <m/>
    <m/>
    <m/>
    <m/>
    <m/>
    <m/>
    <m/>
    <m/>
    <m/>
    <m/>
    <m/>
    <m/>
    <m/>
    <m/>
    <m/>
    <m/>
    <m/>
    <m/>
    <m/>
    <m/>
    <m/>
    <m/>
    <m/>
    <m/>
    <m/>
    <m/>
    <n v="19"/>
    <m/>
    <m/>
    <m/>
    <m/>
    <m/>
    <m/>
    <m/>
    <m/>
    <m/>
    <m/>
    <m/>
    <m/>
    <m/>
    <m/>
    <m/>
    <m/>
    <m/>
    <m/>
    <m/>
    <m/>
    <m/>
    <m/>
    <m/>
    <m/>
    <m/>
    <m/>
    <m/>
    <m/>
    <m/>
    <m/>
    <m/>
    <m/>
    <m/>
    <m/>
    <m/>
    <m/>
    <m/>
    <m/>
    <m/>
    <m/>
    <m/>
    <m/>
    <m/>
    <m/>
    <m/>
    <m/>
    <m/>
    <m/>
    <m/>
    <m/>
    <m/>
    <m/>
    <m/>
    <m/>
    <m/>
    <m/>
    <m/>
    <m/>
    <m/>
    <m/>
    <m/>
    <m/>
    <m/>
    <m/>
    <m/>
    <m/>
    <m/>
    <m/>
    <m/>
    <m/>
    <m/>
    <m/>
    <m/>
    <m/>
    <m/>
    <m/>
    <m/>
    <m/>
    <m/>
  </r>
  <r>
    <s v="Y"/>
    <m/>
    <x v="1"/>
    <n v="37.450000000000003"/>
    <x v="23"/>
    <x v="170"/>
    <s v="LF Blacktail SB"/>
    <d v="2023-08-18T00:00:00"/>
    <n v="19.899999999999999"/>
    <n v="20"/>
    <m/>
    <x v="1"/>
    <m/>
    <m/>
    <m/>
    <m/>
    <m/>
    <m/>
    <m/>
    <n v="16.399999999999999"/>
    <m/>
    <m/>
    <m/>
    <m/>
    <n v="17.2"/>
    <m/>
    <m/>
    <m/>
    <m/>
    <m/>
    <n v="19.2"/>
    <m/>
    <m/>
    <n v="19.899999999999999"/>
    <m/>
    <m/>
    <m/>
    <m/>
    <m/>
    <m/>
    <m/>
    <m/>
    <m/>
    <m/>
    <m/>
    <m/>
    <m/>
    <m/>
    <m/>
    <m/>
    <m/>
    <m/>
    <m/>
    <m/>
    <m/>
    <m/>
    <m/>
    <m/>
    <m/>
    <m/>
    <m/>
    <m/>
    <m/>
    <m/>
    <m/>
    <m/>
    <m/>
    <m/>
    <m/>
    <m/>
    <m/>
    <m/>
    <m/>
    <m/>
    <m/>
    <m/>
    <m/>
    <m/>
    <m/>
    <m/>
    <m/>
    <m/>
    <m/>
    <m/>
    <m/>
    <m/>
    <m/>
    <m/>
    <m/>
    <m/>
    <m/>
    <m/>
    <m/>
    <m/>
    <m/>
    <m/>
    <m/>
    <m/>
    <m/>
    <m/>
    <m/>
    <m/>
    <m/>
    <m/>
    <m/>
    <m/>
    <m/>
    <m/>
    <m/>
    <m/>
    <m/>
    <m/>
    <m/>
    <m/>
    <m/>
    <m/>
    <m/>
    <m/>
    <m/>
    <m/>
    <m/>
    <m/>
    <m/>
    <m/>
    <m/>
    <m/>
    <m/>
    <m/>
  </r>
  <r>
    <s v="Y"/>
    <s v="Y"/>
    <x v="1"/>
    <m/>
    <x v="23"/>
    <x v="171"/>
    <s v="LF JW3 B2 SB (North)"/>
    <d v="2023-08-29T00:00:00"/>
    <n v="18.899999999999999"/>
    <n v="20"/>
    <n v="20.5"/>
    <x v="1"/>
    <m/>
    <m/>
    <m/>
    <m/>
    <m/>
    <m/>
    <m/>
    <m/>
    <m/>
    <m/>
    <m/>
    <m/>
    <m/>
    <m/>
    <m/>
    <m/>
    <m/>
    <n v="17.2"/>
    <m/>
    <m/>
    <m/>
    <m/>
    <m/>
    <m/>
    <n v="18.2"/>
    <m/>
    <n v="18.600000000000001"/>
    <m/>
    <n v="18.7"/>
    <m/>
    <m/>
    <m/>
    <n v="18.899999999999999"/>
    <m/>
    <m/>
    <m/>
    <m/>
    <m/>
    <m/>
    <m/>
    <m/>
    <m/>
    <m/>
    <m/>
    <m/>
    <m/>
    <m/>
    <m/>
    <m/>
    <m/>
    <m/>
    <m/>
    <m/>
    <m/>
    <m/>
    <m/>
    <m/>
    <m/>
    <m/>
    <m/>
    <m/>
    <m/>
    <m/>
    <m/>
    <m/>
    <m/>
    <m/>
    <m/>
    <m/>
    <m/>
    <m/>
    <m/>
    <m/>
    <m/>
    <m/>
    <m/>
    <m/>
    <m/>
    <m/>
    <m/>
    <m/>
    <m/>
    <m/>
    <m/>
    <m/>
    <m/>
    <m/>
    <m/>
    <m/>
    <m/>
    <m/>
    <m/>
    <m/>
    <m/>
    <m/>
    <m/>
    <m/>
    <m/>
    <m/>
    <m/>
    <m/>
    <m/>
    <m/>
    <m/>
    <m/>
    <m/>
    <m/>
    <m/>
    <m/>
    <m/>
    <m/>
    <m/>
    <m/>
    <m/>
    <m/>
    <m/>
  </r>
  <r>
    <s v="Y"/>
    <s v="Y"/>
    <x v="1"/>
    <m/>
    <x v="23"/>
    <x v="171"/>
    <s v="LF JW3 B2 SB (South)"/>
    <d v="2023-08-29T00:00:00"/>
    <n v="18.899999999999999"/>
    <n v="20"/>
    <n v="20.5"/>
    <x v="1"/>
    <m/>
    <m/>
    <m/>
    <m/>
    <m/>
    <m/>
    <m/>
    <m/>
    <m/>
    <m/>
    <m/>
    <m/>
    <m/>
    <m/>
    <m/>
    <m/>
    <m/>
    <n v="17"/>
    <m/>
    <m/>
    <m/>
    <m/>
    <m/>
    <m/>
    <n v="17.399999999999999"/>
    <m/>
    <n v="16.8"/>
    <m/>
    <m/>
    <m/>
    <m/>
    <m/>
    <n v="18.899999999999999"/>
    <m/>
    <m/>
    <m/>
    <m/>
    <m/>
    <m/>
    <m/>
    <m/>
    <m/>
    <m/>
    <m/>
    <m/>
    <m/>
    <m/>
    <m/>
    <m/>
    <m/>
    <m/>
    <m/>
    <m/>
    <m/>
    <m/>
    <m/>
    <m/>
    <m/>
    <m/>
    <m/>
    <m/>
    <m/>
    <m/>
    <m/>
    <m/>
    <m/>
    <m/>
    <m/>
    <m/>
    <m/>
    <m/>
    <m/>
    <m/>
    <m/>
    <m/>
    <m/>
    <m/>
    <m/>
    <m/>
    <m/>
    <m/>
    <m/>
    <m/>
    <m/>
    <m/>
    <m/>
    <m/>
    <m/>
    <m/>
    <m/>
    <m/>
    <m/>
    <m/>
    <m/>
    <m/>
    <m/>
    <m/>
    <m/>
    <m/>
    <m/>
    <m/>
    <m/>
    <m/>
    <m/>
    <m/>
    <m/>
    <m/>
    <m/>
    <m/>
    <m/>
    <m/>
    <m/>
    <m/>
    <m/>
    <m/>
    <m/>
  </r>
  <r>
    <s v="Y"/>
    <s v="Y"/>
    <x v="1"/>
    <n v="49.45"/>
    <x v="23"/>
    <x v="171"/>
    <s v="LF JW3 BLK 2 "/>
    <m/>
    <m/>
    <n v="20"/>
    <n v="20.5"/>
    <x v="1"/>
    <m/>
    <m/>
    <m/>
    <m/>
    <m/>
    <m/>
    <m/>
    <n v="14.8"/>
    <m/>
    <m/>
    <m/>
    <m/>
    <m/>
    <m/>
    <m/>
    <m/>
    <m/>
    <m/>
    <m/>
    <m/>
    <m/>
    <m/>
    <m/>
    <m/>
    <m/>
    <m/>
    <m/>
    <m/>
    <m/>
    <m/>
    <m/>
    <m/>
    <m/>
    <m/>
    <m/>
    <m/>
    <m/>
    <m/>
    <m/>
    <m/>
    <m/>
    <m/>
    <m/>
    <m/>
    <m/>
    <m/>
    <m/>
    <m/>
    <m/>
    <m/>
    <m/>
    <m/>
    <m/>
    <m/>
    <m/>
    <m/>
    <m/>
    <m/>
    <m/>
    <m/>
    <m/>
    <m/>
    <m/>
    <m/>
    <m/>
    <m/>
    <m/>
    <m/>
    <m/>
    <m/>
    <m/>
    <m/>
    <m/>
    <m/>
    <m/>
    <m/>
    <m/>
    <m/>
    <m/>
    <m/>
    <m/>
    <m/>
    <m/>
    <m/>
    <m/>
    <m/>
    <m/>
    <m/>
    <m/>
    <m/>
    <m/>
    <m/>
    <m/>
    <m/>
    <m/>
    <m/>
    <m/>
    <m/>
    <m/>
    <m/>
    <m/>
    <m/>
    <m/>
    <m/>
    <m/>
    <m/>
    <m/>
    <m/>
    <m/>
    <m/>
    <m/>
    <m/>
    <m/>
    <m/>
    <m/>
    <m/>
  </r>
  <r>
    <s v="Y"/>
    <s v="Y"/>
    <x v="1"/>
    <n v="56.02"/>
    <x v="23"/>
    <x v="172"/>
    <s v="LF Twin Oaks B2 SB (North)"/>
    <d v="2023-09-06T00:00:00"/>
    <n v="21.7"/>
    <n v="20"/>
    <n v="21.5"/>
    <x v="1"/>
    <m/>
    <m/>
    <m/>
    <m/>
    <n v="13"/>
    <m/>
    <m/>
    <m/>
    <m/>
    <m/>
    <m/>
    <m/>
    <m/>
    <n v="14.6"/>
    <m/>
    <m/>
    <m/>
    <m/>
    <m/>
    <m/>
    <m/>
    <n v="17.2"/>
    <m/>
    <m/>
    <m/>
    <m/>
    <m/>
    <m/>
    <n v="18.8"/>
    <m/>
    <m/>
    <m/>
    <m/>
    <m/>
    <n v="20"/>
    <n v="20.399999999999999"/>
    <m/>
    <m/>
    <m/>
    <m/>
    <n v="21.7"/>
    <m/>
    <m/>
    <m/>
    <m/>
    <m/>
    <m/>
    <m/>
    <m/>
    <m/>
    <m/>
    <m/>
    <m/>
    <m/>
    <m/>
    <m/>
    <m/>
    <m/>
    <m/>
    <m/>
    <m/>
    <m/>
    <m/>
    <m/>
    <m/>
    <m/>
    <m/>
    <m/>
    <m/>
    <m/>
    <m/>
    <m/>
    <m/>
    <m/>
    <m/>
    <m/>
    <m/>
    <m/>
    <m/>
    <m/>
    <m/>
    <m/>
    <m/>
    <m/>
    <m/>
    <m/>
    <m/>
    <m/>
    <m/>
    <m/>
    <m/>
    <m/>
    <m/>
    <m/>
    <m/>
    <m/>
    <m/>
    <m/>
    <m/>
    <m/>
    <m/>
    <m/>
    <m/>
    <m/>
    <m/>
    <m/>
    <m/>
    <m/>
    <m/>
    <m/>
    <m/>
    <m/>
    <m/>
    <m/>
    <m/>
    <m/>
  </r>
  <r>
    <s v="Y"/>
    <s v="Y"/>
    <x v="1"/>
    <m/>
    <x v="23"/>
    <x v="172"/>
    <s v="LF Twin Oaks B2 SB (South)"/>
    <d v="2023-09-01T00:00:00"/>
    <n v="21.2"/>
    <n v="20"/>
    <n v="21.5"/>
    <x v="1"/>
    <m/>
    <m/>
    <m/>
    <m/>
    <n v="13"/>
    <m/>
    <m/>
    <m/>
    <m/>
    <m/>
    <m/>
    <m/>
    <m/>
    <n v="14.6"/>
    <m/>
    <m/>
    <m/>
    <m/>
    <m/>
    <m/>
    <m/>
    <n v="16.5"/>
    <m/>
    <m/>
    <m/>
    <m/>
    <m/>
    <m/>
    <n v="18.399999999999999"/>
    <m/>
    <m/>
    <m/>
    <m/>
    <m/>
    <n v="20.399999999999999"/>
    <n v="21.2"/>
    <m/>
    <m/>
    <m/>
    <m/>
    <m/>
    <m/>
    <m/>
    <m/>
    <m/>
    <m/>
    <m/>
    <m/>
    <m/>
    <m/>
    <m/>
    <m/>
    <m/>
    <m/>
    <m/>
    <m/>
    <m/>
    <m/>
    <m/>
    <m/>
    <m/>
    <m/>
    <m/>
    <m/>
    <m/>
    <m/>
    <m/>
    <m/>
    <m/>
    <m/>
    <m/>
    <m/>
    <m/>
    <m/>
    <m/>
    <m/>
    <m/>
    <m/>
    <m/>
    <m/>
    <m/>
    <m/>
    <m/>
    <m/>
    <m/>
    <m/>
    <m/>
    <m/>
    <m/>
    <m/>
    <m/>
    <m/>
    <m/>
    <m/>
    <m/>
    <m/>
    <m/>
    <m/>
    <m/>
    <m/>
    <m/>
    <m/>
    <m/>
    <m/>
    <m/>
    <m/>
    <m/>
    <m/>
    <m/>
    <m/>
    <m/>
    <m/>
    <m/>
    <m/>
    <m/>
    <m/>
  </r>
  <r>
    <m/>
    <s v="Y"/>
    <x v="1"/>
    <n v="21.38"/>
    <x v="23"/>
    <x v="173"/>
    <s v="Muchmore B1 SB"/>
    <d v="2023-09-11T00:00:00"/>
    <n v="22.2"/>
    <n v="20"/>
    <m/>
    <x v="25"/>
    <m/>
    <m/>
    <m/>
    <m/>
    <m/>
    <m/>
    <m/>
    <m/>
    <m/>
    <m/>
    <n v="16"/>
    <m/>
    <m/>
    <m/>
    <m/>
    <m/>
    <m/>
    <n v="16.600000000000001"/>
    <m/>
    <m/>
    <m/>
    <m/>
    <m/>
    <m/>
    <m/>
    <n v="17.7"/>
    <m/>
    <m/>
    <m/>
    <m/>
    <m/>
    <n v="18.8"/>
    <m/>
    <m/>
    <m/>
    <m/>
    <m/>
    <m/>
    <n v="20.5"/>
    <m/>
    <n v="21.3"/>
    <m/>
    <m/>
    <m/>
    <m/>
    <n v="22.2"/>
    <m/>
    <m/>
    <m/>
    <m/>
    <m/>
    <m/>
    <m/>
    <m/>
    <m/>
    <m/>
    <m/>
    <m/>
    <m/>
    <m/>
    <m/>
    <m/>
    <m/>
    <m/>
    <m/>
    <m/>
    <m/>
    <m/>
    <m/>
    <m/>
    <m/>
    <m/>
    <m/>
    <m/>
    <m/>
    <m/>
    <m/>
    <m/>
    <m/>
    <m/>
    <m/>
    <m/>
    <m/>
    <m/>
    <m/>
    <m/>
    <m/>
    <m/>
    <m/>
    <m/>
    <m/>
    <m/>
    <m/>
    <m/>
    <m/>
    <m/>
    <m/>
    <m/>
    <m/>
    <m/>
    <m/>
    <m/>
    <m/>
    <m/>
    <m/>
    <m/>
    <m/>
    <m/>
    <m/>
    <m/>
    <m/>
    <m/>
    <m/>
    <m/>
    <m/>
    <m/>
  </r>
  <r>
    <m/>
    <m/>
    <x v="1"/>
    <n v="7.06"/>
    <x v="23"/>
    <x v="174"/>
    <s v="North River B2 SB"/>
    <d v="2023-09-02T00:00:00"/>
    <n v="17"/>
    <n v="20"/>
    <n v="21"/>
    <x v="1"/>
    <m/>
    <m/>
    <m/>
    <m/>
    <m/>
    <m/>
    <m/>
    <m/>
    <m/>
    <m/>
    <n v="12.8"/>
    <m/>
    <m/>
    <m/>
    <m/>
    <m/>
    <m/>
    <n v="13.2"/>
    <m/>
    <m/>
    <m/>
    <m/>
    <m/>
    <m/>
    <n v="13.8"/>
    <m/>
    <m/>
    <m/>
    <m/>
    <m/>
    <m/>
    <n v="14.8"/>
    <m/>
    <m/>
    <m/>
    <m/>
    <n v="17"/>
    <m/>
    <m/>
    <m/>
    <m/>
    <m/>
    <m/>
    <m/>
    <m/>
    <m/>
    <m/>
    <m/>
    <m/>
    <m/>
    <m/>
    <m/>
    <m/>
    <m/>
    <m/>
    <m/>
    <m/>
    <m/>
    <m/>
    <m/>
    <m/>
    <m/>
    <m/>
    <m/>
    <m/>
    <m/>
    <m/>
    <m/>
    <m/>
    <m/>
    <m/>
    <m/>
    <m/>
    <m/>
    <m/>
    <m/>
    <m/>
    <m/>
    <m/>
    <m/>
    <m/>
    <m/>
    <m/>
    <m/>
    <m/>
    <m/>
    <m/>
    <m/>
    <m/>
    <m/>
    <m/>
    <m/>
    <m/>
    <m/>
    <m/>
    <m/>
    <m/>
    <m/>
    <m/>
    <m/>
    <m/>
    <m/>
    <m/>
    <m/>
    <m/>
    <m/>
    <m/>
    <m/>
    <m/>
    <m/>
    <m/>
    <m/>
    <m/>
    <m/>
    <m/>
    <m/>
  </r>
  <r>
    <m/>
    <m/>
    <x v="2"/>
    <m/>
    <x v="23"/>
    <x v="175"/>
    <s v="Prince 99 SB (Rows 1-21)"/>
    <d v="2023-09-13T00:00:00"/>
    <n v="20.399999999999999"/>
    <n v="20"/>
    <m/>
    <x v="9"/>
    <m/>
    <m/>
    <m/>
    <m/>
    <m/>
    <m/>
    <m/>
    <m/>
    <m/>
    <m/>
    <m/>
    <m/>
    <m/>
    <m/>
    <m/>
    <n v="13"/>
    <m/>
    <m/>
    <m/>
    <m/>
    <m/>
    <m/>
    <m/>
    <m/>
    <m/>
    <m/>
    <m/>
    <m/>
    <m/>
    <m/>
    <m/>
    <m/>
    <m/>
    <m/>
    <m/>
    <m/>
    <m/>
    <m/>
    <m/>
    <m/>
    <m/>
    <m/>
    <m/>
    <m/>
    <m/>
    <m/>
    <m/>
    <n v="20.399999999999999"/>
    <m/>
    <m/>
    <m/>
    <m/>
    <m/>
    <m/>
    <m/>
    <m/>
    <m/>
    <m/>
    <m/>
    <m/>
    <m/>
    <m/>
    <m/>
    <m/>
    <m/>
    <m/>
    <m/>
    <m/>
    <m/>
    <m/>
    <m/>
    <m/>
    <m/>
    <m/>
    <m/>
    <m/>
    <m/>
    <m/>
    <m/>
    <m/>
    <m/>
    <m/>
    <m/>
    <m/>
    <m/>
    <m/>
    <m/>
    <m/>
    <m/>
    <m/>
    <m/>
    <m/>
    <m/>
    <m/>
    <m/>
    <m/>
    <m/>
    <m/>
    <m/>
    <m/>
    <m/>
    <m/>
    <m/>
    <m/>
    <m/>
    <m/>
    <m/>
    <m/>
    <m/>
    <m/>
    <m/>
    <m/>
    <m/>
    <m/>
    <m/>
    <m/>
  </r>
  <r>
    <m/>
    <m/>
    <x v="2"/>
    <n v="10.58"/>
    <x v="23"/>
    <x v="176"/>
    <s v="Prince BLK 7A"/>
    <d v="2023-09-13T00:00:00"/>
    <s v="20.6 (A and B)"/>
    <n v="20"/>
    <m/>
    <x v="9"/>
    <m/>
    <m/>
    <m/>
    <m/>
    <m/>
    <m/>
    <m/>
    <m/>
    <m/>
    <m/>
    <m/>
    <m/>
    <m/>
    <m/>
    <m/>
    <n v="13.2"/>
    <m/>
    <m/>
    <m/>
    <m/>
    <m/>
    <m/>
    <m/>
    <m/>
    <m/>
    <m/>
    <n v="17"/>
    <m/>
    <m/>
    <m/>
    <m/>
    <m/>
    <m/>
    <m/>
    <m/>
    <m/>
    <m/>
    <m/>
    <m/>
    <m/>
    <m/>
    <n v="18"/>
    <m/>
    <m/>
    <m/>
    <m/>
    <m/>
    <s v="20.6 (A and B)"/>
    <m/>
    <m/>
    <m/>
    <m/>
    <m/>
    <m/>
    <m/>
    <m/>
    <m/>
    <m/>
    <m/>
    <m/>
    <m/>
    <m/>
    <m/>
    <m/>
    <m/>
    <m/>
    <m/>
    <m/>
    <m/>
    <m/>
    <m/>
    <m/>
    <m/>
    <m/>
    <m/>
    <m/>
    <m/>
    <m/>
    <m/>
    <m/>
    <m/>
    <m/>
    <m/>
    <m/>
    <m/>
    <m/>
    <m/>
    <m/>
    <m/>
    <m/>
    <m/>
    <m/>
    <m/>
    <m/>
    <m/>
    <m/>
    <m/>
    <m/>
    <m/>
    <m/>
    <m/>
    <m/>
    <m/>
    <m/>
    <m/>
    <m/>
    <m/>
    <m/>
    <m/>
    <m/>
    <m/>
    <m/>
    <m/>
    <m/>
    <m/>
    <m/>
  </r>
  <r>
    <m/>
    <m/>
    <x v="2"/>
    <n v="3.91"/>
    <x v="23"/>
    <x v="177"/>
    <s v="Prince BLK 7B"/>
    <d v="2023-09-07T00:00:00"/>
    <n v="16.8"/>
    <n v="20"/>
    <m/>
    <x v="9"/>
    <m/>
    <m/>
    <m/>
    <m/>
    <m/>
    <m/>
    <m/>
    <m/>
    <m/>
    <m/>
    <m/>
    <m/>
    <m/>
    <m/>
    <m/>
    <m/>
    <m/>
    <m/>
    <m/>
    <m/>
    <m/>
    <m/>
    <m/>
    <m/>
    <m/>
    <m/>
    <m/>
    <m/>
    <m/>
    <m/>
    <m/>
    <m/>
    <m/>
    <m/>
    <m/>
    <m/>
    <m/>
    <m/>
    <m/>
    <m/>
    <m/>
    <n v="16.8"/>
    <m/>
    <m/>
    <m/>
    <m/>
    <m/>
    <m/>
    <m/>
    <m/>
    <m/>
    <m/>
    <m/>
    <m/>
    <m/>
    <m/>
    <m/>
    <m/>
    <m/>
    <m/>
    <m/>
    <m/>
    <m/>
    <m/>
    <m/>
    <m/>
    <m/>
    <m/>
    <m/>
    <m/>
    <m/>
    <m/>
    <m/>
    <m/>
    <m/>
    <m/>
    <m/>
    <m/>
    <m/>
    <m/>
    <m/>
    <m/>
    <m/>
    <m/>
    <m/>
    <m/>
    <m/>
    <m/>
    <m/>
    <m/>
    <m/>
    <m/>
    <m/>
    <m/>
    <m/>
    <m/>
    <m/>
    <m/>
    <m/>
    <m/>
    <m/>
    <m/>
    <m/>
    <m/>
    <m/>
    <m/>
    <m/>
    <m/>
    <m/>
    <m/>
    <m/>
    <m/>
    <m/>
    <m/>
    <m/>
    <m/>
  </r>
  <r>
    <m/>
    <m/>
    <x v="0"/>
    <m/>
    <x v="24"/>
    <x v="0"/>
    <s v=" SYMPHONY"/>
    <m/>
    <m/>
    <m/>
    <m/>
    <x v="0"/>
    <m/>
    <m/>
    <m/>
    <m/>
    <m/>
    <m/>
    <m/>
    <m/>
    <m/>
    <m/>
    <m/>
    <m/>
    <m/>
    <m/>
    <m/>
    <m/>
    <m/>
    <m/>
    <m/>
    <m/>
    <m/>
    <m/>
    <m/>
    <m/>
    <m/>
    <m/>
    <m/>
    <m/>
    <m/>
    <m/>
    <m/>
    <m/>
    <m/>
    <m/>
    <m/>
    <m/>
    <m/>
    <m/>
    <m/>
    <m/>
    <m/>
    <m/>
    <m/>
    <m/>
    <m/>
    <m/>
    <m/>
    <m/>
    <m/>
    <m/>
    <m/>
    <m/>
    <m/>
    <m/>
    <m/>
    <m/>
    <m/>
    <m/>
    <m/>
    <m/>
    <m/>
    <m/>
    <m/>
    <m/>
    <m/>
    <m/>
    <m/>
    <m/>
    <m/>
    <m/>
    <m/>
    <m/>
    <m/>
    <m/>
    <m/>
    <m/>
    <m/>
    <m/>
    <m/>
    <m/>
    <m/>
    <m/>
    <m/>
    <m/>
    <m/>
    <m/>
    <m/>
    <m/>
    <m/>
    <m/>
    <m/>
    <m/>
    <m/>
    <m/>
    <m/>
    <m/>
    <m/>
    <m/>
    <m/>
    <m/>
    <m/>
    <m/>
    <m/>
    <m/>
    <m/>
    <m/>
    <m/>
    <m/>
    <m/>
    <m/>
    <m/>
    <m/>
    <m/>
    <m/>
    <m/>
    <m/>
  </r>
  <r>
    <m/>
    <m/>
    <x v="2"/>
    <n v="9.5500000000000007"/>
    <x v="24"/>
    <x v="178"/>
    <s v="Foley BLK 8"/>
    <s v=""/>
    <s v=" "/>
    <n v="21"/>
    <m/>
    <x v="2"/>
    <m/>
    <m/>
    <m/>
    <m/>
    <m/>
    <m/>
    <m/>
    <m/>
    <m/>
    <m/>
    <m/>
    <m/>
    <m/>
    <m/>
    <m/>
    <m/>
    <m/>
    <m/>
    <m/>
    <m/>
    <m/>
    <m/>
    <m/>
    <m/>
    <m/>
    <m/>
    <m/>
    <m/>
    <m/>
    <m/>
    <m/>
    <m/>
    <m/>
    <m/>
    <m/>
    <m/>
    <m/>
    <m/>
    <m/>
    <m/>
    <m/>
    <m/>
    <m/>
    <m/>
    <m/>
    <m/>
    <m/>
    <m/>
    <m/>
    <m/>
    <m/>
    <m/>
    <m/>
    <m/>
    <m/>
    <m/>
    <m/>
    <m/>
    <m/>
    <m/>
    <m/>
    <m/>
    <m/>
    <m/>
    <m/>
    <m/>
    <m/>
    <m/>
    <m/>
    <m/>
    <m/>
    <m/>
    <m/>
    <m/>
    <m/>
    <m/>
    <m/>
    <m/>
    <m/>
    <m/>
    <m/>
    <m/>
    <m/>
    <m/>
    <m/>
    <m/>
    <m/>
    <m/>
    <m/>
    <m/>
    <m/>
    <m/>
    <m/>
    <m/>
    <m/>
    <m/>
    <m/>
    <m/>
    <m/>
    <m/>
    <m/>
    <m/>
    <m/>
    <m/>
    <m/>
    <m/>
    <m/>
    <m/>
    <m/>
    <m/>
    <m/>
    <m/>
    <m/>
    <m/>
    <m/>
    <m/>
  </r>
  <r>
    <m/>
    <m/>
    <x v="0"/>
    <m/>
    <x v="25"/>
    <x v="0"/>
    <s v=" SYRAH"/>
    <m/>
    <m/>
    <m/>
    <m/>
    <x v="0"/>
    <m/>
    <m/>
    <m/>
    <m/>
    <m/>
    <m/>
    <m/>
    <m/>
    <m/>
    <m/>
    <m/>
    <m/>
    <m/>
    <m/>
    <m/>
    <m/>
    <m/>
    <m/>
    <m/>
    <m/>
    <m/>
    <m/>
    <m/>
    <m/>
    <m/>
    <m/>
    <m/>
    <m/>
    <m/>
    <m/>
    <m/>
    <m/>
    <m/>
    <m/>
    <m/>
    <m/>
    <m/>
    <m/>
    <m/>
    <m/>
    <m/>
    <m/>
    <m/>
    <m/>
    <m/>
    <m/>
    <m/>
    <m/>
    <m/>
    <m/>
    <m/>
    <m/>
    <m/>
    <m/>
    <m/>
    <m/>
    <m/>
    <m/>
    <m/>
    <m/>
    <m/>
    <m/>
    <m/>
    <m/>
    <m/>
    <m/>
    <m/>
    <m/>
    <m/>
    <m/>
    <m/>
    <m/>
    <m/>
    <m/>
    <m/>
    <m/>
    <m/>
    <m/>
    <m/>
    <m/>
    <m/>
    <m/>
    <m/>
    <m/>
    <m/>
    <m/>
    <m/>
    <m/>
    <m/>
    <m/>
    <m/>
    <m/>
    <m/>
    <m/>
    <m/>
    <m/>
    <m/>
    <m/>
    <m/>
    <m/>
    <m/>
    <m/>
    <m/>
    <m/>
    <m/>
    <m/>
    <m/>
    <m/>
    <m/>
    <m/>
    <m/>
    <m/>
    <m/>
    <m/>
    <m/>
    <m/>
  </r>
  <r>
    <m/>
    <s v="Y"/>
    <x v="3"/>
    <n v="60.52"/>
    <x v="25"/>
    <x v="179"/>
    <s v="Clements Moren B1"/>
    <s v=""/>
    <s v=" "/>
    <n v="24"/>
    <n v="25"/>
    <x v="1"/>
    <m/>
    <m/>
    <m/>
    <m/>
    <m/>
    <m/>
    <m/>
    <m/>
    <m/>
    <m/>
    <m/>
    <m/>
    <m/>
    <m/>
    <m/>
    <m/>
    <m/>
    <m/>
    <m/>
    <m/>
    <m/>
    <m/>
    <m/>
    <m/>
    <m/>
    <m/>
    <m/>
    <m/>
    <m/>
    <m/>
    <m/>
    <m/>
    <m/>
    <m/>
    <m/>
    <m/>
    <m/>
    <m/>
    <m/>
    <m/>
    <m/>
    <m/>
    <m/>
    <m/>
    <m/>
    <m/>
    <m/>
    <m/>
    <m/>
    <m/>
    <m/>
    <m/>
    <m/>
    <m/>
    <m/>
    <m/>
    <m/>
    <m/>
    <m/>
    <m/>
    <m/>
    <m/>
    <m/>
    <m/>
    <m/>
    <m/>
    <m/>
    <m/>
    <m/>
    <m/>
    <m/>
    <m/>
    <m/>
    <m/>
    <m/>
    <m/>
    <m/>
    <m/>
    <m/>
    <m/>
    <m/>
    <m/>
    <m/>
    <m/>
    <m/>
    <m/>
    <m/>
    <m/>
    <m/>
    <m/>
    <m/>
    <m/>
    <m/>
    <m/>
    <m/>
    <m/>
    <m/>
    <m/>
    <m/>
    <m/>
    <m/>
    <m/>
    <m/>
    <m/>
    <m/>
    <m/>
    <m/>
    <m/>
    <m/>
    <m/>
    <m/>
    <m/>
    <m/>
    <m/>
    <m/>
    <m/>
  </r>
  <r>
    <m/>
    <s v="Y"/>
    <x v="3"/>
    <m/>
    <x v="25"/>
    <x v="179"/>
    <s v="Clements Moren B1 - East "/>
    <d v="2023-08-28T00:00:00"/>
    <n v="20.399999999999999"/>
    <n v="24"/>
    <n v="25"/>
    <x v="1"/>
    <m/>
    <m/>
    <m/>
    <m/>
    <m/>
    <m/>
    <m/>
    <m/>
    <m/>
    <m/>
    <m/>
    <m/>
    <m/>
    <m/>
    <m/>
    <m/>
    <m/>
    <m/>
    <m/>
    <m/>
    <m/>
    <m/>
    <m/>
    <m/>
    <m/>
    <m/>
    <m/>
    <m/>
    <m/>
    <m/>
    <m/>
    <n v="20.399999999999999"/>
    <m/>
    <m/>
    <m/>
    <m/>
    <m/>
    <m/>
    <m/>
    <m/>
    <m/>
    <m/>
    <m/>
    <m/>
    <m/>
    <m/>
    <m/>
    <m/>
    <m/>
    <m/>
    <m/>
    <m/>
    <m/>
    <m/>
    <m/>
    <m/>
    <m/>
    <m/>
    <m/>
    <m/>
    <m/>
    <m/>
    <m/>
    <m/>
    <m/>
    <m/>
    <m/>
    <m/>
    <m/>
    <m/>
    <m/>
    <m/>
    <m/>
    <m/>
    <m/>
    <m/>
    <m/>
    <m/>
    <m/>
    <m/>
    <m/>
    <m/>
    <m/>
    <m/>
    <m/>
    <m/>
    <m/>
    <m/>
    <m/>
    <m/>
    <m/>
    <m/>
    <m/>
    <m/>
    <m/>
    <m/>
    <m/>
    <m/>
    <m/>
    <m/>
    <m/>
    <m/>
    <m/>
    <m/>
    <m/>
    <m/>
    <m/>
    <m/>
    <m/>
    <m/>
    <m/>
    <m/>
    <m/>
    <m/>
    <m/>
    <m/>
  </r>
  <r>
    <m/>
    <s v="Y"/>
    <x v="3"/>
    <m/>
    <x v="25"/>
    <x v="179"/>
    <s v="Clements Moren B1 - South"/>
    <s v=""/>
    <s v=" "/>
    <n v="24"/>
    <n v="25"/>
    <x v="1"/>
    <m/>
    <m/>
    <m/>
    <m/>
    <m/>
    <m/>
    <m/>
    <m/>
    <m/>
    <m/>
    <m/>
    <m/>
    <m/>
    <m/>
    <m/>
    <m/>
    <m/>
    <m/>
    <m/>
    <m/>
    <m/>
    <m/>
    <m/>
    <m/>
    <m/>
    <m/>
    <m/>
    <m/>
    <m/>
    <m/>
    <m/>
    <m/>
    <m/>
    <m/>
    <m/>
    <m/>
    <m/>
    <m/>
    <m/>
    <m/>
    <m/>
    <m/>
    <m/>
    <m/>
    <m/>
    <m/>
    <m/>
    <m/>
    <m/>
    <m/>
    <m/>
    <m/>
    <m/>
    <m/>
    <m/>
    <m/>
    <m/>
    <m/>
    <m/>
    <m/>
    <m/>
    <m/>
    <m/>
    <m/>
    <m/>
    <m/>
    <m/>
    <m/>
    <m/>
    <m/>
    <m/>
    <m/>
    <m/>
    <m/>
    <m/>
    <m/>
    <m/>
    <m/>
    <m/>
    <m/>
    <m/>
    <m/>
    <m/>
    <m/>
    <m/>
    <m/>
    <m/>
    <m/>
    <m/>
    <m/>
    <m/>
    <m/>
    <m/>
    <m/>
    <m/>
    <m/>
    <m/>
    <m/>
    <m/>
    <m/>
    <m/>
    <m/>
    <m/>
    <m/>
    <m/>
    <m/>
    <m/>
    <m/>
    <m/>
    <m/>
    <m/>
    <m/>
    <m/>
    <m/>
    <m/>
    <m/>
  </r>
  <r>
    <m/>
    <s v="Y"/>
    <x v="3"/>
    <m/>
    <x v="25"/>
    <x v="179"/>
    <s v="Clements Moren B1 - West"/>
    <s v=""/>
    <s v=" "/>
    <n v="24"/>
    <n v="25"/>
    <x v="1"/>
    <m/>
    <m/>
    <m/>
    <m/>
    <m/>
    <m/>
    <m/>
    <m/>
    <m/>
    <m/>
    <m/>
    <m/>
    <m/>
    <m/>
    <m/>
    <m/>
    <m/>
    <m/>
    <m/>
    <m/>
    <m/>
    <m/>
    <m/>
    <m/>
    <m/>
    <m/>
    <m/>
    <m/>
    <m/>
    <m/>
    <m/>
    <m/>
    <m/>
    <m/>
    <m/>
    <m/>
    <m/>
    <m/>
    <m/>
    <m/>
    <m/>
    <m/>
    <m/>
    <m/>
    <m/>
    <m/>
    <m/>
    <m/>
    <m/>
    <m/>
    <m/>
    <m/>
    <m/>
    <m/>
    <m/>
    <m/>
    <m/>
    <m/>
    <m/>
    <m/>
    <m/>
    <m/>
    <m/>
    <m/>
    <m/>
    <m/>
    <m/>
    <m/>
    <m/>
    <m/>
    <m/>
    <m/>
    <m/>
    <m/>
    <m/>
    <m/>
    <m/>
    <m/>
    <m/>
    <m/>
    <m/>
    <m/>
    <m/>
    <m/>
    <m/>
    <m/>
    <m/>
    <m/>
    <m/>
    <m/>
    <m/>
    <m/>
    <m/>
    <m/>
    <m/>
    <m/>
    <m/>
    <m/>
    <m/>
    <m/>
    <m/>
    <m/>
    <m/>
    <m/>
    <m/>
    <m/>
    <m/>
    <m/>
    <m/>
    <m/>
    <m/>
    <m/>
    <m/>
    <m/>
    <m/>
    <m/>
  </r>
  <r>
    <m/>
    <m/>
    <x v="1"/>
    <n v="19.71"/>
    <x v="25"/>
    <x v="180"/>
    <s v="LF Exotics B2 SY"/>
    <d v="2023-09-05T00:00:00"/>
    <n v="20.3"/>
    <n v="24"/>
    <n v="25"/>
    <x v="2"/>
    <m/>
    <m/>
    <m/>
    <m/>
    <m/>
    <m/>
    <m/>
    <m/>
    <m/>
    <m/>
    <m/>
    <m/>
    <m/>
    <m/>
    <m/>
    <m/>
    <m/>
    <m/>
    <m/>
    <m/>
    <m/>
    <m/>
    <m/>
    <m/>
    <m/>
    <m/>
    <m/>
    <m/>
    <m/>
    <m/>
    <m/>
    <m/>
    <m/>
    <m/>
    <m/>
    <m/>
    <m/>
    <m/>
    <m/>
    <n v="20.3"/>
    <m/>
    <m/>
    <m/>
    <m/>
    <m/>
    <m/>
    <m/>
    <m/>
    <m/>
    <m/>
    <m/>
    <m/>
    <m/>
    <m/>
    <m/>
    <m/>
    <m/>
    <m/>
    <m/>
    <m/>
    <m/>
    <m/>
    <m/>
    <m/>
    <m/>
    <m/>
    <m/>
    <m/>
    <m/>
    <m/>
    <m/>
    <m/>
    <m/>
    <m/>
    <m/>
    <m/>
    <m/>
    <m/>
    <m/>
    <m/>
    <m/>
    <m/>
    <m/>
    <m/>
    <m/>
    <m/>
    <m/>
    <m/>
    <m/>
    <m/>
    <m/>
    <m/>
    <m/>
    <m/>
    <m/>
    <m/>
    <m/>
    <m/>
    <m/>
    <m/>
    <m/>
    <m/>
    <m/>
    <m/>
    <m/>
    <m/>
    <m/>
    <m/>
    <m/>
    <m/>
    <m/>
    <m/>
    <m/>
    <m/>
    <m/>
    <m/>
  </r>
  <r>
    <m/>
    <m/>
    <x v="0"/>
    <m/>
    <x v="26"/>
    <x v="0"/>
    <s v=" TANNAT"/>
    <m/>
    <m/>
    <m/>
    <m/>
    <x v="0"/>
    <m/>
    <m/>
    <m/>
    <m/>
    <m/>
    <m/>
    <m/>
    <m/>
    <m/>
    <m/>
    <m/>
    <m/>
    <m/>
    <m/>
    <m/>
    <m/>
    <m/>
    <m/>
    <m/>
    <m/>
    <m/>
    <m/>
    <m/>
    <m/>
    <m/>
    <m/>
    <m/>
    <m/>
    <m/>
    <m/>
    <m/>
    <m/>
    <m/>
    <m/>
    <m/>
    <m/>
    <m/>
    <m/>
    <m/>
    <m/>
    <m/>
    <m/>
    <m/>
    <m/>
    <m/>
    <m/>
    <m/>
    <m/>
    <m/>
    <m/>
    <m/>
    <m/>
    <m/>
    <m/>
    <m/>
    <m/>
    <m/>
    <m/>
    <m/>
    <m/>
    <m/>
    <m/>
    <m/>
    <m/>
    <m/>
    <m/>
    <m/>
    <m/>
    <m/>
    <m/>
    <m/>
    <m/>
    <m/>
    <m/>
    <m/>
    <m/>
    <m/>
    <m/>
    <m/>
    <m/>
    <m/>
    <m/>
    <m/>
    <m/>
    <m/>
    <m/>
    <m/>
    <m/>
    <m/>
    <m/>
    <m/>
    <m/>
    <m/>
    <m/>
    <m/>
    <m/>
    <m/>
    <m/>
    <m/>
    <m/>
    <m/>
    <m/>
    <m/>
    <m/>
    <m/>
    <m/>
    <m/>
    <m/>
    <m/>
    <m/>
    <m/>
    <m/>
    <m/>
    <m/>
    <m/>
    <m/>
  </r>
  <r>
    <m/>
    <s v="Y"/>
    <x v="1"/>
    <n v="8.34"/>
    <x v="26"/>
    <x v="181"/>
    <s v="Ford - BLK 6"/>
    <s v=""/>
    <s v=" "/>
    <n v="26"/>
    <m/>
    <x v="1"/>
    <m/>
    <m/>
    <m/>
    <m/>
    <m/>
    <m/>
    <m/>
    <m/>
    <m/>
    <m/>
    <m/>
    <m/>
    <m/>
    <m/>
    <m/>
    <m/>
    <m/>
    <m/>
    <m/>
    <m/>
    <m/>
    <m/>
    <m/>
    <m/>
    <m/>
    <m/>
    <m/>
    <m/>
    <m/>
    <m/>
    <m/>
    <m/>
    <m/>
    <m/>
    <m/>
    <m/>
    <m/>
    <m/>
    <m/>
    <m/>
    <m/>
    <m/>
    <m/>
    <m/>
    <m/>
    <m/>
    <m/>
    <m/>
    <m/>
    <m/>
    <m/>
    <m/>
    <m/>
    <m/>
    <m/>
    <m/>
    <m/>
    <m/>
    <m/>
    <m/>
    <m/>
    <m/>
    <m/>
    <m/>
    <m/>
    <m/>
    <m/>
    <m/>
    <m/>
    <m/>
    <m/>
    <m/>
    <m/>
    <m/>
    <m/>
    <m/>
    <m/>
    <m/>
    <m/>
    <m/>
    <m/>
    <m/>
    <m/>
    <m/>
    <m/>
    <m/>
    <m/>
    <m/>
    <m/>
    <m/>
    <m/>
    <m/>
    <m/>
    <m/>
    <m/>
    <m/>
    <m/>
    <m/>
    <m/>
    <m/>
    <m/>
    <m/>
    <m/>
    <m/>
    <m/>
    <m/>
    <m/>
    <m/>
    <m/>
    <m/>
    <m/>
    <m/>
    <m/>
    <m/>
    <m/>
    <m/>
  </r>
  <r>
    <m/>
    <m/>
    <x v="0"/>
    <m/>
    <x v="27"/>
    <x v="0"/>
    <s v=" TEROLDEGO"/>
    <m/>
    <m/>
    <m/>
    <m/>
    <x v="0"/>
    <m/>
    <m/>
    <m/>
    <m/>
    <m/>
    <m/>
    <m/>
    <m/>
    <m/>
    <m/>
    <m/>
    <m/>
    <m/>
    <m/>
    <m/>
    <m/>
    <m/>
    <m/>
    <m/>
    <m/>
    <m/>
    <m/>
    <m/>
    <m/>
    <m/>
    <m/>
    <m/>
    <m/>
    <m/>
    <m/>
    <m/>
    <m/>
    <m/>
    <m/>
    <m/>
    <m/>
    <m/>
    <m/>
    <m/>
    <m/>
    <m/>
    <m/>
    <m/>
    <m/>
    <m/>
    <m/>
    <m/>
    <m/>
    <m/>
    <m/>
    <m/>
    <m/>
    <m/>
    <m/>
    <m/>
    <m/>
    <m/>
    <m/>
    <m/>
    <m/>
    <m/>
    <m/>
    <m/>
    <m/>
    <m/>
    <m/>
    <m/>
    <m/>
    <m/>
    <m/>
    <m/>
    <m/>
    <m/>
    <m/>
    <m/>
    <m/>
    <m/>
    <m/>
    <m/>
    <m/>
    <m/>
    <m/>
    <m/>
    <m/>
    <m/>
    <m/>
    <m/>
    <m/>
    <m/>
    <m/>
    <m/>
    <m/>
    <m/>
    <m/>
    <m/>
    <m/>
    <m/>
    <m/>
    <m/>
    <m/>
    <m/>
    <m/>
    <m/>
    <m/>
    <m/>
    <m/>
    <m/>
    <m/>
    <m/>
    <m/>
    <m/>
    <m/>
    <m/>
    <m/>
    <m/>
    <m/>
  </r>
  <r>
    <m/>
    <m/>
    <x v="3"/>
    <n v="22.59"/>
    <x v="27"/>
    <x v="182"/>
    <s v="Bohn Ridge - BLK 2 "/>
    <d v="2023-09-12T00:00:00"/>
    <n v="21"/>
    <m/>
    <m/>
    <x v="2"/>
    <m/>
    <m/>
    <m/>
    <m/>
    <m/>
    <m/>
    <m/>
    <m/>
    <m/>
    <m/>
    <m/>
    <m/>
    <m/>
    <m/>
    <m/>
    <m/>
    <m/>
    <m/>
    <m/>
    <m/>
    <m/>
    <m/>
    <m/>
    <m/>
    <m/>
    <m/>
    <m/>
    <m/>
    <m/>
    <m/>
    <m/>
    <m/>
    <m/>
    <m/>
    <m/>
    <n v="18.8"/>
    <m/>
    <m/>
    <m/>
    <m/>
    <m/>
    <m/>
    <m/>
    <m/>
    <m/>
    <m/>
    <n v="21"/>
    <m/>
    <m/>
    <m/>
    <m/>
    <m/>
    <m/>
    <m/>
    <m/>
    <m/>
    <m/>
    <m/>
    <m/>
    <m/>
    <m/>
    <m/>
    <m/>
    <m/>
    <m/>
    <m/>
    <m/>
    <m/>
    <m/>
    <m/>
    <m/>
    <m/>
    <m/>
    <m/>
    <m/>
    <m/>
    <m/>
    <m/>
    <m/>
    <m/>
    <m/>
    <m/>
    <m/>
    <m/>
    <m/>
    <m/>
    <m/>
    <m/>
    <m/>
    <m/>
    <m/>
    <m/>
    <m/>
    <m/>
    <m/>
    <m/>
    <m/>
    <m/>
    <m/>
    <m/>
    <m/>
    <m/>
    <m/>
    <m/>
    <m/>
    <m/>
    <m/>
    <m/>
    <m/>
    <m/>
    <m/>
    <m/>
    <m/>
    <m/>
    <m/>
    <m/>
  </r>
  <r>
    <m/>
    <m/>
    <x v="3"/>
    <m/>
    <x v="27"/>
    <x v="182"/>
    <s v="Bohn Ridge - BLK 2  - High Tops "/>
    <s v=""/>
    <s v=" "/>
    <m/>
    <m/>
    <x v="2"/>
    <m/>
    <m/>
    <m/>
    <m/>
    <m/>
    <m/>
    <m/>
    <m/>
    <m/>
    <m/>
    <m/>
    <m/>
    <m/>
    <m/>
    <m/>
    <m/>
    <m/>
    <m/>
    <m/>
    <m/>
    <m/>
    <m/>
    <m/>
    <m/>
    <m/>
    <m/>
    <m/>
    <m/>
    <m/>
    <m/>
    <m/>
    <m/>
    <m/>
    <m/>
    <m/>
    <m/>
    <m/>
    <m/>
    <m/>
    <m/>
    <m/>
    <m/>
    <m/>
    <m/>
    <m/>
    <m/>
    <m/>
    <m/>
    <m/>
    <m/>
    <m/>
    <m/>
    <m/>
    <m/>
    <m/>
    <m/>
    <m/>
    <m/>
    <m/>
    <m/>
    <m/>
    <m/>
    <m/>
    <m/>
    <m/>
    <m/>
    <m/>
    <m/>
    <m/>
    <m/>
    <m/>
    <m/>
    <m/>
    <m/>
    <m/>
    <m/>
    <m/>
    <m/>
    <m/>
    <m/>
    <m/>
    <m/>
    <m/>
    <m/>
    <m/>
    <m/>
    <m/>
    <m/>
    <m/>
    <m/>
    <m/>
    <m/>
    <m/>
    <m/>
    <m/>
    <m/>
    <m/>
    <m/>
    <m/>
    <m/>
    <m/>
    <m/>
    <m/>
    <m/>
    <m/>
    <m/>
    <m/>
    <m/>
    <m/>
    <m/>
    <m/>
    <m/>
    <m/>
    <m/>
    <m/>
    <m/>
  </r>
  <r>
    <m/>
    <m/>
    <x v="3"/>
    <m/>
    <x v="27"/>
    <x v="182"/>
    <s v="Bohn Ridge - BLK 2  - Low Ground "/>
    <s v=""/>
    <s v=" "/>
    <m/>
    <m/>
    <x v="2"/>
    <m/>
    <m/>
    <m/>
    <m/>
    <m/>
    <m/>
    <m/>
    <m/>
    <m/>
    <m/>
    <m/>
    <m/>
    <m/>
    <m/>
    <m/>
    <m/>
    <m/>
    <m/>
    <m/>
    <m/>
    <m/>
    <m/>
    <m/>
    <m/>
    <m/>
    <m/>
    <m/>
    <m/>
    <m/>
    <m/>
    <m/>
    <m/>
    <m/>
    <m/>
    <m/>
    <m/>
    <m/>
    <m/>
    <m/>
    <m/>
    <m/>
    <m/>
    <m/>
    <m/>
    <m/>
    <m/>
    <m/>
    <m/>
    <m/>
    <m/>
    <m/>
    <m/>
    <m/>
    <m/>
    <m/>
    <m/>
    <m/>
    <m/>
    <m/>
    <m/>
    <m/>
    <m/>
    <m/>
    <m/>
    <m/>
    <m/>
    <m/>
    <m/>
    <m/>
    <m/>
    <m/>
    <m/>
    <m/>
    <m/>
    <m/>
    <m/>
    <m/>
    <m/>
    <m/>
    <m/>
    <m/>
    <m/>
    <m/>
    <m/>
    <m/>
    <m/>
    <m/>
    <m/>
    <m/>
    <m/>
    <m/>
    <m/>
    <m/>
    <m/>
    <m/>
    <m/>
    <m/>
    <m/>
    <m/>
    <m/>
    <m/>
    <m/>
    <m/>
    <m/>
    <m/>
    <m/>
    <m/>
    <m/>
    <m/>
    <m/>
    <m/>
    <m/>
    <m/>
    <m/>
    <m/>
    <m/>
  </r>
  <r>
    <m/>
    <s v="Y"/>
    <x v="1"/>
    <n v="24.87"/>
    <x v="27"/>
    <x v="183"/>
    <s v="LF 80 BLK 1"/>
    <d v="2023-08-26T00:00:00"/>
    <n v="18"/>
    <n v="24.5"/>
    <n v="25"/>
    <x v="1"/>
    <m/>
    <m/>
    <m/>
    <m/>
    <m/>
    <m/>
    <m/>
    <m/>
    <m/>
    <m/>
    <m/>
    <m/>
    <m/>
    <m/>
    <m/>
    <m/>
    <m/>
    <m/>
    <m/>
    <m/>
    <m/>
    <m/>
    <m/>
    <m/>
    <m/>
    <m/>
    <m/>
    <m/>
    <m/>
    <n v="18"/>
    <m/>
    <m/>
    <m/>
    <m/>
    <m/>
    <m/>
    <m/>
    <m/>
    <m/>
    <m/>
    <m/>
    <m/>
    <m/>
    <m/>
    <m/>
    <m/>
    <m/>
    <m/>
    <m/>
    <m/>
    <m/>
    <m/>
    <m/>
    <m/>
    <m/>
    <m/>
    <m/>
    <m/>
    <m/>
    <m/>
    <m/>
    <m/>
    <m/>
    <m/>
    <m/>
    <m/>
    <m/>
    <m/>
    <m/>
    <m/>
    <m/>
    <m/>
    <m/>
    <m/>
    <m/>
    <m/>
    <m/>
    <m/>
    <m/>
    <m/>
    <m/>
    <m/>
    <m/>
    <m/>
    <m/>
    <m/>
    <m/>
    <m/>
    <m/>
    <m/>
    <m/>
    <m/>
    <m/>
    <m/>
    <m/>
    <m/>
    <m/>
    <m/>
    <m/>
    <m/>
    <m/>
    <m/>
    <m/>
    <m/>
    <m/>
    <m/>
    <m/>
    <m/>
    <m/>
    <m/>
    <m/>
    <m/>
    <m/>
    <m/>
    <m/>
    <m/>
  </r>
  <r>
    <m/>
    <s v="Y"/>
    <x v="1"/>
    <n v="32.51"/>
    <x v="27"/>
    <x v="184"/>
    <s v="LF Jahant Woods 2"/>
    <d v="2023-09-05T00:00:00"/>
    <n v="20.5"/>
    <n v="24.5"/>
    <n v="25"/>
    <x v="26"/>
    <m/>
    <m/>
    <m/>
    <m/>
    <m/>
    <m/>
    <m/>
    <m/>
    <m/>
    <m/>
    <m/>
    <m/>
    <m/>
    <m/>
    <m/>
    <m/>
    <m/>
    <m/>
    <m/>
    <m/>
    <m/>
    <m/>
    <m/>
    <m/>
    <m/>
    <m/>
    <m/>
    <m/>
    <m/>
    <m/>
    <m/>
    <m/>
    <m/>
    <m/>
    <m/>
    <m/>
    <m/>
    <m/>
    <m/>
    <n v="20.5"/>
    <m/>
    <m/>
    <m/>
    <m/>
    <m/>
    <m/>
    <m/>
    <m/>
    <m/>
    <m/>
    <m/>
    <m/>
    <m/>
    <m/>
    <m/>
    <m/>
    <m/>
    <m/>
    <m/>
    <m/>
    <m/>
    <m/>
    <m/>
    <m/>
    <m/>
    <m/>
    <m/>
    <m/>
    <m/>
    <m/>
    <m/>
    <m/>
    <m/>
    <m/>
    <m/>
    <m/>
    <m/>
    <m/>
    <m/>
    <m/>
    <m/>
    <m/>
    <m/>
    <m/>
    <m/>
    <m/>
    <m/>
    <m/>
    <m/>
    <m/>
    <m/>
    <m/>
    <m/>
    <m/>
    <m/>
    <m/>
    <m/>
    <m/>
    <m/>
    <m/>
    <m/>
    <m/>
    <m/>
    <m/>
    <m/>
    <m/>
    <m/>
    <m/>
    <m/>
    <m/>
    <m/>
    <m/>
    <m/>
    <m/>
    <m/>
    <m/>
  </r>
  <r>
    <m/>
    <s v="Y"/>
    <x v="1"/>
    <m/>
    <x v="27"/>
    <x v="184"/>
    <s v="LF Jahant Woods 2 - Long Rows"/>
    <s v=""/>
    <s v=" "/>
    <n v="24.5"/>
    <n v="25"/>
    <x v="26"/>
    <m/>
    <m/>
    <m/>
    <m/>
    <m/>
    <m/>
    <m/>
    <m/>
    <m/>
    <m/>
    <m/>
    <m/>
    <m/>
    <m/>
    <m/>
    <m/>
    <m/>
    <m/>
    <m/>
    <m/>
    <m/>
    <m/>
    <m/>
    <m/>
    <m/>
    <m/>
    <m/>
    <m/>
    <m/>
    <m/>
    <m/>
    <m/>
    <m/>
    <m/>
    <m/>
    <m/>
    <m/>
    <m/>
    <m/>
    <m/>
    <m/>
    <m/>
    <m/>
    <m/>
    <m/>
    <m/>
    <m/>
    <m/>
    <m/>
    <m/>
    <m/>
    <m/>
    <m/>
    <m/>
    <m/>
    <m/>
    <m/>
    <m/>
    <m/>
    <m/>
    <m/>
    <m/>
    <m/>
    <m/>
    <m/>
    <m/>
    <m/>
    <m/>
    <m/>
    <m/>
    <m/>
    <m/>
    <m/>
    <m/>
    <m/>
    <m/>
    <m/>
    <m/>
    <m/>
    <m/>
    <m/>
    <m/>
    <m/>
    <m/>
    <m/>
    <m/>
    <m/>
    <m/>
    <m/>
    <m/>
    <m/>
    <m/>
    <m/>
    <m/>
    <m/>
    <m/>
    <m/>
    <m/>
    <m/>
    <m/>
    <m/>
    <m/>
    <m/>
    <m/>
    <m/>
    <m/>
    <m/>
    <m/>
    <m/>
    <m/>
    <m/>
    <m/>
    <m/>
    <m/>
    <m/>
    <m/>
  </r>
  <r>
    <m/>
    <s v="Y"/>
    <x v="1"/>
    <m/>
    <x v="27"/>
    <x v="184"/>
    <s v="LF Jahant Woods 2 - Points"/>
    <s v=""/>
    <s v=" "/>
    <n v="24.5"/>
    <n v="25"/>
    <x v="26"/>
    <m/>
    <m/>
    <m/>
    <m/>
    <m/>
    <m/>
    <m/>
    <m/>
    <m/>
    <m/>
    <m/>
    <m/>
    <m/>
    <m/>
    <m/>
    <m/>
    <m/>
    <m/>
    <m/>
    <m/>
    <m/>
    <m/>
    <m/>
    <m/>
    <m/>
    <m/>
    <m/>
    <m/>
    <m/>
    <m/>
    <m/>
    <m/>
    <m/>
    <m/>
    <m/>
    <m/>
    <m/>
    <m/>
    <m/>
    <m/>
    <m/>
    <m/>
    <m/>
    <m/>
    <m/>
    <m/>
    <m/>
    <m/>
    <m/>
    <m/>
    <m/>
    <m/>
    <m/>
    <m/>
    <m/>
    <m/>
    <m/>
    <m/>
    <m/>
    <m/>
    <m/>
    <m/>
    <m/>
    <m/>
    <m/>
    <m/>
    <m/>
    <m/>
    <m/>
    <m/>
    <m/>
    <m/>
    <m/>
    <m/>
    <m/>
    <m/>
    <m/>
    <m/>
    <m/>
    <m/>
    <m/>
    <m/>
    <m/>
    <m/>
    <m/>
    <m/>
    <m/>
    <m/>
    <m/>
    <m/>
    <m/>
    <m/>
    <m/>
    <m/>
    <m/>
    <m/>
    <m/>
    <m/>
    <m/>
    <m/>
    <m/>
    <m/>
    <m/>
    <m/>
    <m/>
    <m/>
    <m/>
    <m/>
    <m/>
    <m/>
    <m/>
    <m/>
    <m/>
    <m/>
    <m/>
    <m/>
  </r>
  <r>
    <m/>
    <s v="Y"/>
    <x v="1"/>
    <n v="19.55"/>
    <x v="27"/>
    <x v="185"/>
    <s v="Stanton B1 TD"/>
    <d v="2023-09-12T00:00:00"/>
    <n v="22.7"/>
    <n v="25"/>
    <m/>
    <x v="7"/>
    <m/>
    <m/>
    <m/>
    <m/>
    <m/>
    <m/>
    <m/>
    <m/>
    <m/>
    <m/>
    <m/>
    <m/>
    <m/>
    <m/>
    <m/>
    <m/>
    <m/>
    <m/>
    <m/>
    <m/>
    <m/>
    <m/>
    <m/>
    <m/>
    <m/>
    <m/>
    <m/>
    <m/>
    <m/>
    <m/>
    <m/>
    <m/>
    <m/>
    <m/>
    <n v="18.600000000000001"/>
    <m/>
    <m/>
    <m/>
    <m/>
    <m/>
    <m/>
    <m/>
    <m/>
    <m/>
    <m/>
    <m/>
    <n v="22.7"/>
    <m/>
    <m/>
    <m/>
    <m/>
    <m/>
    <m/>
    <m/>
    <m/>
    <m/>
    <m/>
    <m/>
    <m/>
    <m/>
    <m/>
    <m/>
    <m/>
    <m/>
    <m/>
    <m/>
    <m/>
    <m/>
    <m/>
    <m/>
    <m/>
    <m/>
    <m/>
    <m/>
    <m/>
    <m/>
    <m/>
    <m/>
    <m/>
    <m/>
    <m/>
    <m/>
    <m/>
    <m/>
    <m/>
    <m/>
    <m/>
    <m/>
    <m/>
    <m/>
    <m/>
    <m/>
    <m/>
    <m/>
    <m/>
    <m/>
    <m/>
    <m/>
    <m/>
    <m/>
    <m/>
    <m/>
    <m/>
    <m/>
    <m/>
    <m/>
    <m/>
    <m/>
    <m/>
    <m/>
    <m/>
    <m/>
    <m/>
    <m/>
    <m/>
    <m/>
  </r>
  <r>
    <m/>
    <m/>
    <x v="0"/>
    <m/>
    <x v="28"/>
    <x v="0"/>
    <s v=" TEMPRANILLO"/>
    <m/>
    <m/>
    <m/>
    <m/>
    <x v="0"/>
    <m/>
    <m/>
    <m/>
    <m/>
    <m/>
    <m/>
    <m/>
    <m/>
    <m/>
    <m/>
    <m/>
    <m/>
    <m/>
    <m/>
    <m/>
    <m/>
    <m/>
    <m/>
    <m/>
    <m/>
    <m/>
    <m/>
    <m/>
    <m/>
    <m/>
    <m/>
    <m/>
    <m/>
    <m/>
    <m/>
    <m/>
    <m/>
    <m/>
    <m/>
    <m/>
    <m/>
    <m/>
    <m/>
    <m/>
    <m/>
    <m/>
    <m/>
    <m/>
    <m/>
    <m/>
    <m/>
    <m/>
    <m/>
    <m/>
    <m/>
    <m/>
    <m/>
    <m/>
    <m/>
    <m/>
    <m/>
    <m/>
    <m/>
    <m/>
    <m/>
    <m/>
    <m/>
    <m/>
    <m/>
    <m/>
    <m/>
    <m/>
    <m/>
    <m/>
    <m/>
    <m/>
    <m/>
    <m/>
    <m/>
    <m/>
    <m/>
    <m/>
    <m/>
    <m/>
    <m/>
    <m/>
    <m/>
    <m/>
    <m/>
    <m/>
    <m/>
    <m/>
    <m/>
    <m/>
    <m/>
    <m/>
    <m/>
    <m/>
    <m/>
    <m/>
    <m/>
    <m/>
    <m/>
    <m/>
    <m/>
    <m/>
    <m/>
    <m/>
    <m/>
    <m/>
    <m/>
    <m/>
    <m/>
    <m/>
    <m/>
    <m/>
    <m/>
    <m/>
    <m/>
    <m/>
    <m/>
  </r>
  <r>
    <m/>
    <s v="Y"/>
    <x v="1"/>
    <n v="20.260000000000002"/>
    <x v="28"/>
    <x v="186"/>
    <s v="Ford - BLK 2"/>
    <d v="2023-09-02T00:00:00"/>
    <n v="21.4"/>
    <n v="24.5"/>
    <n v="24.5"/>
    <x v="1"/>
    <m/>
    <m/>
    <m/>
    <m/>
    <m/>
    <m/>
    <m/>
    <m/>
    <m/>
    <m/>
    <m/>
    <m/>
    <m/>
    <m/>
    <m/>
    <m/>
    <m/>
    <m/>
    <m/>
    <m/>
    <m/>
    <m/>
    <m/>
    <m/>
    <m/>
    <m/>
    <m/>
    <m/>
    <m/>
    <m/>
    <m/>
    <m/>
    <m/>
    <m/>
    <m/>
    <m/>
    <n v="21.4"/>
    <m/>
    <m/>
    <m/>
    <m/>
    <m/>
    <m/>
    <m/>
    <m/>
    <m/>
    <m/>
    <m/>
    <m/>
    <m/>
    <m/>
    <m/>
    <m/>
    <m/>
    <m/>
    <m/>
    <m/>
    <m/>
    <m/>
    <m/>
    <m/>
    <m/>
    <m/>
    <m/>
    <m/>
    <m/>
    <m/>
    <m/>
    <m/>
    <m/>
    <m/>
    <m/>
    <m/>
    <m/>
    <m/>
    <m/>
    <m/>
    <m/>
    <m/>
    <m/>
    <m/>
    <m/>
    <m/>
    <m/>
    <m/>
    <m/>
    <m/>
    <m/>
    <m/>
    <m/>
    <m/>
    <m/>
    <m/>
    <m/>
    <m/>
    <m/>
    <m/>
    <m/>
    <m/>
    <m/>
    <m/>
    <m/>
    <m/>
    <m/>
    <m/>
    <m/>
    <m/>
    <m/>
    <m/>
    <m/>
    <m/>
    <m/>
    <m/>
    <m/>
    <m/>
    <m/>
  </r>
  <r>
    <m/>
    <s v="Y"/>
    <x v="1"/>
    <n v="22.37"/>
    <x v="28"/>
    <x v="187"/>
    <s v="Liberty Oaks B2 TE (North)"/>
    <d v="2023-09-12T00:00:00"/>
    <n v="21.4"/>
    <s v="22.0/23.0"/>
    <n v="23"/>
    <x v="8"/>
    <m/>
    <m/>
    <m/>
    <m/>
    <m/>
    <m/>
    <m/>
    <m/>
    <m/>
    <m/>
    <m/>
    <m/>
    <m/>
    <m/>
    <m/>
    <m/>
    <m/>
    <m/>
    <m/>
    <m/>
    <m/>
    <m/>
    <m/>
    <m/>
    <m/>
    <m/>
    <m/>
    <m/>
    <m/>
    <m/>
    <m/>
    <m/>
    <m/>
    <m/>
    <m/>
    <m/>
    <m/>
    <m/>
    <m/>
    <m/>
    <m/>
    <m/>
    <m/>
    <m/>
    <m/>
    <m/>
    <n v="21.4"/>
    <m/>
    <m/>
    <m/>
    <m/>
    <m/>
    <m/>
    <m/>
    <m/>
    <m/>
    <m/>
    <m/>
    <m/>
    <m/>
    <m/>
    <m/>
    <m/>
    <m/>
    <m/>
    <m/>
    <m/>
    <m/>
    <m/>
    <m/>
    <m/>
    <m/>
    <m/>
    <m/>
    <m/>
    <m/>
    <m/>
    <m/>
    <m/>
    <m/>
    <m/>
    <m/>
    <m/>
    <m/>
    <m/>
    <m/>
    <m/>
    <m/>
    <m/>
    <m/>
    <m/>
    <m/>
    <m/>
    <m/>
    <m/>
    <m/>
    <m/>
    <m/>
    <m/>
    <m/>
    <m/>
    <m/>
    <m/>
    <m/>
    <m/>
    <m/>
    <m/>
    <m/>
    <m/>
    <m/>
    <m/>
    <m/>
    <m/>
    <m/>
    <m/>
    <m/>
  </r>
  <r>
    <m/>
    <m/>
    <x v="1"/>
    <m/>
    <x v="28"/>
    <x v="0"/>
    <s v="Liberty Oaks B2 TE (South)"/>
    <d v="2023-09-12T00:00:00"/>
    <n v="21.2"/>
    <s v="22.0/23.0"/>
    <n v="23"/>
    <x v="8"/>
    <m/>
    <m/>
    <m/>
    <m/>
    <m/>
    <m/>
    <m/>
    <m/>
    <m/>
    <m/>
    <m/>
    <m/>
    <m/>
    <m/>
    <m/>
    <m/>
    <m/>
    <m/>
    <m/>
    <m/>
    <m/>
    <m/>
    <m/>
    <m/>
    <m/>
    <m/>
    <m/>
    <m/>
    <m/>
    <m/>
    <m/>
    <m/>
    <m/>
    <m/>
    <m/>
    <m/>
    <m/>
    <m/>
    <m/>
    <m/>
    <m/>
    <m/>
    <m/>
    <m/>
    <m/>
    <m/>
    <n v="21.2"/>
    <m/>
    <m/>
    <m/>
    <m/>
    <m/>
    <m/>
    <m/>
    <m/>
    <m/>
    <m/>
    <m/>
    <m/>
    <m/>
    <m/>
    <m/>
    <m/>
    <m/>
    <m/>
    <m/>
    <m/>
    <m/>
    <m/>
    <m/>
    <m/>
    <m/>
    <m/>
    <m/>
    <m/>
    <m/>
    <m/>
    <m/>
    <m/>
    <m/>
    <m/>
    <m/>
    <m/>
    <m/>
    <m/>
    <m/>
    <m/>
    <m/>
    <m/>
    <m/>
    <m/>
    <m/>
    <m/>
    <m/>
    <m/>
    <m/>
    <m/>
    <m/>
    <m/>
    <m/>
    <m/>
    <m/>
    <m/>
    <m/>
    <m/>
    <m/>
    <m/>
    <m/>
    <m/>
    <m/>
    <m/>
    <m/>
    <m/>
    <m/>
    <m/>
    <m/>
  </r>
  <r>
    <m/>
    <m/>
    <x v="0"/>
    <m/>
    <x v="29"/>
    <x v="0"/>
    <s v=" TOURIGA"/>
    <m/>
    <m/>
    <m/>
    <m/>
    <x v="0"/>
    <m/>
    <m/>
    <m/>
    <m/>
    <m/>
    <m/>
    <m/>
    <m/>
    <m/>
    <m/>
    <m/>
    <m/>
    <m/>
    <m/>
    <m/>
    <m/>
    <m/>
    <m/>
    <m/>
    <m/>
    <m/>
    <m/>
    <m/>
    <m/>
    <m/>
    <m/>
    <m/>
    <m/>
    <m/>
    <m/>
    <m/>
    <m/>
    <m/>
    <m/>
    <m/>
    <m/>
    <m/>
    <m/>
    <m/>
    <m/>
    <m/>
    <m/>
    <m/>
    <m/>
    <m/>
    <m/>
    <m/>
    <m/>
    <m/>
    <m/>
    <m/>
    <m/>
    <m/>
    <m/>
    <m/>
    <m/>
    <m/>
    <m/>
    <m/>
    <m/>
    <m/>
    <m/>
    <m/>
    <m/>
    <m/>
    <m/>
    <m/>
    <m/>
    <m/>
    <m/>
    <m/>
    <m/>
    <m/>
    <m/>
    <m/>
    <m/>
    <m/>
    <m/>
    <m/>
    <m/>
    <m/>
    <m/>
    <m/>
    <m/>
    <m/>
    <m/>
    <m/>
    <m/>
    <m/>
    <m/>
    <m/>
    <m/>
    <m/>
    <m/>
    <m/>
    <m/>
    <m/>
    <m/>
    <m/>
    <m/>
    <m/>
    <m/>
    <m/>
    <m/>
    <m/>
    <m/>
    <m/>
    <m/>
    <m/>
    <m/>
    <m/>
    <m/>
    <m/>
    <m/>
    <m/>
    <m/>
  </r>
  <r>
    <m/>
    <s v="Y"/>
    <x v="1"/>
    <n v="20.25"/>
    <x v="29"/>
    <x v="188"/>
    <s v="Ford - BLK 1"/>
    <d v="2023-09-02T00:00:00"/>
    <n v="19.100000000000001"/>
    <n v="24"/>
    <m/>
    <x v="12"/>
    <m/>
    <m/>
    <m/>
    <m/>
    <m/>
    <m/>
    <m/>
    <m/>
    <m/>
    <m/>
    <m/>
    <m/>
    <m/>
    <m/>
    <m/>
    <m/>
    <m/>
    <m/>
    <m/>
    <m/>
    <m/>
    <m/>
    <m/>
    <m/>
    <m/>
    <m/>
    <m/>
    <m/>
    <m/>
    <m/>
    <m/>
    <m/>
    <m/>
    <m/>
    <m/>
    <m/>
    <n v="19.100000000000001"/>
    <m/>
    <m/>
    <m/>
    <m/>
    <m/>
    <m/>
    <m/>
    <m/>
    <m/>
    <m/>
    <m/>
    <m/>
    <m/>
    <m/>
    <m/>
    <m/>
    <m/>
    <m/>
    <m/>
    <m/>
    <m/>
    <m/>
    <m/>
    <m/>
    <m/>
    <m/>
    <m/>
    <m/>
    <m/>
    <m/>
    <m/>
    <m/>
    <m/>
    <m/>
    <m/>
    <m/>
    <m/>
    <m/>
    <m/>
    <m/>
    <m/>
    <m/>
    <m/>
    <m/>
    <m/>
    <m/>
    <m/>
    <m/>
    <m/>
    <m/>
    <m/>
    <m/>
    <m/>
    <m/>
    <m/>
    <m/>
    <m/>
    <m/>
    <m/>
    <m/>
    <m/>
    <m/>
    <m/>
    <m/>
    <m/>
    <m/>
    <m/>
    <m/>
    <m/>
    <m/>
    <m/>
    <m/>
    <m/>
    <m/>
    <m/>
    <m/>
    <m/>
    <m/>
    <m/>
  </r>
  <r>
    <m/>
    <m/>
    <x v="0"/>
    <m/>
    <x v="30"/>
    <x v="0"/>
    <s v=" VERDELHO"/>
    <m/>
    <m/>
    <m/>
    <m/>
    <x v="0"/>
    <m/>
    <m/>
    <m/>
    <m/>
    <m/>
    <m/>
    <m/>
    <m/>
    <m/>
    <m/>
    <m/>
    <m/>
    <m/>
    <m/>
    <m/>
    <m/>
    <m/>
    <m/>
    <m/>
    <m/>
    <m/>
    <m/>
    <m/>
    <m/>
    <m/>
    <m/>
    <m/>
    <m/>
    <m/>
    <m/>
    <m/>
    <m/>
    <m/>
    <m/>
    <m/>
    <m/>
    <m/>
    <m/>
    <m/>
    <m/>
    <m/>
    <m/>
    <m/>
    <m/>
    <m/>
    <m/>
    <m/>
    <m/>
    <m/>
    <m/>
    <m/>
    <m/>
    <m/>
    <m/>
    <m/>
    <m/>
    <m/>
    <m/>
    <m/>
    <m/>
    <m/>
    <m/>
    <m/>
    <m/>
    <m/>
    <m/>
    <m/>
    <m/>
    <m/>
    <m/>
    <m/>
    <m/>
    <m/>
    <m/>
    <m/>
    <m/>
    <m/>
    <m/>
    <m/>
    <m/>
    <m/>
    <m/>
    <m/>
    <m/>
    <m/>
    <m/>
    <m/>
    <m/>
    <m/>
    <m/>
    <m/>
    <m/>
    <m/>
    <m/>
    <m/>
    <m/>
    <m/>
    <m/>
    <m/>
    <m/>
    <m/>
    <m/>
    <m/>
    <m/>
    <m/>
    <m/>
    <m/>
    <m/>
    <m/>
    <m/>
    <m/>
    <m/>
    <m/>
    <m/>
    <m/>
    <m/>
  </r>
  <r>
    <m/>
    <m/>
    <x v="3"/>
    <n v="7.1"/>
    <x v="30"/>
    <x v="189"/>
    <s v="Clements Bear Creek BLK 0"/>
    <d v="2023-09-04T00:00:00"/>
    <n v="20.8"/>
    <n v="21.5"/>
    <m/>
    <x v="6"/>
    <m/>
    <m/>
    <m/>
    <m/>
    <m/>
    <m/>
    <m/>
    <m/>
    <m/>
    <m/>
    <n v="16"/>
    <m/>
    <m/>
    <m/>
    <m/>
    <m/>
    <m/>
    <m/>
    <m/>
    <n v="17.7"/>
    <m/>
    <m/>
    <m/>
    <m/>
    <m/>
    <m/>
    <m/>
    <m/>
    <m/>
    <m/>
    <m/>
    <n v="20.2"/>
    <m/>
    <m/>
    <m/>
    <m/>
    <m/>
    <m/>
    <n v="20.8"/>
    <m/>
    <m/>
    <m/>
    <m/>
    <m/>
    <m/>
    <m/>
    <m/>
    <m/>
    <m/>
    <m/>
    <m/>
    <m/>
    <m/>
    <m/>
    <m/>
    <m/>
    <m/>
    <m/>
    <m/>
    <m/>
    <m/>
    <m/>
    <m/>
    <m/>
    <m/>
    <m/>
    <m/>
    <m/>
    <m/>
    <m/>
    <m/>
    <m/>
    <m/>
    <m/>
    <m/>
    <m/>
    <m/>
    <m/>
    <m/>
    <m/>
    <m/>
    <m/>
    <m/>
    <m/>
    <m/>
    <m/>
    <m/>
    <m/>
    <m/>
    <m/>
    <m/>
    <m/>
    <m/>
    <m/>
    <m/>
    <m/>
    <m/>
    <m/>
    <m/>
    <m/>
    <m/>
    <m/>
    <m/>
    <m/>
    <m/>
    <m/>
    <m/>
    <m/>
    <m/>
    <m/>
    <m/>
    <m/>
    <m/>
    <m/>
    <m/>
    <m/>
  </r>
  <r>
    <m/>
    <m/>
    <x v="0"/>
    <m/>
    <x v="31"/>
    <x v="0"/>
    <s v=" VIOGNIER"/>
    <m/>
    <m/>
    <m/>
    <m/>
    <x v="0"/>
    <m/>
    <m/>
    <m/>
    <m/>
    <m/>
    <m/>
    <m/>
    <m/>
    <m/>
    <m/>
    <m/>
    <m/>
    <m/>
    <m/>
    <m/>
    <m/>
    <m/>
    <m/>
    <m/>
    <m/>
    <m/>
    <m/>
    <m/>
    <m/>
    <m/>
    <m/>
    <m/>
    <m/>
    <m/>
    <m/>
    <m/>
    <m/>
    <m/>
    <m/>
    <m/>
    <m/>
    <m/>
    <m/>
    <m/>
    <m/>
    <m/>
    <m/>
    <m/>
    <m/>
    <m/>
    <m/>
    <m/>
    <m/>
    <m/>
    <m/>
    <m/>
    <m/>
    <m/>
    <m/>
    <m/>
    <m/>
    <m/>
    <m/>
    <m/>
    <m/>
    <m/>
    <m/>
    <m/>
    <m/>
    <m/>
    <m/>
    <m/>
    <m/>
    <m/>
    <m/>
    <m/>
    <m/>
    <m/>
    <m/>
    <m/>
    <m/>
    <m/>
    <m/>
    <m/>
    <m/>
    <m/>
    <m/>
    <m/>
    <m/>
    <m/>
    <m/>
    <m/>
    <m/>
    <m/>
    <m/>
    <m/>
    <m/>
    <m/>
    <m/>
    <m/>
    <m/>
    <m/>
    <m/>
    <m/>
    <m/>
    <m/>
    <m/>
    <m/>
    <m/>
    <m/>
    <m/>
    <m/>
    <m/>
    <m/>
    <m/>
    <m/>
    <m/>
    <m/>
    <m/>
    <m/>
    <m/>
  </r>
  <r>
    <m/>
    <s v="Y"/>
    <x v="2"/>
    <n v="10.11"/>
    <x v="31"/>
    <x v="190"/>
    <s v="Diablo Dutra B6 VI"/>
    <d v="2023-09-13T00:00:00"/>
    <n v="22.1"/>
    <n v="23.5"/>
    <n v="23.5"/>
    <x v="1"/>
    <m/>
    <m/>
    <m/>
    <m/>
    <m/>
    <m/>
    <m/>
    <m/>
    <m/>
    <m/>
    <m/>
    <n v="13.4"/>
    <m/>
    <m/>
    <m/>
    <m/>
    <m/>
    <m/>
    <n v="14.4"/>
    <m/>
    <m/>
    <m/>
    <m/>
    <m/>
    <m/>
    <n v="15.8"/>
    <m/>
    <m/>
    <m/>
    <m/>
    <m/>
    <m/>
    <s v="18.1*"/>
    <m/>
    <m/>
    <m/>
    <m/>
    <m/>
    <m/>
    <n v="19"/>
    <m/>
    <m/>
    <m/>
    <m/>
    <m/>
    <n v="23.2"/>
    <m/>
    <n v="22.1"/>
    <m/>
    <m/>
    <m/>
    <m/>
    <m/>
    <m/>
    <m/>
    <m/>
    <m/>
    <m/>
    <m/>
    <m/>
    <m/>
    <m/>
    <m/>
    <m/>
    <m/>
    <m/>
    <m/>
    <m/>
    <m/>
    <m/>
    <m/>
    <m/>
    <m/>
    <m/>
    <m/>
    <m/>
    <m/>
    <m/>
    <m/>
    <m/>
    <m/>
    <m/>
    <m/>
    <m/>
    <m/>
    <m/>
    <m/>
    <m/>
    <m/>
    <m/>
    <m/>
    <m/>
    <m/>
    <m/>
    <m/>
    <m/>
    <m/>
    <m/>
    <m/>
    <m/>
    <m/>
    <m/>
    <m/>
    <m/>
    <m/>
    <m/>
    <m/>
    <m/>
    <m/>
    <m/>
    <m/>
    <m/>
    <m/>
    <m/>
    <m/>
    <m/>
  </r>
  <r>
    <m/>
    <m/>
    <x v="2"/>
    <n v="10.61"/>
    <x v="31"/>
    <x v="191"/>
    <s v="Foley BLK 14"/>
    <d v="2023-09-01T00:00:00"/>
    <n v="19.600000000000001"/>
    <n v="24"/>
    <m/>
    <x v="2"/>
    <m/>
    <m/>
    <m/>
    <m/>
    <m/>
    <m/>
    <m/>
    <m/>
    <m/>
    <m/>
    <m/>
    <m/>
    <m/>
    <m/>
    <m/>
    <m/>
    <m/>
    <m/>
    <m/>
    <m/>
    <m/>
    <m/>
    <m/>
    <m/>
    <m/>
    <m/>
    <m/>
    <m/>
    <m/>
    <m/>
    <m/>
    <m/>
    <m/>
    <m/>
    <m/>
    <n v="19.600000000000001"/>
    <m/>
    <m/>
    <m/>
    <m/>
    <m/>
    <m/>
    <m/>
    <m/>
    <m/>
    <m/>
    <m/>
    <m/>
    <m/>
    <m/>
    <m/>
    <m/>
    <m/>
    <m/>
    <m/>
    <m/>
    <m/>
    <m/>
    <m/>
    <m/>
    <m/>
    <m/>
    <m/>
    <m/>
    <m/>
    <m/>
    <m/>
    <m/>
    <m/>
    <m/>
    <m/>
    <m/>
    <m/>
    <m/>
    <m/>
    <m/>
    <m/>
    <m/>
    <m/>
    <m/>
    <m/>
    <m/>
    <m/>
    <m/>
    <m/>
    <m/>
    <m/>
    <m/>
    <m/>
    <m/>
    <m/>
    <m/>
    <m/>
    <m/>
    <m/>
    <m/>
    <m/>
    <m/>
    <m/>
    <m/>
    <m/>
    <m/>
    <m/>
    <m/>
    <m/>
    <m/>
    <m/>
    <m/>
    <m/>
    <m/>
    <m/>
    <m/>
    <m/>
    <m/>
    <m/>
    <m/>
  </r>
  <r>
    <m/>
    <m/>
    <x v="1"/>
    <m/>
    <x v="31"/>
    <x v="192"/>
    <s v="Lashi Mark Shimozaki"/>
    <d v="2023-09-07T00:00:00"/>
    <n v="22.4"/>
    <m/>
    <m/>
    <x v="4"/>
    <m/>
    <m/>
    <m/>
    <m/>
    <m/>
    <m/>
    <m/>
    <m/>
    <m/>
    <m/>
    <m/>
    <m/>
    <m/>
    <m/>
    <m/>
    <m/>
    <m/>
    <m/>
    <m/>
    <n v="18.399999999999999"/>
    <m/>
    <m/>
    <m/>
    <m/>
    <n v="19"/>
    <m/>
    <m/>
    <m/>
    <n v="19.399999999999999"/>
    <m/>
    <m/>
    <m/>
    <m/>
    <m/>
    <m/>
    <m/>
    <m/>
    <n v="21.1"/>
    <m/>
    <m/>
    <m/>
    <n v="22.4"/>
    <m/>
    <m/>
    <m/>
    <m/>
    <m/>
    <m/>
    <m/>
    <m/>
    <m/>
    <m/>
    <m/>
    <m/>
    <m/>
    <m/>
    <m/>
    <m/>
    <m/>
    <m/>
    <m/>
    <m/>
    <m/>
    <m/>
    <m/>
    <m/>
    <m/>
    <m/>
    <m/>
    <m/>
    <m/>
    <m/>
    <m/>
    <m/>
    <m/>
    <m/>
    <m/>
    <m/>
    <m/>
    <m/>
    <m/>
    <m/>
    <m/>
    <m/>
    <m/>
    <m/>
    <m/>
    <m/>
    <m/>
    <m/>
    <m/>
    <m/>
    <m/>
    <m/>
    <m/>
    <m/>
    <m/>
    <m/>
    <m/>
    <m/>
    <m/>
    <m/>
    <m/>
    <m/>
    <m/>
    <m/>
    <m/>
    <m/>
    <m/>
    <m/>
    <m/>
    <m/>
    <m/>
    <m/>
    <m/>
    <m/>
  </r>
  <r>
    <m/>
    <m/>
    <x v="1"/>
    <n v="38.380000000000003"/>
    <x v="31"/>
    <x v="193"/>
    <s v="LF Bender/ Genes B2 VI"/>
    <d v="2023-08-31T00:00:00"/>
    <n v="20.3"/>
    <s v="21.5/22.0"/>
    <m/>
    <x v="4"/>
    <m/>
    <m/>
    <m/>
    <m/>
    <m/>
    <m/>
    <m/>
    <m/>
    <m/>
    <m/>
    <m/>
    <m/>
    <m/>
    <m/>
    <n v="15.7"/>
    <m/>
    <m/>
    <m/>
    <m/>
    <m/>
    <m/>
    <n v="18.3"/>
    <m/>
    <m/>
    <m/>
    <m/>
    <m/>
    <m/>
    <s v="19.2*"/>
    <m/>
    <m/>
    <m/>
    <m/>
    <m/>
    <n v="20.3"/>
    <m/>
    <m/>
    <m/>
    <m/>
    <m/>
    <m/>
    <m/>
    <m/>
    <m/>
    <m/>
    <m/>
    <m/>
    <m/>
    <m/>
    <m/>
    <m/>
    <m/>
    <m/>
    <m/>
    <m/>
    <m/>
    <m/>
    <m/>
    <m/>
    <m/>
    <m/>
    <m/>
    <m/>
    <m/>
    <m/>
    <m/>
    <m/>
    <m/>
    <m/>
    <m/>
    <m/>
    <m/>
    <m/>
    <m/>
    <m/>
    <m/>
    <m/>
    <m/>
    <m/>
    <m/>
    <m/>
    <m/>
    <m/>
    <m/>
    <m/>
    <m/>
    <m/>
    <m/>
    <m/>
    <m/>
    <m/>
    <m/>
    <m/>
    <m/>
    <m/>
    <m/>
    <m/>
    <m/>
    <m/>
    <m/>
    <m/>
    <m/>
    <m/>
    <m/>
    <m/>
    <m/>
    <m/>
    <m/>
    <m/>
    <m/>
    <m/>
    <m/>
    <m/>
    <m/>
    <m/>
    <m/>
  </r>
  <r>
    <s v="Y"/>
    <m/>
    <x v="1"/>
    <n v="16.13"/>
    <x v="31"/>
    <x v="194"/>
    <s v="LF Exotics B3 VI (North)"/>
    <d v="2023-09-02T00:00:00"/>
    <n v="21.9"/>
    <n v="22"/>
    <m/>
    <x v="4"/>
    <m/>
    <m/>
    <m/>
    <m/>
    <m/>
    <m/>
    <m/>
    <m/>
    <m/>
    <m/>
    <m/>
    <m/>
    <m/>
    <m/>
    <n v="16"/>
    <m/>
    <m/>
    <m/>
    <m/>
    <m/>
    <m/>
    <n v="18.399999999999999"/>
    <m/>
    <m/>
    <m/>
    <m/>
    <n v="19"/>
    <m/>
    <n v="19"/>
    <m/>
    <m/>
    <m/>
    <m/>
    <m/>
    <n v="22.6"/>
    <m/>
    <n v="21.9"/>
    <m/>
    <m/>
    <m/>
    <m/>
    <m/>
    <m/>
    <m/>
    <m/>
    <m/>
    <m/>
    <m/>
    <m/>
    <m/>
    <m/>
    <m/>
    <m/>
    <m/>
    <m/>
    <m/>
    <m/>
    <m/>
    <m/>
    <m/>
    <m/>
    <m/>
    <m/>
    <m/>
    <m/>
    <m/>
    <m/>
    <m/>
    <m/>
    <m/>
    <m/>
    <m/>
    <m/>
    <m/>
    <m/>
    <m/>
    <m/>
    <m/>
    <m/>
    <m/>
    <m/>
    <m/>
    <m/>
    <m/>
    <m/>
    <m/>
    <m/>
    <m/>
    <m/>
    <m/>
    <m/>
    <m/>
    <m/>
    <m/>
    <m/>
    <m/>
    <m/>
    <m/>
    <m/>
    <m/>
    <m/>
    <m/>
    <m/>
    <m/>
    <m/>
    <m/>
    <m/>
    <m/>
    <m/>
    <m/>
    <m/>
    <m/>
    <m/>
    <m/>
    <m/>
    <m/>
  </r>
  <r>
    <s v="Y"/>
    <m/>
    <x v="1"/>
    <n v="11.78"/>
    <x v="31"/>
    <x v="195"/>
    <s v="LF Exotics B4 VI (South) "/>
    <d v="2023-08-31T00:00:00"/>
    <n v="21.5"/>
    <n v="22"/>
    <m/>
    <x v="4"/>
    <m/>
    <m/>
    <m/>
    <m/>
    <m/>
    <m/>
    <m/>
    <m/>
    <m/>
    <m/>
    <m/>
    <m/>
    <m/>
    <m/>
    <n v="16.100000000000001"/>
    <m/>
    <m/>
    <m/>
    <m/>
    <m/>
    <m/>
    <n v="18.2"/>
    <m/>
    <m/>
    <m/>
    <m/>
    <n v="18.899999999999999"/>
    <m/>
    <n v="21"/>
    <n v="19.3"/>
    <m/>
    <m/>
    <m/>
    <m/>
    <n v="21.5"/>
    <m/>
    <m/>
    <m/>
    <m/>
    <m/>
    <m/>
    <m/>
    <m/>
    <m/>
    <m/>
    <m/>
    <m/>
    <m/>
    <m/>
    <m/>
    <m/>
    <m/>
    <m/>
    <m/>
    <m/>
    <m/>
    <m/>
    <m/>
    <m/>
    <m/>
    <m/>
    <m/>
    <m/>
    <m/>
    <m/>
    <m/>
    <m/>
    <m/>
    <m/>
    <m/>
    <m/>
    <m/>
    <m/>
    <m/>
    <m/>
    <m/>
    <m/>
    <m/>
    <m/>
    <m/>
    <m/>
    <m/>
    <m/>
    <m/>
    <m/>
    <m/>
    <m/>
    <m/>
    <m/>
    <m/>
    <m/>
    <m/>
    <m/>
    <m/>
    <m/>
    <m/>
    <m/>
    <m/>
    <m/>
    <m/>
    <m/>
    <m/>
    <m/>
    <m/>
    <m/>
    <m/>
    <m/>
    <m/>
    <m/>
    <m/>
    <m/>
    <m/>
    <m/>
    <m/>
    <m/>
    <m/>
  </r>
  <r>
    <m/>
    <m/>
    <x v="1"/>
    <n v="19.350000000000001"/>
    <x v="31"/>
    <x v="196"/>
    <s v="Stanton Lange Home B2 VI"/>
    <d v="2023-09-08T00:00:00"/>
    <n v="21.3"/>
    <n v="22"/>
    <m/>
    <x v="4"/>
    <m/>
    <m/>
    <m/>
    <m/>
    <m/>
    <m/>
    <m/>
    <m/>
    <m/>
    <m/>
    <m/>
    <m/>
    <n v="14.8"/>
    <m/>
    <m/>
    <m/>
    <m/>
    <m/>
    <m/>
    <n v="16.3"/>
    <m/>
    <m/>
    <m/>
    <m/>
    <m/>
    <m/>
    <m/>
    <m/>
    <n v="18.2"/>
    <m/>
    <m/>
    <m/>
    <m/>
    <m/>
    <m/>
    <m/>
    <n v="21.9"/>
    <m/>
    <m/>
    <m/>
    <m/>
    <m/>
    <n v="21.3"/>
    <m/>
    <m/>
    <m/>
    <m/>
    <m/>
    <m/>
    <m/>
    <m/>
    <m/>
    <m/>
    <m/>
    <m/>
    <m/>
    <m/>
    <m/>
    <m/>
    <m/>
    <m/>
    <m/>
    <m/>
    <m/>
    <m/>
    <m/>
    <m/>
    <m/>
    <m/>
    <m/>
    <m/>
    <m/>
    <m/>
    <m/>
    <m/>
    <m/>
    <m/>
    <m/>
    <m/>
    <m/>
    <m/>
    <m/>
    <m/>
    <m/>
    <m/>
    <m/>
    <m/>
    <m/>
    <m/>
    <m/>
    <m/>
    <m/>
    <m/>
    <m/>
    <m/>
    <m/>
    <m/>
    <m/>
    <m/>
    <m/>
    <m/>
    <m/>
    <m/>
    <m/>
    <m/>
    <m/>
    <m/>
    <m/>
    <m/>
    <m/>
    <m/>
    <m/>
    <m/>
    <m/>
    <m/>
    <m/>
  </r>
  <r>
    <m/>
    <m/>
    <x v="0"/>
    <m/>
    <x v="32"/>
    <x v="0"/>
    <s v=" ZINFANDEL / PRIMOTIVO"/>
    <m/>
    <m/>
    <m/>
    <m/>
    <x v="0"/>
    <m/>
    <m/>
    <m/>
    <m/>
    <m/>
    <m/>
    <m/>
    <m/>
    <m/>
    <m/>
    <m/>
    <m/>
    <m/>
    <m/>
    <m/>
    <m/>
    <m/>
    <m/>
    <m/>
    <m/>
    <m/>
    <m/>
    <m/>
    <m/>
    <m/>
    <m/>
    <m/>
    <m/>
    <m/>
    <m/>
    <m/>
    <m/>
    <m/>
    <m/>
    <m/>
    <m/>
    <m/>
    <m/>
    <m/>
    <m/>
    <m/>
    <m/>
    <m/>
    <m/>
    <m/>
    <m/>
    <m/>
    <m/>
    <m/>
    <m/>
    <m/>
    <m/>
    <m/>
    <m/>
    <m/>
    <m/>
    <m/>
    <m/>
    <m/>
    <m/>
    <m/>
    <m/>
    <m/>
    <m/>
    <m/>
    <m/>
    <m/>
    <m/>
    <m/>
    <m/>
    <m/>
    <m/>
    <m/>
    <m/>
    <m/>
    <m/>
    <m/>
    <m/>
    <m/>
    <m/>
    <m/>
    <m/>
    <m/>
    <m/>
    <m/>
    <m/>
    <m/>
    <m/>
    <m/>
    <m/>
    <m/>
    <m/>
    <m/>
    <m/>
    <m/>
    <m/>
    <m/>
    <m/>
    <m/>
    <m/>
    <m/>
    <m/>
    <m/>
    <m/>
    <m/>
    <m/>
    <m/>
    <m/>
    <m/>
    <m/>
    <m/>
    <m/>
    <m/>
    <m/>
    <m/>
    <m/>
  </r>
  <r>
    <m/>
    <m/>
    <x v="1"/>
    <m/>
    <x v="32"/>
    <x v="197"/>
    <s v="5 Starr - Harney"/>
    <d v="2023-08-22T00:00:00"/>
    <n v="17.5"/>
    <m/>
    <m/>
    <x v="1"/>
    <m/>
    <m/>
    <m/>
    <m/>
    <m/>
    <m/>
    <m/>
    <m/>
    <m/>
    <m/>
    <m/>
    <m/>
    <m/>
    <m/>
    <m/>
    <m/>
    <m/>
    <m/>
    <m/>
    <m/>
    <m/>
    <m/>
    <m/>
    <m/>
    <m/>
    <n v="17.5"/>
    <m/>
    <m/>
    <m/>
    <m/>
    <m/>
    <m/>
    <m/>
    <m/>
    <m/>
    <m/>
    <m/>
    <m/>
    <m/>
    <m/>
    <m/>
    <m/>
    <m/>
    <m/>
    <m/>
    <m/>
    <m/>
    <m/>
    <m/>
    <m/>
    <m/>
    <m/>
    <m/>
    <m/>
    <m/>
    <m/>
    <m/>
    <m/>
    <m/>
    <m/>
    <m/>
    <m/>
    <m/>
    <m/>
    <m/>
    <m/>
    <m/>
    <m/>
    <m/>
    <m/>
    <m/>
    <m/>
    <m/>
    <m/>
    <m/>
    <m/>
    <m/>
    <m/>
    <m/>
    <m/>
    <m/>
    <m/>
    <m/>
    <m/>
    <m/>
    <m/>
    <m/>
    <m/>
    <m/>
    <m/>
    <m/>
    <m/>
    <m/>
    <m/>
    <m/>
    <m/>
    <m/>
    <m/>
    <m/>
    <m/>
    <m/>
    <m/>
    <m/>
    <m/>
    <m/>
    <m/>
    <m/>
    <m/>
    <m/>
    <m/>
    <m/>
    <m/>
    <m/>
    <m/>
    <m/>
    <m/>
  </r>
  <r>
    <m/>
    <m/>
    <x v="1"/>
    <m/>
    <x v="32"/>
    <x v="198"/>
    <s v="5 Starr - Mann"/>
    <s v=""/>
    <s v=" "/>
    <m/>
    <m/>
    <x v="1"/>
    <m/>
    <m/>
    <m/>
    <m/>
    <m/>
    <m/>
    <m/>
    <m/>
    <m/>
    <m/>
    <m/>
    <m/>
    <m/>
    <m/>
    <m/>
    <m/>
    <m/>
    <m/>
    <m/>
    <m/>
    <m/>
    <m/>
    <m/>
    <m/>
    <m/>
    <m/>
    <m/>
    <m/>
    <m/>
    <m/>
    <m/>
    <m/>
    <m/>
    <m/>
    <m/>
    <m/>
    <m/>
    <m/>
    <m/>
    <m/>
    <m/>
    <m/>
    <m/>
    <m/>
    <m/>
    <m/>
    <m/>
    <m/>
    <m/>
    <m/>
    <m/>
    <m/>
    <m/>
    <m/>
    <m/>
    <m/>
    <m/>
    <m/>
    <m/>
    <m/>
    <m/>
    <m/>
    <m/>
    <m/>
    <m/>
    <m/>
    <m/>
    <m/>
    <m/>
    <m/>
    <m/>
    <m/>
    <m/>
    <m/>
    <m/>
    <m/>
    <m/>
    <m/>
    <m/>
    <m/>
    <m/>
    <m/>
    <m/>
    <m/>
    <m/>
    <m/>
    <m/>
    <m/>
    <m/>
    <m/>
    <m/>
    <m/>
    <m/>
    <m/>
    <m/>
    <m/>
    <m/>
    <m/>
    <m/>
    <m/>
    <m/>
    <m/>
    <m/>
    <m/>
    <m/>
    <m/>
    <m/>
    <m/>
    <m/>
    <m/>
    <m/>
    <m/>
    <m/>
    <m/>
    <m/>
    <m/>
  </r>
  <r>
    <m/>
    <m/>
    <x v="3"/>
    <n v="18.260000000000002"/>
    <x v="32"/>
    <x v="199"/>
    <s v="98 Oaks B10 ZN"/>
    <d v="2023-09-13T00:00:00"/>
    <n v="23.4"/>
    <n v="24.5"/>
    <n v="25.5"/>
    <x v="1"/>
    <m/>
    <m/>
    <m/>
    <m/>
    <m/>
    <m/>
    <m/>
    <m/>
    <m/>
    <m/>
    <m/>
    <m/>
    <m/>
    <m/>
    <m/>
    <m/>
    <m/>
    <m/>
    <m/>
    <m/>
    <m/>
    <m/>
    <m/>
    <m/>
    <m/>
    <m/>
    <m/>
    <m/>
    <m/>
    <n v="19.8"/>
    <m/>
    <m/>
    <m/>
    <m/>
    <m/>
    <m/>
    <n v="20.8"/>
    <m/>
    <m/>
    <m/>
    <m/>
    <m/>
    <m/>
    <m/>
    <m/>
    <m/>
    <n v="23.6"/>
    <n v="23.4"/>
    <m/>
    <m/>
    <m/>
    <m/>
    <m/>
    <m/>
    <m/>
    <m/>
    <m/>
    <m/>
    <m/>
    <m/>
    <m/>
    <m/>
    <m/>
    <m/>
    <m/>
    <m/>
    <m/>
    <m/>
    <m/>
    <m/>
    <m/>
    <m/>
    <m/>
    <m/>
    <m/>
    <m/>
    <m/>
    <m/>
    <m/>
    <m/>
    <m/>
    <m/>
    <m/>
    <m/>
    <m/>
    <m/>
    <m/>
    <m/>
    <m/>
    <m/>
    <m/>
    <m/>
    <m/>
    <m/>
    <m/>
    <m/>
    <m/>
    <m/>
    <m/>
    <m/>
    <m/>
    <m/>
    <m/>
    <m/>
    <m/>
    <m/>
    <m/>
    <m/>
    <m/>
    <m/>
    <m/>
    <m/>
    <m/>
    <m/>
    <m/>
    <m/>
  </r>
  <r>
    <m/>
    <s v="Y"/>
    <x v="3"/>
    <n v="17.14"/>
    <x v="32"/>
    <x v="200"/>
    <s v="Baum Victor BLK 1"/>
    <d v="2023-09-08T00:00:00"/>
    <n v="19"/>
    <n v="24"/>
    <n v="25.5"/>
    <x v="1"/>
    <m/>
    <m/>
    <m/>
    <m/>
    <m/>
    <m/>
    <m/>
    <m/>
    <m/>
    <m/>
    <m/>
    <m/>
    <m/>
    <m/>
    <m/>
    <m/>
    <m/>
    <m/>
    <m/>
    <m/>
    <m/>
    <m/>
    <m/>
    <m/>
    <m/>
    <m/>
    <m/>
    <m/>
    <m/>
    <m/>
    <m/>
    <n v="16.399999999999999"/>
    <m/>
    <m/>
    <m/>
    <m/>
    <m/>
    <m/>
    <m/>
    <m/>
    <m/>
    <m/>
    <n v="19"/>
    <m/>
    <m/>
    <m/>
    <m/>
    <m/>
    <m/>
    <m/>
    <m/>
    <m/>
    <m/>
    <m/>
    <m/>
    <m/>
    <m/>
    <m/>
    <m/>
    <m/>
    <m/>
    <m/>
    <m/>
    <m/>
    <m/>
    <m/>
    <m/>
    <m/>
    <m/>
    <m/>
    <m/>
    <m/>
    <m/>
    <m/>
    <m/>
    <m/>
    <m/>
    <m/>
    <m/>
    <m/>
    <m/>
    <m/>
    <m/>
    <m/>
    <m/>
    <m/>
    <m/>
    <m/>
    <m/>
    <m/>
    <m/>
    <m/>
    <m/>
    <m/>
    <m/>
    <m/>
    <m/>
    <m/>
    <m/>
    <m/>
    <m/>
    <m/>
    <m/>
    <m/>
    <m/>
    <m/>
    <m/>
    <m/>
    <m/>
    <m/>
    <m/>
    <m/>
    <m/>
    <m/>
    <m/>
    <m/>
  </r>
  <r>
    <m/>
    <s v="Y"/>
    <x v="3"/>
    <n v="11.79"/>
    <x v="32"/>
    <x v="201"/>
    <s v="Baum Victor BLK 2"/>
    <d v="2023-09-08T00:00:00"/>
    <n v="19.8"/>
    <n v="24"/>
    <n v="25.5"/>
    <x v="1"/>
    <m/>
    <m/>
    <m/>
    <m/>
    <m/>
    <m/>
    <m/>
    <m/>
    <m/>
    <m/>
    <m/>
    <m/>
    <m/>
    <m/>
    <m/>
    <m/>
    <m/>
    <m/>
    <m/>
    <m/>
    <m/>
    <m/>
    <m/>
    <m/>
    <m/>
    <m/>
    <m/>
    <m/>
    <m/>
    <m/>
    <m/>
    <n v="20.6"/>
    <m/>
    <m/>
    <m/>
    <m/>
    <m/>
    <m/>
    <m/>
    <m/>
    <m/>
    <m/>
    <n v="19.8"/>
    <m/>
    <m/>
    <m/>
    <m/>
    <m/>
    <m/>
    <m/>
    <m/>
    <m/>
    <m/>
    <m/>
    <m/>
    <m/>
    <m/>
    <m/>
    <m/>
    <m/>
    <m/>
    <m/>
    <m/>
    <m/>
    <m/>
    <m/>
    <m/>
    <m/>
    <m/>
    <m/>
    <m/>
    <m/>
    <m/>
    <m/>
    <m/>
    <m/>
    <m/>
    <m/>
    <m/>
    <m/>
    <m/>
    <m/>
    <m/>
    <m/>
    <m/>
    <m/>
    <m/>
    <m/>
    <m/>
    <m/>
    <m/>
    <m/>
    <m/>
    <m/>
    <m/>
    <m/>
    <m/>
    <m/>
    <m/>
    <m/>
    <m/>
    <m/>
    <m/>
    <m/>
    <m/>
    <m/>
    <m/>
    <m/>
    <m/>
    <m/>
    <m/>
    <m/>
    <m/>
    <m/>
    <m/>
    <m/>
  </r>
  <r>
    <m/>
    <s v="Y"/>
    <x v="3"/>
    <n v="29.27"/>
    <x v="32"/>
    <x v="202"/>
    <s v="Bohn Ridge BLK 1"/>
    <d v="2023-09-12T00:00:00"/>
    <n v="20.6"/>
    <n v="24"/>
    <n v="25.5"/>
    <x v="1"/>
    <m/>
    <m/>
    <m/>
    <m/>
    <m/>
    <m/>
    <m/>
    <m/>
    <m/>
    <m/>
    <m/>
    <m/>
    <m/>
    <m/>
    <m/>
    <m/>
    <m/>
    <m/>
    <m/>
    <m/>
    <m/>
    <m/>
    <m/>
    <m/>
    <m/>
    <m/>
    <m/>
    <m/>
    <m/>
    <m/>
    <m/>
    <m/>
    <m/>
    <m/>
    <m/>
    <n v="18.3"/>
    <m/>
    <m/>
    <m/>
    <m/>
    <m/>
    <m/>
    <m/>
    <m/>
    <m/>
    <m/>
    <n v="20.6"/>
    <m/>
    <m/>
    <m/>
    <m/>
    <m/>
    <m/>
    <m/>
    <m/>
    <m/>
    <m/>
    <m/>
    <m/>
    <m/>
    <m/>
    <m/>
    <m/>
    <m/>
    <m/>
    <m/>
    <m/>
    <m/>
    <m/>
    <m/>
    <m/>
    <m/>
    <m/>
    <m/>
    <m/>
    <m/>
    <m/>
    <m/>
    <m/>
    <m/>
    <m/>
    <m/>
    <m/>
    <m/>
    <m/>
    <m/>
    <m/>
    <m/>
    <m/>
    <m/>
    <m/>
    <m/>
    <m/>
    <m/>
    <m/>
    <m/>
    <m/>
    <m/>
    <m/>
    <m/>
    <m/>
    <m/>
    <m/>
    <m/>
    <m/>
    <m/>
    <m/>
    <m/>
    <m/>
    <m/>
    <m/>
    <m/>
    <m/>
    <m/>
    <m/>
    <m/>
  </r>
  <r>
    <m/>
    <s v="Y"/>
    <x v="3"/>
    <m/>
    <x v="32"/>
    <x v="202"/>
    <s v="Bohn Ridge BLK 1 - N"/>
    <s v=""/>
    <s v=" "/>
    <n v="24"/>
    <n v="25.5"/>
    <x v="1"/>
    <m/>
    <m/>
    <m/>
    <m/>
    <m/>
    <m/>
    <m/>
    <m/>
    <m/>
    <m/>
    <m/>
    <m/>
    <m/>
    <m/>
    <m/>
    <m/>
    <m/>
    <m/>
    <m/>
    <m/>
    <m/>
    <m/>
    <m/>
    <m/>
    <m/>
    <m/>
    <m/>
    <m/>
    <m/>
    <m/>
    <m/>
    <m/>
    <m/>
    <m/>
    <m/>
    <m/>
    <m/>
    <m/>
    <m/>
    <m/>
    <m/>
    <m/>
    <m/>
    <m/>
    <m/>
    <m/>
    <m/>
    <m/>
    <m/>
    <m/>
    <m/>
    <m/>
    <m/>
    <m/>
    <m/>
    <m/>
    <m/>
    <m/>
    <m/>
    <m/>
    <m/>
    <m/>
    <m/>
    <m/>
    <m/>
    <m/>
    <m/>
    <m/>
    <m/>
    <m/>
    <m/>
    <m/>
    <m/>
    <m/>
    <m/>
    <m/>
    <m/>
    <m/>
    <m/>
    <m/>
    <m/>
    <m/>
    <m/>
    <m/>
    <m/>
    <m/>
    <m/>
    <m/>
    <m/>
    <m/>
    <m/>
    <m/>
    <m/>
    <m/>
    <m/>
    <m/>
    <m/>
    <m/>
    <m/>
    <m/>
    <m/>
    <m/>
    <m/>
    <m/>
    <m/>
    <m/>
    <m/>
    <m/>
    <m/>
    <m/>
    <m/>
    <m/>
    <m/>
    <m/>
    <m/>
    <m/>
  </r>
  <r>
    <m/>
    <s v="Y"/>
    <x v="3"/>
    <m/>
    <x v="32"/>
    <x v="202"/>
    <s v="Bohn Ridge BLK 1 - S"/>
    <s v=""/>
    <s v=" "/>
    <n v="24"/>
    <n v="25.5"/>
    <x v="1"/>
    <m/>
    <m/>
    <m/>
    <m/>
    <m/>
    <m/>
    <m/>
    <m/>
    <m/>
    <m/>
    <m/>
    <m/>
    <m/>
    <m/>
    <m/>
    <m/>
    <m/>
    <m/>
    <m/>
    <m/>
    <m/>
    <m/>
    <m/>
    <m/>
    <m/>
    <m/>
    <m/>
    <m/>
    <m/>
    <m/>
    <m/>
    <m/>
    <m/>
    <m/>
    <m/>
    <m/>
    <m/>
    <m/>
    <m/>
    <m/>
    <m/>
    <m/>
    <m/>
    <m/>
    <m/>
    <m/>
    <m/>
    <m/>
    <m/>
    <m/>
    <m/>
    <m/>
    <m/>
    <m/>
    <m/>
    <m/>
    <m/>
    <m/>
    <m/>
    <m/>
    <m/>
    <m/>
    <m/>
    <m/>
    <m/>
    <m/>
    <m/>
    <m/>
    <m/>
    <m/>
    <m/>
    <m/>
    <m/>
    <m/>
    <m/>
    <m/>
    <m/>
    <m/>
    <m/>
    <m/>
    <m/>
    <m/>
    <m/>
    <m/>
    <m/>
    <m/>
    <m/>
    <m/>
    <m/>
    <m/>
    <m/>
    <m/>
    <m/>
    <m/>
    <m/>
    <m/>
    <m/>
    <m/>
    <m/>
    <m/>
    <m/>
    <m/>
    <m/>
    <m/>
    <m/>
    <m/>
    <m/>
    <m/>
    <m/>
    <m/>
    <m/>
    <m/>
    <m/>
    <m/>
    <m/>
    <m/>
  </r>
  <r>
    <m/>
    <m/>
    <x v="1"/>
    <m/>
    <x v="32"/>
    <x v="203"/>
    <s v="Charlie Lewis - Alpine (East) Trellis"/>
    <d v="2023-09-12T00:00:00"/>
    <s v="24.8*"/>
    <m/>
    <m/>
    <x v="1"/>
    <m/>
    <m/>
    <m/>
    <m/>
    <m/>
    <m/>
    <m/>
    <m/>
    <m/>
    <m/>
    <m/>
    <m/>
    <m/>
    <m/>
    <m/>
    <m/>
    <m/>
    <m/>
    <m/>
    <m/>
    <m/>
    <m/>
    <m/>
    <m/>
    <m/>
    <m/>
    <m/>
    <m/>
    <n v="17.899999999999999"/>
    <m/>
    <m/>
    <m/>
    <m/>
    <m/>
    <m/>
    <m/>
    <m/>
    <m/>
    <n v="19.8"/>
    <m/>
    <m/>
    <m/>
    <m/>
    <m/>
    <m/>
    <m/>
    <s v="24.8*"/>
    <m/>
    <m/>
    <m/>
    <m/>
    <m/>
    <m/>
    <m/>
    <m/>
    <m/>
    <m/>
    <m/>
    <m/>
    <m/>
    <m/>
    <m/>
    <m/>
    <m/>
    <m/>
    <m/>
    <m/>
    <m/>
    <m/>
    <m/>
    <m/>
    <m/>
    <m/>
    <m/>
    <m/>
    <m/>
    <m/>
    <m/>
    <m/>
    <m/>
    <m/>
    <m/>
    <m/>
    <m/>
    <m/>
    <m/>
    <m/>
    <m/>
    <m/>
    <m/>
    <m/>
    <m/>
    <m/>
    <m/>
    <m/>
    <m/>
    <m/>
    <m/>
    <m/>
    <m/>
    <m/>
    <m/>
    <m/>
    <m/>
    <m/>
    <m/>
    <m/>
    <m/>
    <m/>
    <m/>
    <m/>
    <m/>
    <m/>
    <m/>
    <m/>
    <m/>
  </r>
  <r>
    <m/>
    <m/>
    <x v="1"/>
    <m/>
    <x v="32"/>
    <x v="203"/>
    <s v="Charlie Lewis - Alpine (West) "/>
    <d v="2023-09-12T00:00:00"/>
    <s v="22.6*"/>
    <m/>
    <m/>
    <x v="1"/>
    <m/>
    <m/>
    <m/>
    <m/>
    <m/>
    <m/>
    <m/>
    <m/>
    <m/>
    <m/>
    <m/>
    <m/>
    <m/>
    <m/>
    <m/>
    <m/>
    <m/>
    <m/>
    <m/>
    <m/>
    <m/>
    <m/>
    <m/>
    <m/>
    <m/>
    <m/>
    <m/>
    <m/>
    <n v="17.8"/>
    <m/>
    <m/>
    <m/>
    <m/>
    <m/>
    <m/>
    <m/>
    <m/>
    <m/>
    <n v="22.6"/>
    <m/>
    <m/>
    <m/>
    <m/>
    <m/>
    <m/>
    <m/>
    <s v="22.6*"/>
    <m/>
    <m/>
    <m/>
    <m/>
    <m/>
    <m/>
    <m/>
    <m/>
    <m/>
    <m/>
    <m/>
    <m/>
    <m/>
    <m/>
    <m/>
    <m/>
    <m/>
    <m/>
    <m/>
    <m/>
    <m/>
    <m/>
    <m/>
    <m/>
    <m/>
    <m/>
    <m/>
    <m/>
    <m/>
    <m/>
    <m/>
    <m/>
    <m/>
    <m/>
    <m/>
    <m/>
    <m/>
    <m/>
    <m/>
    <m/>
    <m/>
    <m/>
    <m/>
    <m/>
    <m/>
    <m/>
    <m/>
    <m/>
    <m/>
    <m/>
    <m/>
    <m/>
    <m/>
    <m/>
    <m/>
    <m/>
    <m/>
    <m/>
    <m/>
    <m/>
    <m/>
    <m/>
    <m/>
    <m/>
    <m/>
    <m/>
    <m/>
    <m/>
    <m/>
  </r>
  <r>
    <m/>
    <m/>
    <x v="1"/>
    <m/>
    <x v="32"/>
    <x v="203"/>
    <s v="Charlie Lewis - Old Vines"/>
    <d v="2023-09-12T00:00:00"/>
    <s v="22.6*"/>
    <m/>
    <m/>
    <x v="1"/>
    <m/>
    <m/>
    <m/>
    <m/>
    <m/>
    <m/>
    <m/>
    <m/>
    <m/>
    <m/>
    <m/>
    <m/>
    <m/>
    <m/>
    <m/>
    <m/>
    <m/>
    <m/>
    <m/>
    <m/>
    <m/>
    <m/>
    <m/>
    <m/>
    <m/>
    <m/>
    <m/>
    <m/>
    <s v="19.2*"/>
    <m/>
    <m/>
    <m/>
    <m/>
    <m/>
    <m/>
    <m/>
    <m/>
    <m/>
    <n v="20.399999999999999"/>
    <m/>
    <m/>
    <m/>
    <m/>
    <m/>
    <m/>
    <m/>
    <s v="22.6*"/>
    <m/>
    <m/>
    <m/>
    <m/>
    <m/>
    <m/>
    <m/>
    <m/>
    <m/>
    <m/>
    <m/>
    <m/>
    <m/>
    <m/>
    <m/>
    <m/>
    <m/>
    <m/>
    <m/>
    <m/>
    <m/>
    <m/>
    <m/>
    <m/>
    <m/>
    <m/>
    <m/>
    <m/>
    <m/>
    <m/>
    <m/>
    <m/>
    <m/>
    <m/>
    <m/>
    <m/>
    <m/>
    <m/>
    <m/>
    <m/>
    <m/>
    <m/>
    <m/>
    <m/>
    <m/>
    <m/>
    <m/>
    <m/>
    <m/>
    <m/>
    <m/>
    <m/>
    <m/>
    <m/>
    <m/>
    <m/>
    <m/>
    <m/>
    <m/>
    <m/>
    <m/>
    <m/>
    <m/>
    <m/>
    <m/>
    <m/>
    <m/>
    <m/>
    <m/>
  </r>
  <r>
    <m/>
    <s v="Y"/>
    <x v="3"/>
    <n v="42.2"/>
    <x v="32"/>
    <x v="204"/>
    <s v="Clements AAA BLK 5"/>
    <s v=""/>
    <s v=" "/>
    <n v="24"/>
    <n v="25.5"/>
    <x v="1"/>
    <m/>
    <m/>
    <m/>
    <m/>
    <m/>
    <m/>
    <m/>
    <m/>
    <m/>
    <m/>
    <m/>
    <m/>
    <m/>
    <m/>
    <m/>
    <m/>
    <m/>
    <m/>
    <m/>
    <m/>
    <m/>
    <m/>
    <m/>
    <m/>
    <m/>
    <m/>
    <m/>
    <m/>
    <m/>
    <m/>
    <m/>
    <m/>
    <m/>
    <m/>
    <m/>
    <m/>
    <m/>
    <m/>
    <m/>
    <m/>
    <m/>
    <m/>
    <m/>
    <m/>
    <m/>
    <m/>
    <m/>
    <m/>
    <m/>
    <m/>
    <m/>
    <m/>
    <m/>
    <m/>
    <m/>
    <m/>
    <m/>
    <m/>
    <m/>
    <m/>
    <m/>
    <m/>
    <m/>
    <m/>
    <m/>
    <m/>
    <m/>
    <m/>
    <m/>
    <m/>
    <m/>
    <m/>
    <m/>
    <m/>
    <m/>
    <m/>
    <m/>
    <m/>
    <m/>
    <m/>
    <m/>
    <m/>
    <m/>
    <m/>
    <m/>
    <m/>
    <m/>
    <m/>
    <m/>
    <m/>
    <m/>
    <m/>
    <m/>
    <m/>
    <m/>
    <m/>
    <m/>
    <m/>
    <m/>
    <m/>
    <m/>
    <m/>
    <m/>
    <m/>
    <m/>
    <m/>
    <m/>
    <m/>
    <m/>
    <m/>
    <m/>
    <m/>
    <m/>
    <m/>
    <m/>
    <m/>
  </r>
  <r>
    <m/>
    <s v="Y"/>
    <x v="3"/>
    <m/>
    <x v="32"/>
    <x v="204"/>
    <s v="Clements AAA BLK 5 - N"/>
    <d v="2023-09-08T00:00:00"/>
    <n v="19.399999999999999"/>
    <n v="24"/>
    <n v="25.5"/>
    <x v="1"/>
    <m/>
    <m/>
    <m/>
    <m/>
    <m/>
    <m/>
    <m/>
    <m/>
    <m/>
    <m/>
    <m/>
    <m/>
    <m/>
    <m/>
    <m/>
    <m/>
    <m/>
    <m/>
    <m/>
    <m/>
    <m/>
    <m/>
    <m/>
    <m/>
    <m/>
    <m/>
    <m/>
    <m/>
    <m/>
    <m/>
    <m/>
    <m/>
    <m/>
    <m/>
    <m/>
    <m/>
    <m/>
    <m/>
    <m/>
    <m/>
    <m/>
    <m/>
    <n v="19.399999999999999"/>
    <m/>
    <m/>
    <m/>
    <m/>
    <m/>
    <m/>
    <m/>
    <m/>
    <m/>
    <m/>
    <m/>
    <m/>
    <m/>
    <m/>
    <m/>
    <m/>
    <m/>
    <m/>
    <m/>
    <m/>
    <m/>
    <m/>
    <m/>
    <m/>
    <m/>
    <m/>
    <m/>
    <m/>
    <m/>
    <m/>
    <m/>
    <m/>
    <m/>
    <m/>
    <m/>
    <m/>
    <m/>
    <m/>
    <m/>
    <m/>
    <m/>
    <m/>
    <m/>
    <m/>
    <m/>
    <m/>
    <m/>
    <m/>
    <m/>
    <m/>
    <m/>
    <m/>
    <m/>
    <m/>
    <m/>
    <m/>
    <m/>
    <m/>
    <m/>
    <m/>
    <m/>
    <m/>
    <m/>
    <m/>
    <m/>
    <m/>
    <m/>
    <m/>
    <m/>
    <m/>
    <m/>
    <m/>
    <m/>
  </r>
  <r>
    <m/>
    <s v="Y"/>
    <x v="3"/>
    <m/>
    <x v="32"/>
    <x v="204"/>
    <s v="Clements AAA BLK 5 - S"/>
    <d v="2023-09-08T00:00:00"/>
    <n v="21.4"/>
    <n v="24"/>
    <n v="25.5"/>
    <x v="1"/>
    <m/>
    <m/>
    <m/>
    <m/>
    <m/>
    <m/>
    <m/>
    <m/>
    <m/>
    <m/>
    <m/>
    <m/>
    <m/>
    <m/>
    <m/>
    <m/>
    <m/>
    <m/>
    <m/>
    <m/>
    <m/>
    <m/>
    <m/>
    <m/>
    <m/>
    <m/>
    <m/>
    <m/>
    <m/>
    <m/>
    <m/>
    <m/>
    <m/>
    <m/>
    <m/>
    <m/>
    <m/>
    <m/>
    <m/>
    <m/>
    <m/>
    <m/>
    <n v="21.4"/>
    <m/>
    <m/>
    <m/>
    <m/>
    <m/>
    <m/>
    <m/>
    <m/>
    <m/>
    <m/>
    <m/>
    <m/>
    <m/>
    <m/>
    <m/>
    <m/>
    <m/>
    <m/>
    <m/>
    <m/>
    <m/>
    <m/>
    <m/>
    <m/>
    <m/>
    <m/>
    <m/>
    <m/>
    <m/>
    <m/>
    <m/>
    <m/>
    <m/>
    <m/>
    <m/>
    <m/>
    <m/>
    <m/>
    <m/>
    <m/>
    <m/>
    <m/>
    <m/>
    <m/>
    <m/>
    <m/>
    <m/>
    <m/>
    <m/>
    <m/>
    <m/>
    <m/>
    <m/>
    <m/>
    <m/>
    <m/>
    <m/>
    <m/>
    <m/>
    <m/>
    <m/>
    <m/>
    <m/>
    <m/>
    <m/>
    <m/>
    <m/>
    <m/>
    <m/>
    <m/>
    <m/>
    <m/>
    <m/>
  </r>
  <r>
    <m/>
    <s v="Y"/>
    <x v="3"/>
    <n v="79.94"/>
    <x v="32"/>
    <x v="205"/>
    <s v="Clements Paddy Creek BLK 6"/>
    <s v=""/>
    <s v=" "/>
    <s v="24.0/25.0"/>
    <m/>
    <x v="27"/>
    <m/>
    <m/>
    <m/>
    <m/>
    <m/>
    <m/>
    <m/>
    <m/>
    <m/>
    <m/>
    <m/>
    <m/>
    <m/>
    <m/>
    <m/>
    <m/>
    <m/>
    <m/>
    <m/>
    <m/>
    <m/>
    <m/>
    <m/>
    <m/>
    <m/>
    <m/>
    <m/>
    <m/>
    <m/>
    <m/>
    <m/>
    <m/>
    <m/>
    <m/>
    <m/>
    <m/>
    <m/>
    <m/>
    <m/>
    <m/>
    <m/>
    <m/>
    <m/>
    <m/>
    <m/>
    <m/>
    <m/>
    <m/>
    <m/>
    <m/>
    <m/>
    <m/>
    <m/>
    <m/>
    <m/>
    <m/>
    <m/>
    <m/>
    <m/>
    <m/>
    <m/>
    <m/>
    <m/>
    <m/>
    <m/>
    <m/>
    <m/>
    <m/>
    <m/>
    <m/>
    <m/>
    <m/>
    <m/>
    <m/>
    <m/>
    <m/>
    <m/>
    <m/>
    <m/>
    <m/>
    <m/>
    <m/>
    <m/>
    <m/>
    <m/>
    <m/>
    <m/>
    <m/>
    <m/>
    <m/>
    <m/>
    <m/>
    <m/>
    <m/>
    <m/>
    <m/>
    <m/>
    <m/>
    <m/>
    <m/>
    <m/>
    <m/>
    <m/>
    <m/>
    <m/>
    <m/>
    <m/>
    <m/>
    <m/>
    <m/>
    <m/>
    <m/>
    <m/>
    <m/>
    <m/>
    <m/>
  </r>
  <r>
    <m/>
    <s v="Y"/>
    <x v="3"/>
    <m/>
    <x v="32"/>
    <x v="205"/>
    <s v="Clements Paddy Creek BLK 6 - N"/>
    <d v="2023-09-08T00:00:00"/>
    <n v="19.8"/>
    <s v="24.0/25.0"/>
    <m/>
    <x v="27"/>
    <m/>
    <m/>
    <m/>
    <m/>
    <m/>
    <m/>
    <m/>
    <m/>
    <m/>
    <m/>
    <m/>
    <m/>
    <m/>
    <m/>
    <m/>
    <m/>
    <m/>
    <m/>
    <m/>
    <m/>
    <m/>
    <m/>
    <m/>
    <m/>
    <m/>
    <m/>
    <m/>
    <m/>
    <m/>
    <m/>
    <m/>
    <m/>
    <m/>
    <n v="19.600000000000001"/>
    <m/>
    <m/>
    <m/>
    <m/>
    <m/>
    <m/>
    <m/>
    <m/>
    <n v="19.8"/>
    <m/>
    <m/>
    <m/>
    <m/>
    <m/>
    <m/>
    <m/>
    <m/>
    <m/>
    <m/>
    <m/>
    <m/>
    <m/>
    <m/>
    <m/>
    <m/>
    <m/>
    <m/>
    <m/>
    <m/>
    <m/>
    <m/>
    <m/>
    <m/>
    <m/>
    <m/>
    <m/>
    <m/>
    <m/>
    <m/>
    <m/>
    <m/>
    <m/>
    <m/>
    <m/>
    <m/>
    <m/>
    <m/>
    <m/>
    <m/>
    <m/>
    <m/>
    <m/>
    <m/>
    <m/>
    <m/>
    <m/>
    <m/>
    <m/>
    <m/>
    <m/>
    <m/>
    <m/>
    <m/>
    <m/>
    <m/>
    <m/>
    <m/>
    <m/>
    <m/>
    <m/>
    <m/>
    <m/>
    <m/>
    <m/>
    <m/>
    <m/>
    <m/>
    <m/>
    <m/>
    <m/>
    <m/>
    <m/>
  </r>
  <r>
    <m/>
    <s v="Y"/>
    <x v="3"/>
    <m/>
    <x v="32"/>
    <x v="205"/>
    <s v="Clements Paddy Creek BLK 6 - S"/>
    <d v="2023-09-08T00:00:00"/>
    <n v="20.6"/>
    <s v="24.0/25.0"/>
    <m/>
    <x v="27"/>
    <m/>
    <m/>
    <m/>
    <m/>
    <m/>
    <m/>
    <m/>
    <m/>
    <m/>
    <m/>
    <m/>
    <m/>
    <m/>
    <m/>
    <m/>
    <m/>
    <m/>
    <m/>
    <m/>
    <m/>
    <m/>
    <m/>
    <m/>
    <m/>
    <m/>
    <m/>
    <m/>
    <m/>
    <m/>
    <m/>
    <m/>
    <m/>
    <m/>
    <n v="20"/>
    <m/>
    <m/>
    <m/>
    <m/>
    <m/>
    <m/>
    <m/>
    <m/>
    <n v="20.6"/>
    <m/>
    <m/>
    <m/>
    <m/>
    <m/>
    <m/>
    <m/>
    <m/>
    <m/>
    <m/>
    <m/>
    <m/>
    <m/>
    <m/>
    <m/>
    <m/>
    <m/>
    <m/>
    <m/>
    <m/>
    <m/>
    <m/>
    <m/>
    <m/>
    <m/>
    <m/>
    <m/>
    <m/>
    <m/>
    <m/>
    <m/>
    <m/>
    <m/>
    <m/>
    <m/>
    <m/>
    <m/>
    <m/>
    <m/>
    <m/>
    <m/>
    <m/>
    <m/>
    <m/>
    <m/>
    <m/>
    <m/>
    <m/>
    <m/>
    <m/>
    <m/>
    <m/>
    <m/>
    <m/>
    <m/>
    <m/>
    <m/>
    <m/>
    <m/>
    <m/>
    <m/>
    <m/>
    <m/>
    <m/>
    <m/>
    <m/>
    <m/>
    <m/>
    <m/>
    <m/>
    <m/>
    <m/>
    <m/>
  </r>
  <r>
    <m/>
    <s v="Y"/>
    <x v="1"/>
    <n v="9.27"/>
    <x v="32"/>
    <x v="206"/>
    <s v="Donald, Brian Airport BLK 3"/>
    <d v="2023-09-12T00:00:00"/>
    <n v="17.899999999999999"/>
    <n v="25"/>
    <n v="25.5"/>
    <x v="1"/>
    <m/>
    <m/>
    <m/>
    <m/>
    <m/>
    <m/>
    <m/>
    <m/>
    <m/>
    <m/>
    <m/>
    <m/>
    <m/>
    <m/>
    <m/>
    <m/>
    <m/>
    <m/>
    <m/>
    <m/>
    <m/>
    <m/>
    <m/>
    <m/>
    <m/>
    <m/>
    <m/>
    <m/>
    <m/>
    <m/>
    <m/>
    <m/>
    <n v="16.2"/>
    <m/>
    <m/>
    <m/>
    <m/>
    <m/>
    <m/>
    <m/>
    <m/>
    <m/>
    <m/>
    <m/>
    <m/>
    <m/>
    <n v="17.899999999999999"/>
    <m/>
    <m/>
    <m/>
    <m/>
    <m/>
    <m/>
    <m/>
    <m/>
    <m/>
    <m/>
    <m/>
    <m/>
    <m/>
    <m/>
    <m/>
    <m/>
    <m/>
    <m/>
    <m/>
    <m/>
    <m/>
    <m/>
    <m/>
    <m/>
    <m/>
    <m/>
    <m/>
    <m/>
    <m/>
    <m/>
    <m/>
    <m/>
    <m/>
    <m/>
    <m/>
    <m/>
    <m/>
    <m/>
    <m/>
    <m/>
    <m/>
    <m/>
    <m/>
    <m/>
    <m/>
    <m/>
    <m/>
    <m/>
    <m/>
    <m/>
    <m/>
    <m/>
    <m/>
    <m/>
    <m/>
    <m/>
    <m/>
    <m/>
    <m/>
    <m/>
    <m/>
    <m/>
    <m/>
    <m/>
    <m/>
    <m/>
    <m/>
    <m/>
    <m/>
  </r>
  <r>
    <m/>
    <s v="Y"/>
    <x v="1"/>
    <m/>
    <x v="32"/>
    <x v="206"/>
    <s v="Donald, Brian Airport BLK 3 - N"/>
    <s v=""/>
    <s v=" "/>
    <n v="25"/>
    <n v="25.5"/>
    <x v="1"/>
    <m/>
    <m/>
    <m/>
    <m/>
    <m/>
    <m/>
    <m/>
    <m/>
    <m/>
    <m/>
    <m/>
    <m/>
    <m/>
    <m/>
    <m/>
    <m/>
    <m/>
    <m/>
    <m/>
    <m/>
    <m/>
    <m/>
    <m/>
    <m/>
    <m/>
    <m/>
    <m/>
    <m/>
    <m/>
    <m/>
    <m/>
    <m/>
    <m/>
    <m/>
    <m/>
    <m/>
    <m/>
    <m/>
    <m/>
    <m/>
    <m/>
    <m/>
    <m/>
    <m/>
    <m/>
    <m/>
    <m/>
    <m/>
    <m/>
    <m/>
    <m/>
    <m/>
    <m/>
    <m/>
    <m/>
    <m/>
    <m/>
    <m/>
    <m/>
    <m/>
    <m/>
    <m/>
    <m/>
    <m/>
    <m/>
    <m/>
    <m/>
    <m/>
    <m/>
    <m/>
    <m/>
    <m/>
    <m/>
    <m/>
    <m/>
    <m/>
    <m/>
    <m/>
    <m/>
    <m/>
    <m/>
    <m/>
    <m/>
    <m/>
    <m/>
    <m/>
    <m/>
    <m/>
    <m/>
    <m/>
    <m/>
    <m/>
    <m/>
    <m/>
    <m/>
    <m/>
    <m/>
    <m/>
    <m/>
    <m/>
    <m/>
    <m/>
    <m/>
    <m/>
    <m/>
    <m/>
    <m/>
    <m/>
    <m/>
    <m/>
    <m/>
    <m/>
    <m/>
    <m/>
    <m/>
    <m/>
  </r>
  <r>
    <m/>
    <s v="Y"/>
    <x v="1"/>
    <m/>
    <x v="32"/>
    <x v="206"/>
    <s v="Donald, Brian Airport BLK 3 - S"/>
    <s v=""/>
    <s v=" "/>
    <n v="25"/>
    <n v="25.5"/>
    <x v="1"/>
    <m/>
    <m/>
    <m/>
    <m/>
    <m/>
    <m/>
    <m/>
    <m/>
    <m/>
    <m/>
    <m/>
    <m/>
    <m/>
    <m/>
    <m/>
    <m/>
    <m/>
    <m/>
    <m/>
    <m/>
    <m/>
    <m/>
    <m/>
    <m/>
    <m/>
    <m/>
    <m/>
    <m/>
    <m/>
    <m/>
    <m/>
    <m/>
    <m/>
    <m/>
    <m/>
    <m/>
    <m/>
    <m/>
    <m/>
    <m/>
    <m/>
    <m/>
    <m/>
    <m/>
    <m/>
    <m/>
    <m/>
    <m/>
    <m/>
    <m/>
    <m/>
    <m/>
    <m/>
    <m/>
    <m/>
    <m/>
    <m/>
    <m/>
    <m/>
    <m/>
    <m/>
    <m/>
    <m/>
    <m/>
    <m/>
    <m/>
    <m/>
    <m/>
    <m/>
    <m/>
    <m/>
    <m/>
    <m/>
    <m/>
    <m/>
    <m/>
    <m/>
    <m/>
    <m/>
    <m/>
    <m/>
    <m/>
    <m/>
    <m/>
    <m/>
    <m/>
    <m/>
    <m/>
    <m/>
    <m/>
    <m/>
    <m/>
    <m/>
    <m/>
    <m/>
    <m/>
    <m/>
    <m/>
    <m/>
    <m/>
    <m/>
    <m/>
    <m/>
    <m/>
    <m/>
    <m/>
    <m/>
    <m/>
    <m/>
    <m/>
    <m/>
    <m/>
    <m/>
    <m/>
    <m/>
    <m/>
  </r>
  <r>
    <m/>
    <s v="Y"/>
    <x v="1"/>
    <n v="8.07"/>
    <x v="32"/>
    <x v="207"/>
    <s v="Donald, Fred Davis BLK 4"/>
    <d v="2023-08-30T00:00:00"/>
    <n v="21.5"/>
    <m/>
    <m/>
    <x v="1"/>
    <m/>
    <m/>
    <m/>
    <m/>
    <m/>
    <m/>
    <m/>
    <m/>
    <m/>
    <m/>
    <m/>
    <m/>
    <m/>
    <m/>
    <m/>
    <m/>
    <m/>
    <m/>
    <m/>
    <m/>
    <m/>
    <m/>
    <m/>
    <m/>
    <m/>
    <m/>
    <m/>
    <m/>
    <m/>
    <m/>
    <m/>
    <m/>
    <m/>
    <n v="21.5"/>
    <m/>
    <m/>
    <m/>
    <m/>
    <m/>
    <m/>
    <m/>
    <m/>
    <m/>
    <m/>
    <m/>
    <m/>
    <m/>
    <m/>
    <m/>
    <m/>
    <m/>
    <m/>
    <m/>
    <m/>
    <m/>
    <m/>
    <m/>
    <m/>
    <m/>
    <m/>
    <m/>
    <m/>
    <m/>
    <m/>
    <m/>
    <m/>
    <m/>
    <m/>
    <m/>
    <m/>
    <m/>
    <m/>
    <m/>
    <m/>
    <m/>
    <m/>
    <m/>
    <m/>
    <m/>
    <m/>
    <m/>
    <m/>
    <m/>
    <m/>
    <m/>
    <m/>
    <m/>
    <m/>
    <m/>
    <m/>
    <m/>
    <m/>
    <m/>
    <m/>
    <m/>
    <m/>
    <m/>
    <m/>
    <m/>
    <m/>
    <m/>
    <m/>
    <m/>
    <m/>
    <m/>
    <m/>
    <m/>
    <m/>
    <m/>
    <m/>
    <m/>
    <m/>
    <m/>
    <m/>
    <m/>
    <m/>
  </r>
  <r>
    <m/>
    <m/>
    <x v="1"/>
    <m/>
    <x v="32"/>
    <x v="208"/>
    <s v="Lashi Mark Shimozaki"/>
    <s v=""/>
    <s v=" "/>
    <m/>
    <m/>
    <x v="1"/>
    <m/>
    <m/>
    <m/>
    <m/>
    <m/>
    <m/>
    <m/>
    <m/>
    <m/>
    <m/>
    <m/>
    <m/>
    <m/>
    <m/>
    <m/>
    <m/>
    <m/>
    <m/>
    <m/>
    <m/>
    <m/>
    <m/>
    <m/>
    <m/>
    <m/>
    <m/>
    <m/>
    <m/>
    <m/>
    <m/>
    <m/>
    <m/>
    <m/>
    <m/>
    <m/>
    <m/>
    <m/>
    <m/>
    <m/>
    <m/>
    <m/>
    <m/>
    <m/>
    <m/>
    <m/>
    <m/>
    <m/>
    <m/>
    <m/>
    <m/>
    <m/>
    <m/>
    <m/>
    <m/>
    <m/>
    <m/>
    <m/>
    <m/>
    <m/>
    <m/>
    <m/>
    <m/>
    <m/>
    <m/>
    <m/>
    <m/>
    <m/>
    <m/>
    <m/>
    <m/>
    <m/>
    <m/>
    <m/>
    <m/>
    <m/>
    <m/>
    <m/>
    <m/>
    <m/>
    <m/>
    <m/>
    <m/>
    <m/>
    <m/>
    <m/>
    <m/>
    <m/>
    <m/>
    <m/>
    <m/>
    <m/>
    <m/>
    <m/>
    <m/>
    <m/>
    <m/>
    <m/>
    <m/>
    <m/>
    <m/>
    <m/>
    <m/>
    <m/>
    <m/>
    <m/>
    <m/>
    <m/>
    <m/>
    <m/>
    <m/>
    <m/>
    <m/>
    <m/>
    <m/>
    <m/>
    <m/>
  </r>
  <r>
    <m/>
    <s v="Y"/>
    <x v="1"/>
    <m/>
    <x v="32"/>
    <x v="209"/>
    <s v="LF JW2 B3 PR (Long Rows - South)"/>
    <d v="2023-09-09T00:00:00"/>
    <n v="18.100000000000001"/>
    <s v="17.5-19.5; 21.5-22.5"/>
    <n v="19.5"/>
    <x v="1"/>
    <m/>
    <m/>
    <m/>
    <m/>
    <m/>
    <m/>
    <m/>
    <m/>
    <m/>
    <m/>
    <m/>
    <m/>
    <m/>
    <n v="13.2"/>
    <m/>
    <m/>
    <m/>
    <m/>
    <n v="13.6"/>
    <m/>
    <m/>
    <m/>
    <m/>
    <m/>
    <m/>
    <n v="15.3"/>
    <m/>
    <m/>
    <m/>
    <m/>
    <m/>
    <m/>
    <n v="15.7"/>
    <m/>
    <m/>
    <m/>
    <m/>
    <m/>
    <n v="17.8"/>
    <m/>
    <m/>
    <m/>
    <m/>
    <n v="18.100000000000001"/>
    <m/>
    <m/>
    <m/>
    <m/>
    <m/>
    <m/>
    <m/>
    <m/>
    <m/>
    <m/>
    <m/>
    <m/>
    <m/>
    <m/>
    <m/>
    <m/>
    <m/>
    <m/>
    <m/>
    <m/>
    <m/>
    <m/>
    <m/>
    <m/>
    <m/>
    <m/>
    <m/>
    <m/>
    <m/>
    <m/>
    <m/>
    <m/>
    <m/>
    <m/>
    <m/>
    <m/>
    <m/>
    <m/>
    <m/>
    <m/>
    <m/>
    <m/>
    <m/>
    <m/>
    <m/>
    <m/>
    <m/>
    <m/>
    <m/>
    <m/>
    <m/>
    <m/>
    <m/>
    <m/>
    <m/>
    <m/>
    <m/>
    <m/>
    <m/>
    <m/>
    <m/>
    <m/>
    <m/>
    <m/>
    <m/>
    <m/>
    <m/>
    <m/>
    <m/>
    <m/>
    <m/>
    <m/>
  </r>
  <r>
    <m/>
    <s v="Y"/>
    <x v="1"/>
    <m/>
    <x v="32"/>
    <x v="209"/>
    <s v="LF JW2 B3 PR (Short Rows - North Points)"/>
    <d v="2023-09-09T00:00:00"/>
    <n v="17.399999999999999"/>
    <s v="17.5-19.5; 21.5-22.5"/>
    <n v="19.5"/>
    <x v="1"/>
    <m/>
    <m/>
    <m/>
    <m/>
    <m/>
    <m/>
    <m/>
    <m/>
    <m/>
    <m/>
    <m/>
    <m/>
    <m/>
    <n v="13.6"/>
    <m/>
    <m/>
    <m/>
    <m/>
    <n v="13.6"/>
    <m/>
    <m/>
    <m/>
    <m/>
    <m/>
    <m/>
    <n v="15.3"/>
    <m/>
    <m/>
    <m/>
    <m/>
    <m/>
    <m/>
    <n v="15.9"/>
    <m/>
    <m/>
    <m/>
    <m/>
    <m/>
    <n v="17.100000000000001"/>
    <m/>
    <m/>
    <m/>
    <m/>
    <n v="17.399999999999999"/>
    <m/>
    <m/>
    <m/>
    <m/>
    <m/>
    <m/>
    <m/>
    <m/>
    <m/>
    <m/>
    <m/>
    <m/>
    <m/>
    <m/>
    <m/>
    <m/>
    <m/>
    <m/>
    <m/>
    <m/>
    <m/>
    <m/>
    <m/>
    <m/>
    <m/>
    <m/>
    <m/>
    <m/>
    <m/>
    <m/>
    <m/>
    <m/>
    <m/>
    <m/>
    <m/>
    <m/>
    <m/>
    <m/>
    <m/>
    <m/>
    <m/>
    <m/>
    <m/>
    <m/>
    <m/>
    <m/>
    <m/>
    <m/>
    <m/>
    <m/>
    <m/>
    <m/>
    <m/>
    <m/>
    <m/>
    <m/>
    <m/>
    <m/>
    <m/>
    <m/>
    <m/>
    <m/>
    <m/>
    <m/>
    <m/>
    <m/>
    <m/>
    <m/>
    <m/>
    <m/>
    <m/>
    <m/>
  </r>
  <r>
    <m/>
    <s v="Y"/>
    <x v="1"/>
    <n v="28.79"/>
    <x v="32"/>
    <x v="209"/>
    <s v="LF JW2 BLK 3"/>
    <s v=""/>
    <s v=" "/>
    <s v="17.5-19.5; 21.5-22.5"/>
    <n v="19.5"/>
    <x v="1"/>
    <m/>
    <m/>
    <m/>
    <m/>
    <m/>
    <m/>
    <m/>
    <m/>
    <m/>
    <m/>
    <m/>
    <m/>
    <m/>
    <m/>
    <m/>
    <m/>
    <m/>
    <m/>
    <m/>
    <m/>
    <m/>
    <m/>
    <m/>
    <m/>
    <m/>
    <m/>
    <m/>
    <m/>
    <m/>
    <m/>
    <m/>
    <m/>
    <m/>
    <m/>
    <m/>
    <m/>
    <m/>
    <m/>
    <m/>
    <m/>
    <m/>
    <m/>
    <m/>
    <m/>
    <m/>
    <m/>
    <m/>
    <m/>
    <m/>
    <m/>
    <m/>
    <m/>
    <m/>
    <m/>
    <m/>
    <m/>
    <m/>
    <m/>
    <m/>
    <m/>
    <m/>
    <m/>
    <m/>
    <m/>
    <m/>
    <m/>
    <m/>
    <m/>
    <m/>
    <m/>
    <m/>
    <m/>
    <m/>
    <m/>
    <m/>
    <m/>
    <m/>
    <m/>
    <m/>
    <m/>
    <m/>
    <m/>
    <m/>
    <m/>
    <m/>
    <m/>
    <m/>
    <m/>
    <m/>
    <m/>
    <m/>
    <m/>
    <m/>
    <m/>
    <m/>
    <m/>
    <m/>
    <m/>
    <m/>
    <m/>
    <m/>
    <m/>
    <m/>
    <m/>
    <m/>
    <m/>
    <m/>
    <m/>
    <m/>
    <m/>
    <m/>
    <m/>
    <m/>
    <m/>
    <m/>
    <m/>
  </r>
  <r>
    <m/>
    <s v="Y"/>
    <x v="1"/>
    <n v="27.8"/>
    <x v="32"/>
    <x v="210"/>
    <s v="LF RedTail BLK 2"/>
    <s v=""/>
    <s v=" "/>
    <n v="25"/>
    <n v="25.5"/>
    <x v="1"/>
    <m/>
    <m/>
    <m/>
    <m/>
    <m/>
    <m/>
    <m/>
    <m/>
    <m/>
    <m/>
    <m/>
    <m/>
    <m/>
    <m/>
    <m/>
    <m/>
    <m/>
    <m/>
    <m/>
    <m/>
    <m/>
    <m/>
    <m/>
    <m/>
    <m/>
    <m/>
    <m/>
    <m/>
    <m/>
    <m/>
    <m/>
    <m/>
    <m/>
    <m/>
    <m/>
    <m/>
    <m/>
    <m/>
    <m/>
    <m/>
    <m/>
    <m/>
    <m/>
    <m/>
    <m/>
    <m/>
    <m/>
    <m/>
    <m/>
    <m/>
    <m/>
    <m/>
    <m/>
    <m/>
    <m/>
    <m/>
    <m/>
    <m/>
    <m/>
    <m/>
    <m/>
    <m/>
    <m/>
    <m/>
    <m/>
    <m/>
    <m/>
    <m/>
    <m/>
    <m/>
    <m/>
    <m/>
    <m/>
    <m/>
    <m/>
    <m/>
    <m/>
    <m/>
    <m/>
    <m/>
    <m/>
    <m/>
    <m/>
    <m/>
    <m/>
    <m/>
    <m/>
    <m/>
    <m/>
    <m/>
    <m/>
    <m/>
    <m/>
    <m/>
    <m/>
    <m/>
    <m/>
    <m/>
    <m/>
    <m/>
    <m/>
    <m/>
    <m/>
    <m/>
    <m/>
    <m/>
    <m/>
    <m/>
    <m/>
    <m/>
    <m/>
    <m/>
    <m/>
    <m/>
    <m/>
    <m/>
  </r>
  <r>
    <m/>
    <s v="Y"/>
    <x v="1"/>
    <m/>
    <x v="32"/>
    <x v="210"/>
    <s v="LF RedTail BLK 2 - E"/>
    <d v="2023-09-09T00:00:00"/>
    <n v="21.6"/>
    <n v="25"/>
    <n v="25.5"/>
    <x v="1"/>
    <m/>
    <m/>
    <m/>
    <m/>
    <m/>
    <m/>
    <m/>
    <m/>
    <m/>
    <m/>
    <m/>
    <m/>
    <m/>
    <m/>
    <m/>
    <m/>
    <m/>
    <m/>
    <m/>
    <m/>
    <m/>
    <m/>
    <m/>
    <m/>
    <m/>
    <m/>
    <m/>
    <m/>
    <m/>
    <m/>
    <m/>
    <n v="19.600000000000001"/>
    <m/>
    <m/>
    <m/>
    <m/>
    <m/>
    <m/>
    <m/>
    <m/>
    <m/>
    <m/>
    <m/>
    <n v="21.6"/>
    <m/>
    <m/>
    <m/>
    <m/>
    <m/>
    <m/>
    <m/>
    <m/>
    <m/>
    <m/>
    <m/>
    <m/>
    <m/>
    <m/>
    <m/>
    <m/>
    <m/>
    <m/>
    <m/>
    <m/>
    <m/>
    <m/>
    <m/>
    <m/>
    <m/>
    <m/>
    <m/>
    <m/>
    <m/>
    <m/>
    <m/>
    <m/>
    <m/>
    <m/>
    <m/>
    <m/>
    <m/>
    <m/>
    <m/>
    <m/>
    <m/>
    <m/>
    <m/>
    <m/>
    <m/>
    <m/>
    <m/>
    <m/>
    <m/>
    <m/>
    <m/>
    <m/>
    <m/>
    <m/>
    <m/>
    <m/>
    <m/>
    <m/>
    <m/>
    <m/>
    <m/>
    <m/>
    <m/>
    <m/>
    <m/>
    <m/>
    <m/>
    <m/>
    <m/>
    <m/>
    <m/>
    <m/>
  </r>
  <r>
    <m/>
    <s v="Y"/>
    <x v="1"/>
    <m/>
    <x v="32"/>
    <x v="210"/>
    <s v="LF RedTail BLK 2 - N"/>
    <s v=""/>
    <s v=" "/>
    <n v="25"/>
    <n v="25.5"/>
    <x v="1"/>
    <m/>
    <m/>
    <m/>
    <m/>
    <m/>
    <m/>
    <m/>
    <m/>
    <m/>
    <m/>
    <m/>
    <m/>
    <m/>
    <m/>
    <m/>
    <m/>
    <m/>
    <m/>
    <m/>
    <m/>
    <m/>
    <m/>
    <m/>
    <m/>
    <m/>
    <m/>
    <m/>
    <m/>
    <m/>
    <m/>
    <m/>
    <m/>
    <m/>
    <m/>
    <m/>
    <m/>
    <m/>
    <m/>
    <m/>
    <m/>
    <m/>
    <m/>
    <m/>
    <m/>
    <m/>
    <m/>
    <m/>
    <m/>
    <m/>
    <m/>
    <m/>
    <m/>
    <m/>
    <m/>
    <m/>
    <m/>
    <m/>
    <m/>
    <m/>
    <m/>
    <m/>
    <m/>
    <m/>
    <m/>
    <m/>
    <m/>
    <m/>
    <m/>
    <m/>
    <m/>
    <m/>
    <m/>
    <m/>
    <m/>
    <m/>
    <m/>
    <m/>
    <m/>
    <m/>
    <m/>
    <m/>
    <m/>
    <m/>
    <m/>
    <m/>
    <m/>
    <m/>
    <m/>
    <m/>
    <m/>
    <m/>
    <m/>
    <m/>
    <m/>
    <m/>
    <m/>
    <m/>
    <m/>
    <m/>
    <m/>
    <m/>
    <m/>
    <m/>
    <m/>
    <m/>
    <m/>
    <m/>
    <m/>
    <m/>
    <m/>
    <m/>
    <m/>
    <m/>
    <m/>
    <m/>
    <m/>
  </r>
  <r>
    <m/>
    <s v="Y"/>
    <x v="1"/>
    <m/>
    <x v="32"/>
    <x v="210"/>
    <s v="LF RedTail BLK 2 - S"/>
    <s v=""/>
    <s v=" "/>
    <n v="25"/>
    <n v="25.5"/>
    <x v="1"/>
    <m/>
    <m/>
    <m/>
    <m/>
    <m/>
    <m/>
    <m/>
    <m/>
    <m/>
    <m/>
    <m/>
    <m/>
    <m/>
    <m/>
    <m/>
    <m/>
    <m/>
    <m/>
    <m/>
    <m/>
    <m/>
    <m/>
    <m/>
    <m/>
    <m/>
    <m/>
    <m/>
    <m/>
    <m/>
    <m/>
    <m/>
    <m/>
    <m/>
    <m/>
    <m/>
    <m/>
    <m/>
    <m/>
    <m/>
    <m/>
    <m/>
    <m/>
    <m/>
    <m/>
    <m/>
    <m/>
    <m/>
    <m/>
    <m/>
    <m/>
    <m/>
    <m/>
    <m/>
    <m/>
    <m/>
    <m/>
    <m/>
    <m/>
    <m/>
    <m/>
    <m/>
    <m/>
    <m/>
    <m/>
    <m/>
    <m/>
    <m/>
    <m/>
    <m/>
    <m/>
    <m/>
    <m/>
    <m/>
    <m/>
    <m/>
    <m/>
    <m/>
    <m/>
    <m/>
    <m/>
    <m/>
    <m/>
    <m/>
    <m/>
    <m/>
    <m/>
    <m/>
    <m/>
    <m/>
    <m/>
    <m/>
    <m/>
    <m/>
    <m/>
    <m/>
    <m/>
    <m/>
    <m/>
    <m/>
    <m/>
    <m/>
    <m/>
    <m/>
    <m/>
    <m/>
    <m/>
    <m/>
    <m/>
    <m/>
    <m/>
    <m/>
    <m/>
    <m/>
    <m/>
    <m/>
    <m/>
  </r>
  <r>
    <m/>
    <s v="Y"/>
    <x v="1"/>
    <m/>
    <x v="32"/>
    <x v="210"/>
    <s v="LF RedTail BLK 2 - W"/>
    <d v="2023-09-09T00:00:00"/>
    <n v="22.4"/>
    <n v="25"/>
    <n v="25.5"/>
    <x v="1"/>
    <m/>
    <m/>
    <m/>
    <m/>
    <m/>
    <m/>
    <m/>
    <m/>
    <m/>
    <m/>
    <m/>
    <m/>
    <m/>
    <m/>
    <m/>
    <m/>
    <m/>
    <m/>
    <m/>
    <m/>
    <m/>
    <m/>
    <m/>
    <m/>
    <m/>
    <m/>
    <m/>
    <m/>
    <m/>
    <m/>
    <m/>
    <n v="17"/>
    <m/>
    <m/>
    <m/>
    <m/>
    <m/>
    <m/>
    <m/>
    <m/>
    <m/>
    <m/>
    <m/>
    <n v="22.4"/>
    <m/>
    <m/>
    <m/>
    <m/>
    <m/>
    <m/>
    <m/>
    <m/>
    <m/>
    <m/>
    <m/>
    <m/>
    <m/>
    <m/>
    <m/>
    <m/>
    <m/>
    <m/>
    <m/>
    <m/>
    <m/>
    <m/>
    <m/>
    <m/>
    <m/>
    <m/>
    <m/>
    <m/>
    <m/>
    <m/>
    <m/>
    <m/>
    <m/>
    <m/>
    <m/>
    <m/>
    <m/>
    <m/>
    <m/>
    <m/>
    <m/>
    <m/>
    <m/>
    <m/>
    <m/>
    <m/>
    <m/>
    <m/>
    <m/>
    <m/>
    <m/>
    <m/>
    <m/>
    <m/>
    <m/>
    <m/>
    <m/>
    <m/>
    <m/>
    <m/>
    <m/>
    <m/>
    <m/>
    <m/>
    <m/>
    <m/>
    <m/>
    <m/>
    <m/>
    <m/>
    <m/>
    <m/>
  </r>
  <r>
    <m/>
    <s v="Y"/>
    <x v="1"/>
    <n v="4.72"/>
    <x v="32"/>
    <x v="211"/>
    <s v="Stanton - BLK 6"/>
    <d v="2023-09-12T00:00:00"/>
    <n v="19.5"/>
    <n v="25"/>
    <n v="25.5"/>
    <x v="1"/>
    <m/>
    <m/>
    <m/>
    <m/>
    <m/>
    <m/>
    <m/>
    <m/>
    <m/>
    <m/>
    <m/>
    <m/>
    <m/>
    <m/>
    <m/>
    <m/>
    <m/>
    <m/>
    <m/>
    <m/>
    <m/>
    <m/>
    <m/>
    <m/>
    <m/>
    <m/>
    <m/>
    <m/>
    <m/>
    <m/>
    <m/>
    <m/>
    <n v="16.600000000000001"/>
    <m/>
    <m/>
    <m/>
    <m/>
    <m/>
    <m/>
    <m/>
    <m/>
    <m/>
    <m/>
    <m/>
    <m/>
    <m/>
    <n v="19.5"/>
    <m/>
    <m/>
    <m/>
    <m/>
    <m/>
    <m/>
    <m/>
    <m/>
    <m/>
    <m/>
    <m/>
    <m/>
    <m/>
    <m/>
    <m/>
    <m/>
    <m/>
    <m/>
    <m/>
    <m/>
    <m/>
    <m/>
    <m/>
    <m/>
    <m/>
    <m/>
    <m/>
    <m/>
    <m/>
    <m/>
    <m/>
    <m/>
    <m/>
    <m/>
    <m/>
    <m/>
    <m/>
    <m/>
    <m/>
    <m/>
    <m/>
    <m/>
    <m/>
    <m/>
    <m/>
    <m/>
    <m/>
    <m/>
    <m/>
    <m/>
    <m/>
    <m/>
    <m/>
    <m/>
    <m/>
    <m/>
    <m/>
    <m/>
    <m/>
    <m/>
    <m/>
    <m/>
    <m/>
    <m/>
    <m/>
    <m/>
    <m/>
    <m/>
    <m/>
  </r>
  <r>
    <m/>
    <s v="Y"/>
    <x v="1"/>
    <n v="7.16"/>
    <x v="32"/>
    <x v="212"/>
    <s v="Stanton - BLK 8"/>
    <d v="2023-09-12T00:00:00"/>
    <n v="21"/>
    <n v="25"/>
    <n v="25.5"/>
    <x v="1"/>
    <m/>
    <m/>
    <m/>
    <m/>
    <m/>
    <m/>
    <m/>
    <m/>
    <m/>
    <m/>
    <m/>
    <m/>
    <m/>
    <m/>
    <m/>
    <m/>
    <m/>
    <m/>
    <m/>
    <m/>
    <m/>
    <m/>
    <m/>
    <m/>
    <m/>
    <m/>
    <m/>
    <m/>
    <m/>
    <m/>
    <m/>
    <m/>
    <n v="18.899999999999999"/>
    <m/>
    <m/>
    <m/>
    <m/>
    <m/>
    <m/>
    <m/>
    <m/>
    <m/>
    <m/>
    <m/>
    <m/>
    <m/>
    <n v="21"/>
    <m/>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5CF1B4-4A19-4CEE-99D6-A538C46D8CCA}" name="PivotTable36" cacheId="3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4:B58" firstHeaderRow="1" firstDataRow="2" firstDataCol="1" rowPageCount="1" colPageCount="1"/>
  <pivotFields count="128">
    <pivotField showAll="0"/>
    <pivotField showAll="0"/>
    <pivotField multipleItemSelectionAllowed="1" showAll="0">
      <items count="5">
        <item x="3"/>
        <item x="2"/>
        <item x="1"/>
        <item x="0"/>
        <item t="default"/>
      </items>
    </pivotField>
    <pivotField showAll="0"/>
    <pivotField multipleItemSelectionAllowed="1" showAll="0">
      <items count="34">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t="default"/>
      </items>
    </pivotField>
    <pivotField axis="axisCol" showAll="0">
      <items count="215">
        <item x="52"/>
        <item x="53"/>
        <item x="97"/>
        <item x="54"/>
        <item x="55"/>
        <item x="56"/>
        <item x="104"/>
        <item x="149"/>
        <item x="57"/>
        <item x="199"/>
        <item x="20"/>
        <item h="1" x="22"/>
        <item x="200"/>
        <item x="201"/>
        <item x="105"/>
        <item x="58"/>
        <item x="59"/>
        <item x="156"/>
        <item x="165"/>
        <item x="61"/>
        <item x="157"/>
        <item x="204"/>
        <item x="62"/>
        <item x="23"/>
        <item h="1" x="24"/>
        <item x="25"/>
        <item x="63"/>
        <item x="189"/>
        <item x="122"/>
        <item h="1" x="26"/>
        <item x="107"/>
        <item x="179"/>
        <item x="158"/>
        <item x="150"/>
        <item x="151"/>
        <item x="152"/>
        <item x="5"/>
        <item x="64"/>
        <item x="106"/>
        <item x="60"/>
        <item x="108"/>
        <item x="6"/>
        <item x="109"/>
        <item x="110"/>
        <item x="205"/>
        <item x="65"/>
        <item h="1" x="28"/>
        <item x="66"/>
        <item x="111"/>
        <item x="98"/>
        <item x="27"/>
        <item x="67"/>
        <item x="29"/>
        <item x="68"/>
        <item x="163"/>
        <item x="206"/>
        <item x="69"/>
        <item x="30"/>
        <item x="70"/>
        <item x="71"/>
        <item x="207"/>
        <item x="119"/>
        <item x="167"/>
        <item x="168"/>
        <item x="169"/>
        <item x="190"/>
        <item x="102"/>
        <item x="103"/>
        <item x="131"/>
        <item x="166"/>
        <item x="132"/>
        <item x="133"/>
        <item x="134"/>
        <item x="135"/>
        <item x="123"/>
        <item x="188"/>
        <item x="186"/>
        <item x="99"/>
        <item x="112"/>
        <item x="113"/>
        <item x="181"/>
        <item x="136"/>
        <item x="140"/>
        <item h="1" x="32"/>
        <item x="33"/>
        <item h="1" x="34"/>
        <item h="1" x="35"/>
        <item x="8"/>
        <item x="178"/>
        <item x="141"/>
        <item x="137"/>
        <item x="138"/>
        <item x="139"/>
        <item x="124"/>
        <item x="191"/>
        <item x="7"/>
        <item h="1" x="31"/>
        <item x="2"/>
        <item h="1" x="51"/>
        <item x="72"/>
        <item x="73"/>
        <item x="74"/>
        <item x="174"/>
        <item h="1" x="43"/>
        <item x="95"/>
        <item x="96"/>
        <item x="202"/>
        <item x="182"/>
        <item x="100"/>
        <item h="1" x="36"/>
        <item x="114"/>
        <item x="153"/>
        <item x="76"/>
        <item h="1" x="37"/>
        <item x="192"/>
        <item x="208"/>
        <item x="203"/>
        <item x="77"/>
        <item x="78"/>
        <item x="183"/>
        <item x="159"/>
        <item x="154"/>
        <item h="1" x="38"/>
        <item h="1" x="39"/>
        <item x="193"/>
        <item x="40"/>
        <item x="170"/>
        <item x="125"/>
        <item x="41"/>
        <item x="164"/>
        <item x="180"/>
        <item x="194"/>
        <item x="195"/>
        <item x="79"/>
        <item x="82"/>
        <item x="21"/>
        <item x="161"/>
        <item x="83"/>
        <item x="84"/>
        <item x="118"/>
        <item x="1"/>
        <item x="121"/>
        <item x="93"/>
        <item x="120"/>
        <item x="210"/>
        <item x="4"/>
        <item x="85"/>
        <item x="172"/>
        <item x="160"/>
        <item x="80"/>
        <item x="115"/>
        <item x="184"/>
        <item x="209"/>
        <item x="81"/>
        <item x="171"/>
        <item x="86"/>
        <item x="126"/>
        <item x="187"/>
        <item x="144"/>
        <item x="145"/>
        <item x="129"/>
        <item x="9"/>
        <item h="1" x="42"/>
        <item x="127"/>
        <item x="75"/>
        <item x="87"/>
        <item x="173"/>
        <item x="128"/>
        <item x="88"/>
        <item x="162"/>
        <item h="1" x="46"/>
        <item x="143"/>
        <item x="116"/>
        <item h="1" x="47"/>
        <item h="1" x="44"/>
        <item h="1" m="1" x="213"/>
        <item x="142"/>
        <item x="16"/>
        <item x="17"/>
        <item x="18"/>
        <item x="10"/>
        <item x="11"/>
        <item x="12"/>
        <item x="13"/>
        <item x="14"/>
        <item x="155"/>
        <item h="1" x="45"/>
        <item x="15"/>
        <item x="176"/>
        <item x="177"/>
        <item x="19"/>
        <item x="101"/>
        <item x="175"/>
        <item x="89"/>
        <item x="90"/>
        <item h="1" x="49"/>
        <item h="1" x="48"/>
        <item x="91"/>
        <item x="146"/>
        <item x="185"/>
        <item x="196"/>
        <item h="1" x="50"/>
        <item x="147"/>
        <item x="211"/>
        <item x="212"/>
        <item x="117"/>
        <item x="197"/>
        <item x="198"/>
        <item x="94"/>
        <item x="130"/>
        <item x="3"/>
        <item x="92"/>
        <item x="148"/>
        <item h="1" x="0"/>
        <item t="default"/>
      </items>
    </pivotField>
    <pivotField showAll="0"/>
    <pivotField showAll="0"/>
    <pivotField showAll="0"/>
    <pivotField showAll="0"/>
    <pivotField showAll="0"/>
    <pivotField axis="axisPage" multipleItemSelectionAllowed="1" showAll="0">
      <items count="31">
        <item x="0"/>
        <item x="7"/>
        <item x="22"/>
        <item x="11"/>
        <item x="25"/>
        <item x="18"/>
        <item x="2"/>
        <item x="1"/>
        <item x="26"/>
        <item x="21"/>
        <item x="24"/>
        <item x="3"/>
        <item x="4"/>
        <item x="6"/>
        <item x="13"/>
        <item x="12"/>
        <item x="9"/>
        <item x="17"/>
        <item x="19"/>
        <item x="20"/>
        <item x="23"/>
        <item x="27"/>
        <item m="1" x="28"/>
        <item x="8"/>
        <item x="10"/>
        <item m="1" x="29"/>
        <item x="5"/>
        <item x="15"/>
        <item x="14"/>
        <item x="16"/>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3">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rowItems>
  <colFields count="1">
    <field x="5"/>
  </colFields>
  <colItems count="1">
    <i>
      <x v="140"/>
    </i>
  </colItems>
  <pageFields count="1">
    <pageField fld="11" hier="-1"/>
  </pageFields>
  <dataFields count="53">
    <dataField name="Jul-28" fld="12" subtotal="average" baseField="5" baseItem="0"/>
    <dataField name="Jul-29" fld="13" subtotal="average" baseField="5" baseItem="0"/>
    <dataField name="Jul-30" fld="14" subtotal="average" baseField="5" baseItem="41"/>
    <dataField name="Jul-31" fld="15" subtotal="average" baseField="5" baseItem="41"/>
    <dataField name="Aug-1" fld="16" subtotal="average" baseField="5" baseItem="41"/>
    <dataField name="Aug-2" fld="17" subtotal="average" baseField="5" baseItem="41"/>
    <dataField name="Aug-3" fld="18" subtotal="average" baseField="5" baseItem="41"/>
    <dataField name="Aug-4" fld="19" subtotal="average" baseField="5" baseItem="41"/>
    <dataField name="Aug-5" fld="20" subtotal="average" baseField="5" baseItem="41"/>
    <dataField name="Aug-6" fld="21" subtotal="average" baseField="5" baseItem="23"/>
    <dataField name="Aug-7" fld="22" subtotal="average" baseField="5" baseItem="23"/>
    <dataField name="Aug-8" fld="23" subtotal="average" baseField="5" baseItem="23"/>
    <dataField name="Aug-9" fld="24" subtotal="average" baseField="5" baseItem="102"/>
    <dataField name="Aug-10" fld="25" subtotal="average" baseField="5" baseItem="11"/>
    <dataField name="Aug-11" fld="26" subtotal="average" baseField="5" baseItem="102"/>
    <dataField name="Aug-12" fld="27" subtotal="average" baseField="5" baseItem="102"/>
    <dataField name="Aug-13" fld="28" subtotal="average" baseField="5" baseItem="102"/>
    <dataField name="Aug-14" fld="29" subtotal="average" baseField="5" baseItem="11"/>
    <dataField name="Aug-15" fld="30" subtotal="average" baseField="0" baseItem="0"/>
    <dataField name="Aug-16" fld="31" subtotal="average" baseField="0" baseItem="0"/>
    <dataField name="Aug-17" fld="32" subtotal="average" baseField="0" baseItem="0"/>
    <dataField name="Aug-18" fld="33" subtotal="average" baseField="0" baseItem="0"/>
    <dataField name="Aug-19" fld="34" subtotal="average" baseField="5" baseItem="81"/>
    <dataField name="Aug-20" fld="35" subtotal="average" baseField="5" baseItem="81"/>
    <dataField name="Aug-21" fld="36" subtotal="average" baseField="5" baseItem="81"/>
    <dataField name="Aug-22" fld="37" subtotal="average" baseField="5" baseItem="81"/>
    <dataField name="Aug-23" fld="38" subtotal="average" baseField="5" baseItem="81"/>
    <dataField name="Aug-24" fld="39" subtotal="average" baseField="5" baseItem="68"/>
    <dataField name="Aug-25" fld="40" subtotal="average" baseField="5" baseItem="126"/>
    <dataField name="Aug-26" fld="41" subtotal="average" baseField="5" baseItem="126"/>
    <dataField name="Aug-27" fld="42" subtotal="average" baseField="5" baseItem="126"/>
    <dataField name="Aug-28" fld="43" subtotal="average" baseField="5" baseItem="126"/>
    <dataField name="Aug-29" fld="44" subtotal="average" baseField="5" baseItem="126"/>
    <dataField name="Aug-30" fld="45" subtotal="average" baseField="5" baseItem="126"/>
    <dataField name="Aug-31" fld="46" subtotal="average" baseField="5" baseItem="126"/>
    <dataField name="Sept-1" fld="47" subtotal="average" baseField="5" baseItem="126" numFmtId="168"/>
    <dataField name="Sept-2" fld="48" subtotal="average" baseField="0" baseItem="0"/>
    <dataField name="Sept-3" fld="49" subtotal="average" baseField="0" baseItem="0"/>
    <dataField name="Sept-4" fld="50" subtotal="average" baseField="0" baseItem="0"/>
    <dataField name="Sept-5" fld="51" subtotal="count" baseField="0" baseItem="0"/>
    <dataField name="Sept-6" fld="52" subtotal="average" baseField="5" baseItem="18"/>
    <dataField name="Sept-7" fld="53" subtotal="average" baseField="5" baseItem="18"/>
    <dataField name="Sept-8" fld="54" subtotal="average" baseField="0" baseItem="930021376"/>
    <dataField name="Sept-9" fld="55" subtotal="average" baseField="0" baseItem="930021376"/>
    <dataField name="Sept-10" fld="56" subtotal="average" baseField="0" baseItem="930021376"/>
    <dataField name="Sept-11" fld="57" subtotal="average" baseField="0" baseItem="930021376"/>
    <dataField name="Sept-12" fld="58" subtotal="average" baseField="0" baseItem="930021376"/>
    <dataField name="Sept-13" fld="59" subtotal="count" baseField="0" baseItem="0"/>
    <dataField name="Sept-14" fld="60" subtotal="average" baseField="0" baseItem="0"/>
    <dataField name="Sept-15" fld="61" subtotal="average" baseField="0" baseItem="0"/>
    <dataField name="Sept-16" fld="62" subtotal="average" baseField="0" baseItem="0"/>
    <dataField name="Sept-17" fld="63" subtotal="average" baseField="0" baseItem="0"/>
    <dataField name="Sept-18" fld="64" subtotal="average" baseField="0" baseItem="0"/>
  </dataFields>
  <formats count="2">
    <format dxfId="3">
      <pivotArea dataOnly="0" labelOnly="1" outline="0" fieldPosition="0">
        <references count="1">
          <reference field="4294967294" count="28">
            <x v="0"/>
            <x v="1"/>
            <x v="2"/>
            <x v="3"/>
            <x v="4"/>
            <x v="5"/>
            <x v="6"/>
            <x v="7"/>
            <x v="8"/>
            <x v="9"/>
            <x v="10"/>
            <x v="11"/>
            <x v="12"/>
            <x v="13"/>
            <x v="14"/>
            <x v="15"/>
            <x v="16"/>
            <x v="17"/>
            <x v="18"/>
            <x v="19"/>
            <x v="20"/>
            <x v="21"/>
            <x v="22"/>
            <x v="23"/>
            <x v="24"/>
            <x v="25"/>
            <x v="26"/>
            <x v="27"/>
          </reference>
        </references>
      </pivotArea>
    </format>
    <format dxfId="2">
      <pivotArea outline="0" fieldPosition="0">
        <references count="1">
          <reference field="4294967294" count="1">
            <x v="35"/>
          </reference>
        </references>
      </pivotArea>
    </format>
  </formats>
  <chartFormats count="111">
    <chartFormat chart="4" format="486" series="1">
      <pivotArea type="data" outline="0" fieldPosition="0">
        <references count="1">
          <reference field="4294967294" count="1" selected="0">
            <x v="0"/>
          </reference>
        </references>
      </pivotArea>
    </chartFormat>
    <chartFormat chart="4" format="510" series="1">
      <pivotArea type="data" outline="0" fieldPosition="0">
        <references count="2">
          <reference field="4294967294" count="1" selected="0">
            <x v="0"/>
          </reference>
          <reference field="5" count="1" selected="0">
            <x v="23"/>
          </reference>
        </references>
      </pivotArea>
    </chartFormat>
    <chartFormat chart="4" format="511" series="1">
      <pivotArea type="data" outline="0" fieldPosition="0">
        <references count="2">
          <reference field="4294967294" count="1" selected="0">
            <x v="0"/>
          </reference>
          <reference field="5" count="1" selected="0">
            <x v="24"/>
          </reference>
        </references>
      </pivotArea>
    </chartFormat>
    <chartFormat chart="4" format="512" series="1">
      <pivotArea type="data" outline="0" fieldPosition="0">
        <references count="2">
          <reference field="4294967294" count="1" selected="0">
            <x v="0"/>
          </reference>
          <reference field="5" count="1" selected="0">
            <x v="25"/>
          </reference>
        </references>
      </pivotArea>
    </chartFormat>
    <chartFormat chart="4" format="513" series="1">
      <pivotArea type="data" outline="0" fieldPosition="0">
        <references count="2">
          <reference field="4294967294" count="1" selected="0">
            <x v="0"/>
          </reference>
          <reference field="5" count="1" selected="0">
            <x v="29"/>
          </reference>
        </references>
      </pivotArea>
    </chartFormat>
    <chartFormat chart="4" format="514" series="1">
      <pivotArea type="data" outline="0" fieldPosition="0">
        <references count="2">
          <reference field="4294967294" count="1" selected="0">
            <x v="0"/>
          </reference>
          <reference field="5" count="1" selected="0">
            <x v="46"/>
          </reference>
        </references>
      </pivotArea>
    </chartFormat>
    <chartFormat chart="4" format="515" series="1">
      <pivotArea type="data" outline="0" fieldPosition="0">
        <references count="2">
          <reference field="4294967294" count="1" selected="0">
            <x v="0"/>
          </reference>
          <reference field="5" count="1" selected="0">
            <x v="50"/>
          </reference>
        </references>
      </pivotArea>
    </chartFormat>
    <chartFormat chart="4" format="516" series="1">
      <pivotArea type="data" outline="0" fieldPosition="0">
        <references count="2">
          <reference field="4294967294" count="1" selected="0">
            <x v="0"/>
          </reference>
          <reference field="5" count="1" selected="0">
            <x v="52"/>
          </reference>
        </references>
      </pivotArea>
    </chartFormat>
    <chartFormat chart="4" format="517" series="1">
      <pivotArea type="data" outline="0" fieldPosition="0">
        <references count="2">
          <reference field="4294967294" count="1" selected="0">
            <x v="0"/>
          </reference>
          <reference field="5" count="1" selected="0">
            <x v="57"/>
          </reference>
        </references>
      </pivotArea>
    </chartFormat>
    <chartFormat chart="4" format="518" series="1">
      <pivotArea type="data" outline="0" fieldPosition="0">
        <references count="2">
          <reference field="4294967294" count="1" selected="0">
            <x v="0"/>
          </reference>
          <reference field="5" count="1" selected="0">
            <x v="83"/>
          </reference>
        </references>
      </pivotArea>
    </chartFormat>
    <chartFormat chart="4" format="519" series="1">
      <pivotArea type="data" outline="0" fieldPosition="0">
        <references count="2">
          <reference field="4294967294" count="1" selected="0">
            <x v="0"/>
          </reference>
          <reference field="5" count="1" selected="0">
            <x v="84"/>
          </reference>
        </references>
      </pivotArea>
    </chartFormat>
    <chartFormat chart="4" format="520" series="1">
      <pivotArea type="data" outline="0" fieldPosition="0">
        <references count="2">
          <reference field="4294967294" count="1" selected="0">
            <x v="0"/>
          </reference>
          <reference field="5" count="1" selected="0">
            <x v="85"/>
          </reference>
        </references>
      </pivotArea>
    </chartFormat>
    <chartFormat chart="4" format="521" series="1">
      <pivotArea type="data" outline="0" fieldPosition="0">
        <references count="2">
          <reference field="4294967294" count="1" selected="0">
            <x v="0"/>
          </reference>
          <reference field="5" count="1" selected="0">
            <x v="86"/>
          </reference>
        </references>
      </pivotArea>
    </chartFormat>
    <chartFormat chart="4" format="522" series="1">
      <pivotArea type="data" outline="0" fieldPosition="0">
        <references count="2">
          <reference field="4294967294" count="1" selected="0">
            <x v="0"/>
          </reference>
          <reference field="5" count="1" selected="0">
            <x v="96"/>
          </reference>
        </references>
      </pivotArea>
    </chartFormat>
    <chartFormat chart="4" format="523" series="1">
      <pivotArea type="data" outline="0" fieldPosition="0">
        <references count="2">
          <reference field="4294967294" count="1" selected="0">
            <x v="0"/>
          </reference>
          <reference field="5" count="1" selected="0">
            <x v="98"/>
          </reference>
        </references>
      </pivotArea>
    </chartFormat>
    <chartFormat chart="4" format="524" series="1">
      <pivotArea type="data" outline="0" fieldPosition="0">
        <references count="2">
          <reference field="4294967294" count="1" selected="0">
            <x v="0"/>
          </reference>
          <reference field="5" count="1" selected="0">
            <x v="103"/>
          </reference>
        </references>
      </pivotArea>
    </chartFormat>
    <chartFormat chart="4" format="525" series="1">
      <pivotArea type="data" outline="0" fieldPosition="0">
        <references count="2">
          <reference field="4294967294" count="1" selected="0">
            <x v="0"/>
          </reference>
          <reference field="5" count="1" selected="0">
            <x v="109"/>
          </reference>
        </references>
      </pivotArea>
    </chartFormat>
    <chartFormat chart="4" format="526" series="1">
      <pivotArea type="data" outline="0" fieldPosition="0">
        <references count="2">
          <reference field="4294967294" count="1" selected="0">
            <x v="0"/>
          </reference>
          <reference field="5" count="1" selected="0">
            <x v="113"/>
          </reference>
        </references>
      </pivotArea>
    </chartFormat>
    <chartFormat chart="4" format="527" series="1">
      <pivotArea type="data" outline="0" fieldPosition="0">
        <references count="2">
          <reference field="4294967294" count="1" selected="0">
            <x v="0"/>
          </reference>
          <reference field="5" count="1" selected="0">
            <x v="122"/>
          </reference>
        </references>
      </pivotArea>
    </chartFormat>
    <chartFormat chart="4" format="528" series="1">
      <pivotArea type="data" outline="0" fieldPosition="0">
        <references count="2">
          <reference field="4294967294" count="1" selected="0">
            <x v="0"/>
          </reference>
          <reference field="5" count="1" selected="0">
            <x v="123"/>
          </reference>
        </references>
      </pivotArea>
    </chartFormat>
    <chartFormat chart="4" format="529" series="1">
      <pivotArea type="data" outline="0" fieldPosition="0">
        <references count="2">
          <reference field="4294967294" count="1" selected="0">
            <x v="0"/>
          </reference>
          <reference field="5" count="1" selected="0">
            <x v="125"/>
          </reference>
        </references>
      </pivotArea>
    </chartFormat>
    <chartFormat chart="4" format="530" series="1">
      <pivotArea type="data" outline="0" fieldPosition="0">
        <references count="2">
          <reference field="4294967294" count="1" selected="0">
            <x v="0"/>
          </reference>
          <reference field="5" count="1" selected="0">
            <x v="128"/>
          </reference>
        </references>
      </pivotArea>
    </chartFormat>
    <chartFormat chart="4" format="531" series="1">
      <pivotArea type="data" outline="0" fieldPosition="0">
        <references count="2">
          <reference field="4294967294" count="1" selected="0">
            <x v="0"/>
          </reference>
          <reference field="5" count="1" selected="0">
            <x v="162"/>
          </reference>
        </references>
      </pivotArea>
    </chartFormat>
    <chartFormat chart="4" format="532" series="1">
      <pivotArea type="data" outline="0" fieldPosition="0">
        <references count="2">
          <reference field="4294967294" count="1" selected="0">
            <x v="0"/>
          </reference>
          <reference field="5" count="1" selected="0">
            <x v="170"/>
          </reference>
        </references>
      </pivotArea>
    </chartFormat>
    <chartFormat chart="4" format="533" series="1">
      <pivotArea type="data" outline="0" fieldPosition="0">
        <references count="2">
          <reference field="4294967294" count="1" selected="0">
            <x v="0"/>
          </reference>
          <reference field="5" count="1" selected="0">
            <x v="173"/>
          </reference>
        </references>
      </pivotArea>
    </chartFormat>
    <chartFormat chart="4" format="534" series="1">
      <pivotArea type="data" outline="0" fieldPosition="0">
        <references count="2">
          <reference field="4294967294" count="1" selected="0">
            <x v="0"/>
          </reference>
          <reference field="5" count="1" selected="0">
            <x v="174"/>
          </reference>
        </references>
      </pivotArea>
    </chartFormat>
    <chartFormat chart="4" format="535" series="1">
      <pivotArea type="data" outline="0" fieldPosition="0">
        <references count="2">
          <reference field="4294967294" count="1" selected="0">
            <x v="0"/>
          </reference>
          <reference field="5" count="1" selected="0">
            <x v="186"/>
          </reference>
        </references>
      </pivotArea>
    </chartFormat>
    <chartFormat chart="4" format="536" series="1">
      <pivotArea type="data" outline="0" fieldPosition="0">
        <references count="2">
          <reference field="4294967294" count="1" selected="0">
            <x v="0"/>
          </reference>
          <reference field="5" count="1" selected="0">
            <x v="195"/>
          </reference>
        </references>
      </pivotArea>
    </chartFormat>
    <chartFormat chart="4" format="537" series="1">
      <pivotArea type="data" outline="0" fieldPosition="0">
        <references count="2">
          <reference field="4294967294" count="1" selected="0">
            <x v="0"/>
          </reference>
          <reference field="5" count="1" selected="0">
            <x v="196"/>
          </reference>
        </references>
      </pivotArea>
    </chartFormat>
    <chartFormat chart="4" format="538" series="1">
      <pivotArea type="data" outline="0" fieldPosition="0">
        <references count="2">
          <reference field="4294967294" count="1" selected="0">
            <x v="0"/>
          </reference>
          <reference field="5" count="1" selected="0">
            <x v="201"/>
          </reference>
        </references>
      </pivotArea>
    </chartFormat>
    <chartFormat chart="4" format="539" series="1">
      <pivotArea type="data" outline="0" fieldPosition="0">
        <references count="2">
          <reference field="4294967294" count="1" selected="0">
            <x v="0"/>
          </reference>
          <reference field="5" count="1" selected="0">
            <x v="213"/>
          </reference>
        </references>
      </pivotArea>
    </chartFormat>
    <chartFormat chart="4" format="540" series="1">
      <pivotArea type="data" outline="0" fieldPosition="0">
        <references count="2">
          <reference field="4294967294" count="1" selected="0">
            <x v="0"/>
          </reference>
          <reference field="5" count="1" selected="0">
            <x v="11"/>
          </reference>
        </references>
      </pivotArea>
    </chartFormat>
    <chartFormat chart="4" format="541" series="1">
      <pivotArea type="data" outline="0" fieldPosition="0">
        <references count="2">
          <reference field="4294967294" count="1" selected="0">
            <x v="0"/>
          </reference>
          <reference field="5" count="1" selected="0">
            <x v="28"/>
          </reference>
        </references>
      </pivotArea>
    </chartFormat>
    <chartFormat chart="4" format="542" series="1">
      <pivotArea type="data" outline="0" fieldPosition="0">
        <references count="2">
          <reference field="4294967294" count="1" selected="0">
            <x v="0"/>
          </reference>
          <reference field="5" count="1" selected="0">
            <x v="74"/>
          </reference>
        </references>
      </pivotArea>
    </chartFormat>
    <chartFormat chart="4" format="543" series="1">
      <pivotArea type="data" outline="0" fieldPosition="0">
        <references count="2">
          <reference field="4294967294" count="1" selected="0">
            <x v="0"/>
          </reference>
          <reference field="5" count="1" selected="0">
            <x v="93"/>
          </reference>
        </references>
      </pivotArea>
    </chartFormat>
    <chartFormat chart="4" format="544" series="1">
      <pivotArea type="data" outline="0" fieldPosition="0">
        <references count="2">
          <reference field="4294967294" count="1" selected="0">
            <x v="0"/>
          </reference>
          <reference field="5" count="1" selected="0">
            <x v="127"/>
          </reference>
        </references>
      </pivotArea>
    </chartFormat>
    <chartFormat chart="4" format="545" series="1">
      <pivotArea type="data" outline="0" fieldPosition="0">
        <references count="2">
          <reference field="4294967294" count="1" selected="0">
            <x v="0"/>
          </reference>
          <reference field="5" count="1" selected="0">
            <x v="156"/>
          </reference>
        </references>
      </pivotArea>
    </chartFormat>
    <chartFormat chart="4" format="546" series="1">
      <pivotArea type="data" outline="0" fieldPosition="0">
        <references count="2">
          <reference field="4294967294" count="1" selected="0">
            <x v="0"/>
          </reference>
          <reference field="5" count="1" selected="0">
            <x v="160"/>
          </reference>
        </references>
      </pivotArea>
    </chartFormat>
    <chartFormat chart="4" format="547" series="1">
      <pivotArea type="data" outline="0" fieldPosition="0">
        <references count="2">
          <reference field="4294967294" count="1" selected="0">
            <x v="0"/>
          </reference>
          <reference field="5" count="1" selected="0">
            <x v="163"/>
          </reference>
        </references>
      </pivotArea>
    </chartFormat>
    <chartFormat chart="4" format="548" series="1">
      <pivotArea type="data" outline="0" fieldPosition="0">
        <references count="2">
          <reference field="4294967294" count="1" selected="0">
            <x v="0"/>
          </reference>
          <reference field="5" count="1" selected="0">
            <x v="167"/>
          </reference>
        </references>
      </pivotArea>
    </chartFormat>
    <chartFormat chart="4" format="549" series="1">
      <pivotArea type="data" outline="0" fieldPosition="0">
        <references count="2">
          <reference field="4294967294" count="1" selected="0">
            <x v="0"/>
          </reference>
          <reference field="5" count="1" selected="0">
            <x v="209"/>
          </reference>
        </references>
      </pivotArea>
    </chartFormat>
    <chartFormat chart="4" format="550" series="1">
      <pivotArea type="data" outline="0" fieldPosition="0">
        <references count="2">
          <reference field="4294967294" count="1" selected="0">
            <x v="0"/>
          </reference>
          <reference field="5" count="1" selected="0">
            <x v="188"/>
          </reference>
        </references>
      </pivotArea>
    </chartFormat>
    <chartFormat chart="4" format="551" series="1">
      <pivotArea type="data" outline="0" fieldPosition="0">
        <references count="2">
          <reference field="4294967294" count="1" selected="0">
            <x v="0"/>
          </reference>
          <reference field="5" count="1" selected="0">
            <x v="189"/>
          </reference>
        </references>
      </pivotArea>
    </chartFormat>
    <chartFormat chart="4" format="552" series="1">
      <pivotArea type="data" outline="0" fieldPosition="0">
        <references count="2">
          <reference field="4294967294" count="1" selected="0">
            <x v="0"/>
          </reference>
          <reference field="5" count="1" selected="0">
            <x v="192"/>
          </reference>
        </references>
      </pivotArea>
    </chartFormat>
    <chartFormat chart="4" format="553" series="1">
      <pivotArea type="data" outline="0" fieldPosition="0">
        <references count="2">
          <reference field="4294967294" count="1" selected="0">
            <x v="0"/>
          </reference>
          <reference field="5" count="1" selected="0">
            <x v="18"/>
          </reference>
        </references>
      </pivotArea>
    </chartFormat>
    <chartFormat chart="4" format="554" series="1">
      <pivotArea type="data" outline="0" fieldPosition="0">
        <references count="2">
          <reference field="4294967294" count="1" selected="0">
            <x v="0"/>
          </reference>
          <reference field="5" count="1" selected="0">
            <x v="62"/>
          </reference>
        </references>
      </pivotArea>
    </chartFormat>
    <chartFormat chart="4" format="555" series="1">
      <pivotArea type="data" outline="0" fieldPosition="0">
        <references count="2">
          <reference field="4294967294" count="1" selected="0">
            <x v="0"/>
          </reference>
          <reference field="5" count="1" selected="0">
            <x v="63"/>
          </reference>
        </references>
      </pivotArea>
    </chartFormat>
    <chartFormat chart="4" format="556" series="1">
      <pivotArea type="data" outline="0" fieldPosition="0">
        <references count="2">
          <reference field="4294967294" count="1" selected="0">
            <x v="0"/>
          </reference>
          <reference field="5" count="1" selected="0">
            <x v="64"/>
          </reference>
        </references>
      </pivotArea>
    </chartFormat>
    <chartFormat chart="4" format="557" series="1">
      <pivotArea type="data" outline="0" fieldPosition="0">
        <references count="2">
          <reference field="4294967294" count="1" selected="0">
            <x v="0"/>
          </reference>
          <reference field="5" count="1" selected="0">
            <x v="69"/>
          </reference>
        </references>
      </pivotArea>
    </chartFormat>
    <chartFormat chart="4" format="558" series="1">
      <pivotArea type="data" outline="0" fieldPosition="0">
        <references count="2">
          <reference field="4294967294" count="1" selected="0">
            <x v="0"/>
          </reference>
          <reference field="5" count="1" selected="0">
            <x v="102"/>
          </reference>
        </references>
      </pivotArea>
    </chartFormat>
    <chartFormat chart="4" format="559" series="1">
      <pivotArea type="data" outline="0" fieldPosition="0">
        <references count="2">
          <reference field="4294967294" count="1" selected="0">
            <x v="0"/>
          </reference>
          <reference field="5" count="1" selected="0">
            <x v="126"/>
          </reference>
        </references>
      </pivotArea>
    </chartFormat>
    <chartFormat chart="4" format="560" series="1">
      <pivotArea type="data" outline="0" fieldPosition="0">
        <references count="2">
          <reference field="4294967294" count="1" selected="0">
            <x v="0"/>
          </reference>
          <reference field="5" count="1" selected="0">
            <x v="147"/>
          </reference>
        </references>
      </pivotArea>
    </chartFormat>
    <chartFormat chart="4" format="561" series="1">
      <pivotArea type="data" outline="0" fieldPosition="0">
        <references count="2">
          <reference field="4294967294" count="1" selected="0">
            <x v="0"/>
          </reference>
          <reference field="5" count="1" selected="0">
            <x v="154"/>
          </reference>
        </references>
      </pivotArea>
    </chartFormat>
    <chartFormat chart="4" format="562" series="1">
      <pivotArea type="data" outline="0" fieldPosition="0">
        <references count="2">
          <reference field="4294967294" count="1" selected="0">
            <x v="0"/>
          </reference>
          <reference field="5" count="1" selected="0">
            <x v="166"/>
          </reference>
        </references>
      </pivotArea>
    </chartFormat>
    <chartFormat chart="4" format="563" series="1">
      <pivotArea type="data" outline="0" fieldPosition="0">
        <references count="2">
          <reference field="4294967294" count="1" selected="0">
            <x v="0"/>
          </reference>
          <reference field="5" count="1" selected="0">
            <x v="129"/>
          </reference>
        </references>
      </pivotArea>
    </chartFormat>
    <chartFormat chart="4" format="565" series="1">
      <pivotArea type="data" outline="0" fieldPosition="0">
        <references count="2">
          <reference field="4294967294" count="1" selected="0">
            <x v="0"/>
          </reference>
          <reference field="5" count="1" selected="0">
            <x v="54"/>
          </reference>
        </references>
      </pivotArea>
    </chartFormat>
    <chartFormat chart="4" format="566" series="1">
      <pivotArea type="data" outline="0" fieldPosition="0">
        <references count="2">
          <reference field="4294967294" count="1" selected="0">
            <x v="0"/>
          </reference>
          <reference field="5" count="1" selected="0">
            <x v="73"/>
          </reference>
        </references>
      </pivotArea>
    </chartFormat>
    <chartFormat chart="4" format="567" series="1">
      <pivotArea type="data" outline="0" fieldPosition="0">
        <references count="2">
          <reference field="4294967294" count="1" selected="0">
            <x v="0"/>
          </reference>
          <reference field="5" count="1" selected="0">
            <x v="81"/>
          </reference>
        </references>
      </pivotArea>
    </chartFormat>
    <chartFormat chart="4" format="568" series="1">
      <pivotArea type="data" outline="0" fieldPosition="0">
        <references count="2">
          <reference field="4294967294" count="1" selected="0">
            <x v="0"/>
          </reference>
          <reference field="5" count="1" selected="0">
            <x v="82"/>
          </reference>
        </references>
      </pivotArea>
    </chartFormat>
    <chartFormat chart="4" format="569" series="1">
      <pivotArea type="data" outline="0" fieldPosition="0">
        <references count="2">
          <reference field="4294967294" count="1" selected="0">
            <x v="0"/>
          </reference>
          <reference field="5" count="1" selected="0">
            <x v="89"/>
          </reference>
        </references>
      </pivotArea>
    </chartFormat>
    <chartFormat chart="4" format="570" series="1">
      <pivotArea type="data" outline="0" fieldPosition="0">
        <references count="2">
          <reference field="4294967294" count="1" selected="0">
            <x v="0"/>
          </reference>
          <reference field="5" count="1" selected="0">
            <x v="90"/>
          </reference>
        </references>
      </pivotArea>
    </chartFormat>
    <chartFormat chart="4" format="571" series="1">
      <pivotArea type="data" outline="0" fieldPosition="0">
        <references count="2">
          <reference field="4294967294" count="1" selected="0">
            <x v="0"/>
          </reference>
          <reference field="5" count="1" selected="0">
            <x v="91"/>
          </reference>
        </references>
      </pivotArea>
    </chartFormat>
    <chartFormat chart="4" format="572" series="1">
      <pivotArea type="data" outline="0" fieldPosition="0">
        <references count="2">
          <reference field="4294967294" count="1" selected="0">
            <x v="0"/>
          </reference>
          <reference field="5" count="1" selected="0">
            <x v="92"/>
          </reference>
        </references>
      </pivotArea>
    </chartFormat>
    <chartFormat chart="4" format="573" series="1">
      <pivotArea type="data" outline="0" fieldPosition="0">
        <references count="2">
          <reference field="4294967294" count="1" selected="0">
            <x v="0"/>
          </reference>
          <reference field="5" count="1" selected="0">
            <x v="158"/>
          </reference>
        </references>
      </pivotArea>
    </chartFormat>
    <chartFormat chart="4" format="574" series="1">
      <pivotArea type="data" outline="0" fieldPosition="0">
        <references count="2">
          <reference field="4294967294" count="1" selected="0">
            <x v="0"/>
          </reference>
          <reference field="5" count="1" selected="0">
            <x v="159"/>
          </reference>
        </references>
      </pivotArea>
    </chartFormat>
    <chartFormat chart="4" format="575" series="1">
      <pivotArea type="data" outline="0" fieldPosition="0">
        <references count="2">
          <reference field="4294967294" count="1" selected="0">
            <x v="0"/>
          </reference>
          <reference field="5" count="1" selected="0">
            <x v="171"/>
          </reference>
        </references>
      </pivotArea>
    </chartFormat>
    <chartFormat chart="4" format="576" series="1">
      <pivotArea type="data" outline="0" fieldPosition="0">
        <references count="2">
          <reference field="4294967294" count="1" selected="0">
            <x v="0"/>
          </reference>
          <reference field="5" count="1" selected="0">
            <x v="176"/>
          </reference>
        </references>
      </pivotArea>
    </chartFormat>
    <chartFormat chart="4" format="577" series="1">
      <pivotArea type="data" outline="0" fieldPosition="0">
        <references count="2">
          <reference field="4294967294" count="1" selected="0">
            <x v="0"/>
          </reference>
          <reference field="5" count="1" selected="0">
            <x v="198"/>
          </reference>
        </references>
      </pivotArea>
    </chartFormat>
    <chartFormat chart="4" format="578" series="1">
      <pivotArea type="data" outline="0" fieldPosition="0">
        <references count="2">
          <reference field="4294967294" count="1" selected="0">
            <x v="0"/>
          </reference>
          <reference field="5" count="1" selected="0">
            <x v="202"/>
          </reference>
        </references>
      </pivotArea>
    </chartFormat>
    <chartFormat chart="4" format="579" series="1">
      <pivotArea type="data" outline="0" fieldPosition="0">
        <references count="2">
          <reference field="4294967294" count="1" selected="0">
            <x v="0"/>
          </reference>
          <reference field="5" count="1" selected="0">
            <x v="212"/>
          </reference>
        </references>
      </pivotArea>
    </chartFormat>
    <chartFormat chart="4" format="580" series="1">
      <pivotArea type="data" outline="0" fieldPosition="0">
        <references count="2">
          <reference field="4294967294" count="1" selected="0">
            <x v="0"/>
          </reference>
          <reference field="5" count="1" selected="0">
            <x v="68"/>
          </reference>
        </references>
      </pivotArea>
    </chartFormat>
    <chartFormat chart="4" format="581" series="1">
      <pivotArea type="data" outline="0" fieldPosition="0">
        <references count="2">
          <reference field="4294967294" count="1" selected="0">
            <x v="0"/>
          </reference>
          <reference field="5" count="1" selected="0">
            <x v="70"/>
          </reference>
        </references>
      </pivotArea>
    </chartFormat>
    <chartFormat chart="4" format="582" series="1">
      <pivotArea type="data" outline="0" fieldPosition="0">
        <references count="2">
          <reference field="4294967294" count="1" selected="0">
            <x v="0"/>
          </reference>
          <reference field="5" count="1" selected="0">
            <x v="71"/>
          </reference>
        </references>
      </pivotArea>
    </chartFormat>
    <chartFormat chart="4" format="583" series="1">
      <pivotArea type="data" outline="0" fieldPosition="0">
        <references count="2">
          <reference field="4294967294" count="1" selected="0">
            <x v="0"/>
          </reference>
          <reference field="5" count="1" selected="0">
            <x v="72"/>
          </reference>
        </references>
      </pivotArea>
    </chartFormat>
    <chartFormat chart="4" format="584" series="1">
      <pivotArea type="data" outline="0" fieldPosition="0">
        <references count="2">
          <reference field="4294967294" count="1" selected="0">
            <x v="0"/>
          </reference>
          <reference field="5" count="1" selected="0">
            <x v="105"/>
          </reference>
        </references>
      </pivotArea>
    </chartFormat>
    <chartFormat chart="4" format="585" series="1">
      <pivotArea type="data" outline="0" fieldPosition="0">
        <references count="2">
          <reference field="4294967294" count="1" selected="0">
            <x v="0"/>
          </reference>
          <reference field="5" count="1" selected="0">
            <x v="161"/>
          </reference>
        </references>
      </pivotArea>
    </chartFormat>
    <chartFormat chart="4" format="586" series="1">
      <pivotArea type="data" outline="0" fieldPosition="0">
        <references count="2">
          <reference field="4294967294" count="1" selected="0">
            <x v="0"/>
          </reference>
          <reference field="5" count="1" selected="0">
            <x v="177"/>
          </reference>
        </references>
      </pivotArea>
    </chartFormat>
    <chartFormat chart="4" format="587" series="1">
      <pivotArea type="data" outline="0" fieldPosition="0">
        <references count="2">
          <reference field="4294967294" count="1" selected="0">
            <x v="0"/>
          </reference>
          <reference field="5" count="1" selected="0">
            <x v="178"/>
          </reference>
        </references>
      </pivotArea>
    </chartFormat>
    <chartFormat chart="4" format="588" series="1">
      <pivotArea type="data" outline="0" fieldPosition="0">
        <references count="2">
          <reference field="4294967294" count="1" selected="0">
            <x v="0"/>
          </reference>
          <reference field="5" count="1" selected="0">
            <x v="179"/>
          </reference>
        </references>
      </pivotArea>
    </chartFormat>
    <chartFormat chart="4" format="589" series="1">
      <pivotArea type="data" outline="0" fieldPosition="0">
        <references count="2">
          <reference field="4294967294" count="1" selected="0">
            <x v="0"/>
          </reference>
          <reference field="5" count="1" selected="0">
            <x v="180"/>
          </reference>
        </references>
      </pivotArea>
    </chartFormat>
    <chartFormat chart="4" format="590" series="1">
      <pivotArea type="data" outline="0" fieldPosition="0">
        <references count="2">
          <reference field="4294967294" count="1" selected="0">
            <x v="0"/>
          </reference>
          <reference field="5" count="1" selected="0">
            <x v="181"/>
          </reference>
        </references>
      </pivotArea>
    </chartFormat>
    <chartFormat chart="4" format="591" series="1">
      <pivotArea type="data" outline="0" fieldPosition="0">
        <references count="2">
          <reference field="4294967294" count="1" selected="0">
            <x v="0"/>
          </reference>
          <reference field="5" count="1" selected="0">
            <x v="182"/>
          </reference>
        </references>
      </pivotArea>
    </chartFormat>
    <chartFormat chart="4" format="592" series="1">
      <pivotArea type="data" outline="0" fieldPosition="0">
        <references count="2">
          <reference field="4294967294" count="1" selected="0">
            <x v="0"/>
          </reference>
          <reference field="5" count="1" selected="0">
            <x v="183"/>
          </reference>
        </references>
      </pivotArea>
    </chartFormat>
    <chartFormat chart="4" format="593" series="1">
      <pivotArea type="data" outline="0" fieldPosition="0">
        <references count="2">
          <reference field="4294967294" count="1" selected="0">
            <x v="0"/>
          </reference>
          <reference field="5" count="1" selected="0">
            <x v="184"/>
          </reference>
        </references>
      </pivotArea>
    </chartFormat>
    <chartFormat chart="4" format="594" series="1">
      <pivotArea type="data" outline="0" fieldPosition="0">
        <references count="2">
          <reference field="4294967294" count="1" selected="0">
            <x v="0"/>
          </reference>
          <reference field="5" count="1" selected="0">
            <x v="187"/>
          </reference>
        </references>
      </pivotArea>
    </chartFormat>
    <chartFormat chart="4" format="595" series="1">
      <pivotArea type="data" outline="0" fieldPosition="0">
        <references count="2">
          <reference field="4294967294" count="1" selected="0">
            <x v="0"/>
          </reference>
          <reference field="5" count="1" selected="0">
            <x v="190"/>
          </reference>
        </references>
      </pivotArea>
    </chartFormat>
    <chartFormat chart="4" format="596" series="1">
      <pivotArea type="data" outline="0" fieldPosition="0">
        <references count="2">
          <reference field="4294967294" count="1" selected="0">
            <x v="0"/>
          </reference>
          <reference field="5" count="1" selected="0">
            <x v="124"/>
          </reference>
        </references>
      </pivotArea>
    </chartFormat>
    <chartFormat chart="4" format="597" series="1">
      <pivotArea type="data" outline="0" fieldPosition="0">
        <references count="2">
          <reference field="4294967294" count="1" selected="0">
            <x v="0"/>
          </reference>
          <reference field="5" count="1" selected="0">
            <x v="131"/>
          </reference>
        </references>
      </pivotArea>
    </chartFormat>
    <chartFormat chart="4" format="598" series="1">
      <pivotArea type="data" outline="0" fieldPosition="0">
        <references count="2">
          <reference field="4294967294" count="1" selected="0">
            <x v="0"/>
          </reference>
          <reference field="5" count="1" selected="0">
            <x v="132"/>
          </reference>
        </references>
      </pivotArea>
    </chartFormat>
    <chartFormat chart="4" format="599" series="1">
      <pivotArea type="data" outline="0" fieldPosition="0">
        <references count="2">
          <reference field="4294967294" count="1" selected="0">
            <x v="0"/>
          </reference>
          <reference field="5" count="1" selected="0">
            <x v="200"/>
          </reference>
        </references>
      </pivotArea>
    </chartFormat>
    <chartFormat chart="4" format="600" series="1">
      <pivotArea type="data" outline="0" fieldPosition="0">
        <references count="2">
          <reference field="4294967294" count="1" selected="0">
            <x v="0"/>
          </reference>
          <reference field="5" count="1" selected="0">
            <x v="21"/>
          </reference>
        </references>
      </pivotArea>
    </chartFormat>
    <chartFormat chart="4" format="601" series="1">
      <pivotArea type="data" outline="0" fieldPosition="0">
        <references count="2">
          <reference field="4294967294" count="1" selected="0">
            <x v="0"/>
          </reference>
          <reference field="5" count="1" selected="0">
            <x v="44"/>
          </reference>
        </references>
      </pivotArea>
    </chartFormat>
    <chartFormat chart="4" format="602" series="1">
      <pivotArea type="data" outline="0" fieldPosition="0">
        <references count="2">
          <reference field="4294967294" count="1" selected="0">
            <x v="0"/>
          </reference>
          <reference field="5" count="1" selected="0">
            <x v="55"/>
          </reference>
        </references>
      </pivotArea>
    </chartFormat>
    <chartFormat chart="4" format="603" series="1">
      <pivotArea type="data" outline="0" fieldPosition="0">
        <references count="2">
          <reference field="4294967294" count="1" selected="0">
            <x v="0"/>
          </reference>
          <reference field="5" count="1" selected="0">
            <x v="60"/>
          </reference>
        </references>
      </pivotArea>
    </chartFormat>
    <chartFormat chart="4" format="604" series="1">
      <pivotArea type="data" outline="0" fieldPosition="0">
        <references count="2">
          <reference field="4294967294" count="1" selected="0">
            <x v="0"/>
          </reference>
          <reference field="5" count="1" selected="0">
            <x v="106"/>
          </reference>
        </references>
      </pivotArea>
    </chartFormat>
    <chartFormat chart="4" format="605" series="1">
      <pivotArea type="data" outline="0" fieldPosition="0">
        <references count="2">
          <reference field="4294967294" count="1" selected="0">
            <x v="0"/>
          </reference>
          <reference field="5" count="1" selected="0">
            <x v="115"/>
          </reference>
        </references>
      </pivotArea>
    </chartFormat>
    <chartFormat chart="4" format="606" series="1">
      <pivotArea type="data" outline="0" fieldPosition="0">
        <references count="2">
          <reference field="4294967294" count="1" selected="0">
            <x v="0"/>
          </reference>
          <reference field="5" count="1" selected="0">
            <x v="116"/>
          </reference>
        </references>
      </pivotArea>
    </chartFormat>
    <chartFormat chart="4" format="607" series="1">
      <pivotArea type="data" outline="0" fieldPosition="0">
        <references count="2">
          <reference field="4294967294" count="1" selected="0">
            <x v="0"/>
          </reference>
          <reference field="5" count="1" selected="0">
            <x v="144"/>
          </reference>
        </references>
      </pivotArea>
    </chartFormat>
    <chartFormat chart="4" format="608" series="1">
      <pivotArea type="data" outline="0" fieldPosition="0">
        <references count="2">
          <reference field="4294967294" count="1" selected="0">
            <x v="0"/>
          </reference>
          <reference field="5" count="1" selected="0">
            <x v="152"/>
          </reference>
        </references>
      </pivotArea>
    </chartFormat>
    <chartFormat chart="4" format="609" series="1">
      <pivotArea type="data" outline="0" fieldPosition="0">
        <references count="2">
          <reference field="4294967294" count="1" selected="0">
            <x v="0"/>
          </reference>
          <reference field="5" count="1" selected="0">
            <x v="203"/>
          </reference>
        </references>
      </pivotArea>
    </chartFormat>
    <chartFormat chart="4" format="610" series="1">
      <pivotArea type="data" outline="0" fieldPosition="0">
        <references count="2">
          <reference field="4294967294" count="1" selected="0">
            <x v="0"/>
          </reference>
          <reference field="5" count="1" selected="0">
            <x v="204"/>
          </reference>
        </references>
      </pivotArea>
    </chartFormat>
    <chartFormat chart="4" format="611" series="1">
      <pivotArea type="data" outline="0" fieldPosition="0">
        <references count="2">
          <reference field="4294967294" count="1" selected="0">
            <x v="0"/>
          </reference>
          <reference field="5" count="1" selected="0">
            <x v="206"/>
          </reference>
        </references>
      </pivotArea>
    </chartFormat>
    <chartFormat chart="4" format="612" series="1">
      <pivotArea type="data" outline="0" fieldPosition="0">
        <references count="2">
          <reference field="4294967294" count="1" selected="0">
            <x v="0"/>
          </reference>
          <reference field="5" count="1" selected="0">
            <x v="207"/>
          </reference>
        </references>
      </pivotArea>
    </chartFormat>
    <chartFormat chart="4" format="613" series="1">
      <pivotArea type="data" outline="0" fieldPosition="0">
        <references count="2">
          <reference field="4294967294" count="1" selected="0">
            <x v="0"/>
          </reference>
          <reference field="5" count="1" selected="0">
            <x v="9"/>
          </reference>
        </references>
      </pivotArea>
    </chartFormat>
    <chartFormat chart="4" format="614" series="1">
      <pivotArea type="data" outline="0" fieldPosition="0">
        <references count="2">
          <reference field="4294967294" count="1" selected="0">
            <x v="0"/>
          </reference>
          <reference field="5" count="1" selected="0">
            <x v="12"/>
          </reference>
        </references>
      </pivotArea>
    </chartFormat>
    <chartFormat chart="4" format="615" series="1">
      <pivotArea type="data" outline="0" fieldPosition="0">
        <references count="2">
          <reference field="4294967294" count="1" selected="0">
            <x v="0"/>
          </reference>
          <reference field="5" count="1" selected="0">
            <x v="13"/>
          </reference>
        </references>
      </pivotArea>
    </chartFormat>
    <chartFormat chart="4" format="616" series="1">
      <pivotArea type="data" outline="0" fieldPosition="0">
        <references count="2">
          <reference field="4294967294" count="1" selected="0">
            <x v="0"/>
          </reference>
          <reference field="5" count="1" selected="0">
            <x v="36"/>
          </reference>
        </references>
      </pivotArea>
    </chartFormat>
    <chartFormat chart="4" format="617" series="1">
      <pivotArea type="data" outline="0" fieldPosition="0">
        <references count="2">
          <reference field="4294967294" count="1" selected="0">
            <x v="0"/>
          </reference>
          <reference field="5" count="1" selected="0">
            <x v="41"/>
          </reference>
        </references>
      </pivotArea>
    </chartFormat>
    <chartFormat chart="4" format="618" series="1">
      <pivotArea type="data" outline="0" fieldPosition="0">
        <references count="2">
          <reference field="4294967294" count="1" selected="0">
            <x v="0"/>
          </reference>
          <reference field="5" count="1" selected="0">
            <x v="77"/>
          </reference>
        </references>
      </pivotArea>
    </chartFormat>
    <chartFormat chart="4" format="619" series="1">
      <pivotArea type="data" outline="0" fieldPosition="0">
        <references count="2">
          <reference field="4294967294" count="1" selected="0">
            <x v="0"/>
          </reference>
          <reference field="5" count="1" selected="0">
            <x v="108"/>
          </reference>
        </references>
      </pivotArea>
    </chartFormat>
    <chartFormat chart="4" format="620" series="1">
      <pivotArea type="data" outline="0" fieldPosition="0">
        <references count="2">
          <reference field="4294967294" count="1" selected="0">
            <x v="0"/>
          </reference>
          <reference field="5" count="1" selected="0">
            <x v="19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4A871C-0C0C-4981-982E-C31C5912F6FE}" sourceName="REGION">
  <pivotTables>
    <pivotTable tabId="12" name="PivotTable36"/>
  </pivotTables>
  <data>
    <tabular pivotCacheId="1669784777">
      <items count="4">
        <i x="1" s="1"/>
        <i x="3" s="1" nd="1"/>
        <i x="2"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RIETY" xr10:uid="{8D1F4B62-E9F9-4C09-92A2-046C6EBB547E}" sourceName="VARIETY">
  <pivotTables>
    <pivotTable tabId="12" name="PivotTable36"/>
  </pivotTables>
  <data>
    <tabular pivotCacheId="1669784777">
      <items count="33">
        <i x="0" s="1"/>
        <i x="1"/>
        <i x="2"/>
        <i x="3"/>
        <i x="4"/>
        <i x="5"/>
        <i x="6"/>
        <i x="7"/>
        <i x="8"/>
        <i x="9"/>
        <i x="10"/>
        <i x="11"/>
        <i x="12"/>
        <i x="13"/>
        <i x="14"/>
        <i x="15"/>
        <i x="16"/>
        <i x="17"/>
        <i x="18"/>
        <i x="19"/>
        <i x="20"/>
        <i x="21"/>
        <i x="22"/>
        <i x="23"/>
        <i x="25"/>
        <i x="27"/>
        <i x="28"/>
        <i x="29"/>
        <i x="30"/>
        <i x="31"/>
        <i x="32"/>
        <i x="24" nd="1"/>
        <i x="2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ERY" xr10:uid="{ED65E2B2-1104-4D7D-B250-8B5170EC2D42}" sourceName="WINERY">
  <pivotTables>
    <pivotTable tabId="12" name="PivotTable36"/>
  </pivotTables>
  <data>
    <tabular pivotCacheId="1669784777">
      <items count="30">
        <i x="1" s="1"/>
        <i x="0" s="1" nd="1"/>
        <i x="7" s="1" nd="1"/>
        <i x="22" s="1" nd="1"/>
        <i x="20" s="1" nd="1"/>
        <i x="19" s="1" nd="1"/>
        <i x="11" s="1" nd="1"/>
        <i x="25" s="1" nd="1"/>
        <i x="18" s="1" nd="1"/>
        <i x="2" s="1" nd="1"/>
        <i x="28" s="1" nd="1"/>
        <i x="9" s="1" nd="1"/>
        <i x="10" s="1" nd="1"/>
        <i x="16" s="1" nd="1"/>
        <i x="15" s="1" nd="1"/>
        <i x="29" s="1" nd="1"/>
        <i x="5" s="1" nd="1"/>
        <i x="27" s="1" nd="1"/>
        <i x="26" s="1" nd="1"/>
        <i x="3" s="1" nd="1"/>
        <i x="17" s="1" nd="1"/>
        <i x="23" s="1" nd="1"/>
        <i x="21" s="1" nd="1"/>
        <i x="8" s="1" nd="1"/>
        <i x="12" s="1" nd="1"/>
        <i x="13" s="1" nd="1"/>
        <i x="4" s="1" nd="1"/>
        <i x="6" s="1" nd="1"/>
        <i x="14" s="1" nd="1"/>
        <i x="2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DE" xr10:uid="{15C9FC92-12EA-49AF-AF60-E6870F90708E}" sourceName="CODE">
  <pivotTables>
    <pivotTable tabId="12" name="PivotTable36"/>
  </pivotTables>
  <data>
    <tabular pivotCacheId="1669784777">
      <items count="214">
        <i x="1" s="1"/>
        <i x="52" s="1" nd="1"/>
        <i x="53" s="1" nd="1"/>
        <i x="97" s="1" nd="1"/>
        <i x="54" s="1" nd="1"/>
        <i x="55" s="1" nd="1"/>
        <i x="56" s="1" nd="1"/>
        <i x="104" s="1" nd="1"/>
        <i x="149" s="1" nd="1"/>
        <i x="57" s="1" nd="1"/>
        <i x="199" s="1" nd="1"/>
        <i x="20" s="1" nd="1"/>
        <i x="22" nd="1"/>
        <i x="200" s="1" nd="1"/>
        <i x="201" s="1" nd="1"/>
        <i x="105" s="1" nd="1"/>
        <i x="58" s="1" nd="1"/>
        <i x="59" s="1" nd="1"/>
        <i x="156" s="1" nd="1"/>
        <i x="165" s="1" nd="1"/>
        <i x="61" s="1" nd="1"/>
        <i x="157" s="1" nd="1"/>
        <i x="204" s="1" nd="1"/>
        <i x="62" s="1" nd="1"/>
        <i x="23" s="1" nd="1"/>
        <i x="24" nd="1"/>
        <i x="25" s="1" nd="1"/>
        <i x="63" s="1" nd="1"/>
        <i x="189" s="1" nd="1"/>
        <i x="122" s="1" nd="1"/>
        <i x="26" nd="1"/>
        <i x="107" s="1" nd="1"/>
        <i x="179" s="1" nd="1"/>
        <i x="158" s="1" nd="1"/>
        <i x="150" s="1" nd="1"/>
        <i x="151" s="1" nd="1"/>
        <i x="152" s="1" nd="1"/>
        <i x="5" s="1" nd="1"/>
        <i x="64" s="1" nd="1"/>
        <i x="106" s="1" nd="1"/>
        <i x="60" s="1" nd="1"/>
        <i x="108" s="1" nd="1"/>
        <i x="6" s="1" nd="1"/>
        <i x="109" s="1" nd="1"/>
        <i x="110" s="1" nd="1"/>
        <i x="205" s="1" nd="1"/>
        <i x="65" s="1" nd="1"/>
        <i x="28" nd="1"/>
        <i x="66" s="1" nd="1"/>
        <i x="111" s="1" nd="1"/>
        <i x="98" s="1" nd="1"/>
        <i x="27" s="1" nd="1"/>
        <i x="67" s="1" nd="1"/>
        <i x="29" s="1" nd="1"/>
        <i x="68" s="1" nd="1"/>
        <i x="163" s="1" nd="1"/>
        <i x="206" s="1" nd="1"/>
        <i x="69" s="1" nd="1"/>
        <i x="30" s="1" nd="1"/>
        <i x="70" s="1" nd="1"/>
        <i x="71" s="1" nd="1"/>
        <i x="207" s="1" nd="1"/>
        <i x="119" s="1" nd="1"/>
        <i x="167" s="1" nd="1"/>
        <i x="168" s="1" nd="1"/>
        <i x="169" s="1" nd="1"/>
        <i x="190" s="1" nd="1"/>
        <i x="102" s="1" nd="1"/>
        <i x="103" s="1" nd="1"/>
        <i x="131" s="1" nd="1"/>
        <i x="166" s="1" nd="1"/>
        <i x="132" s="1" nd="1"/>
        <i x="133" s="1" nd="1"/>
        <i x="134" s="1" nd="1"/>
        <i x="135" s="1" nd="1"/>
        <i x="123" s="1" nd="1"/>
        <i x="188" s="1" nd="1"/>
        <i x="186" s="1" nd="1"/>
        <i x="99" s="1" nd="1"/>
        <i x="112" s="1" nd="1"/>
        <i x="113" s="1" nd="1"/>
        <i x="181" s="1" nd="1"/>
        <i x="136" s="1" nd="1"/>
        <i x="140" s="1" nd="1"/>
        <i x="32" nd="1"/>
        <i x="33" s="1" nd="1"/>
        <i x="34" nd="1"/>
        <i x="35" nd="1"/>
        <i x="8" s="1" nd="1"/>
        <i x="178" s="1" nd="1"/>
        <i x="141" s="1" nd="1"/>
        <i x="137" s="1" nd="1"/>
        <i x="138" s="1" nd="1"/>
        <i x="139" s="1" nd="1"/>
        <i x="124" s="1" nd="1"/>
        <i x="191" s="1" nd="1"/>
        <i x="7" s="1" nd="1"/>
        <i x="31" nd="1"/>
        <i x="2" s="1" nd="1"/>
        <i x="51" nd="1"/>
        <i x="72" s="1" nd="1"/>
        <i x="73" s="1" nd="1"/>
        <i x="74" s="1" nd="1"/>
        <i x="174" s="1" nd="1"/>
        <i x="43" nd="1"/>
        <i x="95" s="1" nd="1"/>
        <i x="96" s="1" nd="1"/>
        <i x="202" s="1" nd="1"/>
        <i x="182" s="1" nd="1"/>
        <i x="100" s="1" nd="1"/>
        <i x="36" nd="1"/>
        <i x="114" s="1" nd="1"/>
        <i x="153" s="1" nd="1"/>
        <i x="76" s="1" nd="1"/>
        <i x="192" s="1" nd="1"/>
        <i x="208" s="1" nd="1"/>
        <i x="37" nd="1"/>
        <i x="203" s="1" nd="1"/>
        <i x="77" s="1" nd="1"/>
        <i x="78" s="1" nd="1"/>
        <i x="183" s="1" nd="1"/>
        <i x="159" s="1" nd="1"/>
        <i x="154" s="1" nd="1"/>
        <i x="38" nd="1"/>
        <i x="39" nd="1"/>
        <i x="193" s="1" nd="1"/>
        <i x="40" s="1" nd="1"/>
        <i x="170" s="1" nd="1"/>
        <i x="125" s="1" nd="1"/>
        <i x="41" s="1" nd="1"/>
        <i x="164" s="1" nd="1"/>
        <i x="180" s="1" nd="1"/>
        <i x="194" s="1" nd="1"/>
        <i x="195" s="1" nd="1"/>
        <i x="79" s="1" nd="1"/>
        <i x="82" s="1" nd="1"/>
        <i x="21" s="1" nd="1"/>
        <i x="161" s="1" nd="1"/>
        <i x="83" s="1" nd="1"/>
        <i x="84" s="1" nd="1"/>
        <i x="118" s="1" nd="1"/>
        <i x="121" s="1" nd="1"/>
        <i x="93" s="1" nd="1"/>
        <i x="120" s="1" nd="1"/>
        <i x="210" s="1" nd="1"/>
        <i x="4" s="1" nd="1"/>
        <i x="85" s="1" nd="1"/>
        <i x="172" s="1" nd="1"/>
        <i x="160" s="1" nd="1"/>
        <i x="80" s="1" nd="1"/>
        <i x="115" s="1" nd="1"/>
        <i x="184" s="1" nd="1"/>
        <i x="209" s="1" nd="1"/>
        <i x="81" s="1" nd="1"/>
        <i x="171" s="1" nd="1"/>
        <i x="86" s="1" nd="1"/>
        <i x="126" s="1" nd="1"/>
        <i x="187" s="1" nd="1"/>
        <i x="144" s="1" nd="1"/>
        <i x="145" s="1" nd="1"/>
        <i x="129" s="1" nd="1"/>
        <i x="9" s="1" nd="1"/>
        <i x="42" nd="1"/>
        <i x="127" s="1" nd="1"/>
        <i x="75" s="1" nd="1"/>
        <i x="87" s="1" nd="1"/>
        <i x="173" s="1" nd="1"/>
        <i x="128" s="1" nd="1"/>
        <i x="88" s="1" nd="1"/>
        <i x="162" s="1" nd="1"/>
        <i x="46" nd="1"/>
        <i x="143" s="1" nd="1"/>
        <i x="116" s="1" nd="1"/>
        <i x="47" nd="1"/>
        <i x="44" nd="1"/>
        <i x="213" nd="1"/>
        <i x="142" s="1" nd="1"/>
        <i x="16" s="1" nd="1"/>
        <i x="17" s="1" nd="1"/>
        <i x="18" s="1" nd="1"/>
        <i x="10" s="1" nd="1"/>
        <i x="11" s="1" nd="1"/>
        <i x="12" s="1" nd="1"/>
        <i x="13" s="1" nd="1"/>
        <i x="14" s="1" nd="1"/>
        <i x="155" s="1" nd="1"/>
        <i x="45" nd="1"/>
        <i x="15" s="1" nd="1"/>
        <i x="176" s="1" nd="1"/>
        <i x="177" s="1" nd="1"/>
        <i x="19" s="1" nd="1"/>
        <i x="101" s="1" nd="1"/>
        <i x="175" s="1" nd="1"/>
        <i x="89" s="1" nd="1"/>
        <i x="90" s="1" nd="1"/>
        <i x="49" nd="1"/>
        <i x="48" nd="1"/>
        <i x="91" s="1" nd="1"/>
        <i x="146" s="1" nd="1"/>
        <i x="185" s="1" nd="1"/>
        <i x="196" s="1" nd="1"/>
        <i x="50" nd="1"/>
        <i x="147" s="1" nd="1"/>
        <i x="211" s="1" nd="1"/>
        <i x="212" s="1" nd="1"/>
        <i x="117" s="1" nd="1"/>
        <i x="197" s="1" nd="1"/>
        <i x="198" s="1" nd="1"/>
        <i x="94" s="1" nd="1"/>
        <i x="130" s="1" nd="1"/>
        <i x="3" s="1" nd="1"/>
        <i x="92" s="1" nd="1"/>
        <i x="148" s="1" nd="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6F38AF2-D37B-4395-841B-4C5F4D327E91}" cache="Slicer_REGION" caption="REGION" columnCount="3" style="SlicerStyleOther2" rowHeight="273050"/>
  <slicer name="VARIETY" xr10:uid="{B30ECE6F-511D-4BD3-AD5A-583A638E9EA0}" cache="Slicer_VARIETY" caption="VARIETY" columnCount="4" style="SlicerStyleOther2" rowHeight="273050"/>
  <slicer name="WINERY" xr10:uid="{1F1BE2CD-8877-4EE2-A685-FC1E57946842}" cache="Slicer_WINERY" caption="WINERY" columnCount="4" rowHeight="273050"/>
  <slicer name="CODE" xr10:uid="{1512CDB5-BAAC-4A20-B5FC-B25DA271C9C1}" cache="Slicer_CODE" caption="CODE" columnCount="7" rowHeight="2730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56" dT="2023-06-05T21:25:20.63" personId="{82DC23F8-4FAE-441A-985F-2CDC7ECB79B7}" id="{BA7B48A3-3C54-47E1-BD60-1398E30B0421}">
    <text>All</text>
  </threadedComment>
  <threadedComment ref="K57" dT="2023-06-05T21:25:20.63" personId="{82DC23F8-4FAE-441A-985F-2CDC7ECB79B7}" id="{76DD352F-5378-400F-B85F-9369BABE642C}">
    <text>All</text>
  </threadedComment>
  <threadedComment ref="K61" dT="2023-06-05T21:12:53.75" personId="{82DC23F8-4FAE-441A-985F-2CDC7ECB79B7}" id="{FCAF57F4-72FD-4DB7-852F-3E91CD84A2FC}">
    <text>150 T 18-20; 24 or 48 T 17-18</text>
  </threadedComment>
  <threadedComment ref="K62" dT="2023-06-05T21:12:53.75" personId="{82DC23F8-4FAE-441A-985F-2CDC7ECB79B7}" id="{5641A385-20C1-4D3A-ABA0-716815AE92DD}">
    <text>150 T 18-20; 24 or 48 T 17-18</text>
  </threadedComment>
  <threadedComment ref="K63" dT="2023-06-05T21:12:53.75" personId="{82DC23F8-4FAE-441A-985F-2CDC7ECB79B7}" id="{D819112B-8831-4715-B695-669C8B792ADD}">
    <text>150 T 18-20; 24 or 48 T 17-18</text>
  </threadedComment>
  <threadedComment ref="K64" dT="2023-06-05T21:12:53.75" personId="{82DC23F8-4FAE-441A-985F-2CDC7ECB79B7}" id="{6B5D6BD2-F83F-404C-B7BC-CDF95D844CA7}">
    <text>150 T 18-20; 24 or 48 T 17-18</text>
  </threadedComment>
  <threadedComment ref="K65" dT="2023-06-05T21:12:53.75" personId="{82DC23F8-4FAE-441A-985F-2CDC7ECB79B7}" id="{5D595D73-1F8B-4CA9-B2C0-F78370B9401F}">
    <text>150 T 18-20; 24 or 48 T 17-18</text>
  </threadedComment>
  <threadedComment ref="K73" dT="2023-06-05T21:13:57.45" personId="{82DC23F8-4FAE-441A-985F-2CDC7ECB79B7}" id="{C4BB2177-BB5F-47CE-B07E-25F7F5085131}">
    <text>44 T 17.5-19.5, remaining 21-22.5</text>
  </threadedComment>
  <threadedComment ref="K74" dT="2023-06-05T21:13:57.45" personId="{82DC23F8-4FAE-441A-985F-2CDC7ECB79B7}" id="{B9F9AC68-FD4C-4648-BEF6-9563B59E4E99}">
    <text>44 T 17.5-19.5, remaining 21-22.5</text>
  </threadedComment>
  <threadedComment ref="K75" dT="2023-06-05T21:13:57.45" personId="{82DC23F8-4FAE-441A-985F-2CDC7ECB79B7}" id="{288B9CD8-67CF-449D-838B-DD6FA739E007}">
    <text>44 T 17.5-19.5, remaining 21-22.5</text>
  </threadedComment>
  <threadedComment ref="K76" dT="2023-06-05T21:13:57.45" personId="{82DC23F8-4FAE-441A-985F-2CDC7ECB79B7}" id="{08336E3E-3345-48E2-908D-BC5B564F81CE}">
    <text>44 T 17.5-19.5, remaining 21-22.5</text>
  </threadedComment>
  <threadedComment ref="K77" dT="2023-06-05T21:13:57.45" personId="{82DC23F8-4FAE-441A-985F-2CDC7ECB79B7}" id="{8BB53838-291D-4B2B-9CD1-F5D5DB29F73C}">
    <text>44 T 17.5-19.5, remaining 21-22.5</text>
  </threadedComment>
  <threadedComment ref="BH166" dT="2023-09-19T21:19:38.39" personId="{82DC23F8-4FAE-441A-985F-2CDC7ECB79B7}" id="{4BF92524-C03D-4079-848C-F52583124E97}">
    <text>Full block constellation number</text>
  </threadedComment>
  <threadedComment ref="BN186" dT="2023-09-18T20:14:41.83" personId="{82DC23F8-4FAE-441A-985F-2CDC7ECB79B7}" id="{050694F7-6005-E64C-9D61-F4E343127140}">
    <text>Combined bucket sample</text>
  </threadedComment>
  <threadedComment ref="K244" dT="2023-06-05T21:27:26.27" personId="{82DC23F8-4FAE-441A-985F-2CDC7ECB79B7}" id="{3689B686-78BC-45EB-BBDA-A0F57759AB1E}">
    <text>90 T low brix to LTW</text>
  </threadedComment>
  <threadedComment ref="K245" dT="2023-06-05T21:27:26.27" personId="{82DC23F8-4FAE-441A-985F-2CDC7ECB79B7}" id="{0FC9316D-5863-438E-B746-7D68AF52B009}">
    <text>90 T low brix to LTW</text>
  </threadedComment>
  <threadedComment ref="K246" dT="2023-06-05T21:27:26.27" personId="{82DC23F8-4FAE-441A-985F-2CDC7ECB79B7}" id="{58185669-86D4-4930-8505-C11FD07E663D}">
    <text>90 T low brix to LTW</text>
  </threadedComment>
  <threadedComment ref="K269" dT="2023-06-05T21:26:06.81" personId="{82DC23F8-4FAE-441A-985F-2CDC7ECB79B7}" id="{10A90A11-3B17-4AE8-8358-6E0C69C45A37}">
    <text>All</text>
  </threadedComment>
  <threadedComment ref="K270" dT="2023-06-05T21:25:45.32" personId="{82DC23F8-4FAE-441A-985F-2CDC7ECB79B7}" id="{795A9840-734D-44C6-8FFD-9A3ABFD3D8D7}">
    <text>All</text>
  </threadedComment>
  <threadedComment ref="K307" dT="2023-06-05T21:29:34.63" personId="{82DC23F8-4FAE-441A-985F-2CDC7ECB79B7}" id="{923C1ED2-1226-4EEA-A6BA-12AB4C17EE69}">
    <text>All</text>
  </threadedComment>
  <threadedComment ref="K308" dT="2023-06-05T21:29:04.04" personId="{82DC23F8-4FAE-441A-985F-2CDC7ECB79B7}" id="{AB75C886-EDBE-4928-88C0-747B55407315}">
    <text>Some at 17.5-19.5 and approx 100 T at 21.5-22.5</text>
  </threadedComment>
  <threadedComment ref="K309" dT="2023-06-05T21:29:04.04" personId="{82DC23F8-4FAE-441A-985F-2CDC7ECB79B7}" id="{C4903C85-806D-437B-A763-AD81E108D283}">
    <text>Some at 17.5-19.5 and approx 100 T at 21.5-22.5</text>
  </threadedComment>
  <threadedComment ref="K310" dT="2023-06-05T21:29:04.04" personId="{82DC23F8-4FAE-441A-985F-2CDC7ECB79B7}" id="{11ABB2D9-6C20-4654-AF4D-778CAD0DD153}">
    <text>Some at 17.5-19.5 and approx 100 T at 21.5-22.5</text>
  </threadedComment>
  <threadedComment ref="BU373" dT="2023-09-25T23:35:05.06" personId="{82DC23F8-4FAE-441A-985F-2CDC7ECB79B7}" id="{518347F1-8500-564B-9E87-3FF30AEB73DD}">
    <text>Average of 2 buckets 24.6 (south facing side of vines) 22.2 (north facing)</text>
  </threadedComment>
  <threadedComment ref="BW376" dT="2023-09-27T22:33:08.30" personId="{82DC23F8-4FAE-441A-985F-2CDC7ECB79B7}" id="{FB4AB61C-84F2-C844-A498-7BA96DE69994}">
    <text>Average of 2 buckets: 22.3 North side of the vine / 22.7 south side</text>
  </threadedComment>
  <threadedComment ref="K384" dT="2023-06-05T21:31:04.83" personId="{82DC23F8-4FAE-441A-985F-2CDC7ECB79B7}" id="{2244B118-9F4B-4453-A7F8-45E46E5C03AD}">
    <text>80T at 17.5-19.5 and 190T at 21.5-22.5</text>
  </threadedComment>
  <threadedComment ref="K385" dT="2023-06-05T21:31:04.83" personId="{82DC23F8-4FAE-441A-985F-2CDC7ECB79B7}" id="{4A329CE3-C728-45C3-846A-29697A204DFC}">
    <text>80T at 17.5-19.5 and 190T at 21.5-22.5</text>
  </threadedComment>
  <threadedComment ref="K386" dT="2023-06-05T21:31:04.83" personId="{82DC23F8-4FAE-441A-985F-2CDC7ECB79B7}" id="{F1F8FC1D-2E16-4322-8C11-3FC64C41D994}">
    <text>80T at 17.5-19.5 and 190T at 21.5-22.5</text>
  </threadedComment>
</ThreadedComments>
</file>

<file path=xl/threadedComments/threadedComment2.xml><?xml version="1.0" encoding="utf-8"?>
<ThreadedComments xmlns="http://schemas.microsoft.com/office/spreadsheetml/2018/threadedcomments" xmlns:x="http://schemas.openxmlformats.org/spreadsheetml/2006/main">
  <threadedComment ref="AD5" dT="2023-08-14T01:51:05.72" personId="{82DC23F8-4FAE-441A-985F-2CDC7ECB79B7}" id="{AED69B4E-1320-42A0-9319-03AF605420F7}">
    <text>Sampled 8/10 switching next sample to 8/15 and replacing with muchmore.</text>
  </threadedComment>
  <threadedComment ref="AD37" dT="2023-08-10T23:11:08.44" personId="{FD3ADA49-0E68-47B6-B8EB-1B526E888299}" id="{FD41F1C1-C119-4160-957F-DA4CE60CD2AA}">
    <text>Big crop here. Want to see how it compares to others.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H393"/>
  <sheetViews>
    <sheetView zoomScaleNormal="100" zoomScaleSheetLayoutView="110" workbookViewId="0">
      <pane xSplit="13" ySplit="4" topLeftCell="BY118" activePane="bottomRight" state="frozen"/>
      <selection pane="topRight" activeCell="F1" sqref="F1"/>
      <selection pane="bottomLeft" activeCell="A3" sqref="A3"/>
      <selection pane="bottomRight" activeCell="J298" sqref="J298"/>
    </sheetView>
  </sheetViews>
  <sheetFormatPr defaultColWidth="9" defaultRowHeight="15.6" outlineLevelRow="1" x14ac:dyDescent="0.3"/>
  <cols>
    <col min="1" max="1" width="7" style="121" customWidth="1"/>
    <col min="2" max="2" width="5.88671875" style="121" hidden="1" customWidth="1"/>
    <col min="3" max="3" width="6.5546875" style="118" customWidth="1"/>
    <col min="4" max="4" width="7.109375" style="118" hidden="1" customWidth="1"/>
    <col min="5" max="5" width="15.33203125" style="123" customWidth="1"/>
    <col min="6" max="6" width="19.5546875" style="123" customWidth="1"/>
    <col min="7" max="7" width="39.88671875" style="116" customWidth="1"/>
    <col min="8" max="8" width="7.44140625" style="116" hidden="1" customWidth="1"/>
    <col min="9" max="9" width="9" style="206" customWidth="1"/>
    <col min="10" max="10" width="10.88671875" style="172" customWidth="1"/>
    <col min="11" max="11" width="10" style="122" customWidth="1"/>
    <col min="12" max="12" width="7.109375" style="122" customWidth="1"/>
    <col min="13" max="13" width="15.33203125" style="123" customWidth="1"/>
    <col min="14" max="14" width="7.109375" style="125" customWidth="1"/>
    <col min="15" max="15" width="6.88671875" style="126" customWidth="1"/>
    <col min="16" max="26" width="6.88671875" style="120" customWidth="1"/>
    <col min="27" max="27" width="7.88671875" style="120" customWidth="1"/>
    <col min="28" max="46" width="6.88671875" style="120" customWidth="1"/>
    <col min="47" max="47" width="6.88671875" style="127" customWidth="1"/>
    <col min="48" max="48" width="6.88671875" style="119" customWidth="1"/>
    <col min="49" max="54" width="6.88671875" style="120" customWidth="1"/>
    <col min="55" max="55" width="6.88671875" style="119" customWidth="1"/>
    <col min="56" max="60" width="6.88671875" style="120" customWidth="1"/>
    <col min="61" max="62" width="6.88671875" style="119" customWidth="1"/>
    <col min="63" max="67" width="6.88671875" style="120" customWidth="1"/>
    <col min="68" max="68" width="6.88671875" style="124" customWidth="1"/>
    <col min="69" max="69" width="6.88671875" style="119" customWidth="1"/>
    <col min="70" max="79" width="6.88671875" style="120" customWidth="1"/>
    <col min="80" max="80" width="8.109375" style="120" customWidth="1"/>
    <col min="81" max="81" width="6.88671875" style="408" customWidth="1"/>
    <col min="82" max="83" width="6.88671875" style="119" customWidth="1"/>
    <col min="84" max="88" width="6.88671875" style="120" customWidth="1"/>
    <col min="89" max="90" width="6.88671875" style="119" customWidth="1"/>
    <col min="91" max="95" width="6.88671875" style="120" customWidth="1"/>
    <col min="96" max="97" width="6.88671875" style="119" customWidth="1"/>
    <col min="98" max="99" width="6.88671875" style="120" customWidth="1"/>
    <col min="100" max="120" width="6.88671875" style="119" customWidth="1"/>
    <col min="121" max="16384" width="9" style="116"/>
  </cols>
  <sheetData>
    <row r="1" spans="1:137" s="188" customFormat="1" ht="33.9" customHeight="1" x14ac:dyDescent="0.3">
      <c r="A1" s="187"/>
      <c r="B1" s="132"/>
      <c r="D1" s="278"/>
      <c r="E1" s="253"/>
      <c r="G1" s="438" t="s">
        <v>0</v>
      </c>
      <c r="H1" s="439"/>
      <c r="I1" s="438"/>
      <c r="J1" s="438"/>
      <c r="K1" s="438"/>
      <c r="L1" s="438"/>
      <c r="M1" s="440"/>
      <c r="N1" s="436"/>
      <c r="O1" s="436"/>
      <c r="P1" s="437"/>
      <c r="Q1" s="437"/>
      <c r="R1" s="437"/>
      <c r="S1" s="437"/>
      <c r="T1" s="437"/>
      <c r="U1" s="437"/>
      <c r="V1" s="437"/>
      <c r="W1" s="291"/>
      <c r="X1" s="291"/>
      <c r="Y1" s="291"/>
      <c r="Z1" s="291"/>
      <c r="AA1" s="291"/>
      <c r="AB1" s="292"/>
      <c r="AC1" s="212"/>
      <c r="AD1" s="212"/>
      <c r="AE1" s="212"/>
      <c r="AF1" s="212"/>
      <c r="AG1" s="212"/>
      <c r="AH1" s="212"/>
      <c r="AI1" s="212"/>
      <c r="AJ1" s="212"/>
      <c r="AK1" s="212"/>
      <c r="AL1" s="213"/>
      <c r="AM1" s="213"/>
      <c r="AN1" s="213"/>
      <c r="AO1" s="213"/>
      <c r="AP1" s="213"/>
      <c r="AQ1" s="213"/>
      <c r="AR1" s="213"/>
      <c r="AS1" s="213"/>
      <c r="AT1" s="213"/>
      <c r="AU1" s="213"/>
      <c r="AV1" s="213"/>
      <c r="AW1" s="213"/>
      <c r="AX1" s="213"/>
      <c r="AY1" s="213"/>
      <c r="AZ1" s="213"/>
      <c r="BA1" s="213"/>
      <c r="BB1" s="213"/>
      <c r="BC1" s="213"/>
      <c r="BD1" s="213"/>
      <c r="BE1" s="213"/>
      <c r="BF1" s="213"/>
      <c r="BG1" s="213"/>
      <c r="BH1" s="213"/>
      <c r="BI1" s="213"/>
      <c r="BJ1" s="213"/>
      <c r="BK1" s="213"/>
      <c r="BL1" s="213"/>
      <c r="BM1" s="213"/>
      <c r="BN1" s="213"/>
      <c r="BO1" s="213"/>
      <c r="BP1" s="213"/>
      <c r="BQ1" s="213"/>
      <c r="BR1" s="213"/>
      <c r="BS1" s="213"/>
      <c r="BT1" s="213"/>
      <c r="BU1" s="213"/>
      <c r="BV1" s="213"/>
      <c r="BW1" s="213"/>
      <c r="BX1" s="213"/>
      <c r="BY1" s="213"/>
      <c r="BZ1" s="213"/>
      <c r="CA1" s="213"/>
      <c r="CB1" s="213"/>
      <c r="CC1" s="399"/>
      <c r="CD1" s="213"/>
      <c r="CE1" s="213"/>
      <c r="CF1" s="213"/>
      <c r="CG1" s="213"/>
      <c r="CH1" s="213"/>
      <c r="CI1" s="213"/>
      <c r="CJ1" s="213"/>
      <c r="CK1" s="213"/>
      <c r="CL1" s="213"/>
      <c r="CM1" s="213"/>
      <c r="CN1" s="213"/>
      <c r="CO1" s="213"/>
      <c r="CP1" s="213"/>
      <c r="CQ1" s="213"/>
      <c r="CR1" s="213"/>
      <c r="CS1" s="213"/>
      <c r="CT1" s="213"/>
      <c r="CU1" s="213"/>
      <c r="CV1" s="213"/>
      <c r="CW1" s="213"/>
      <c r="CX1" s="213"/>
      <c r="CY1" s="213"/>
      <c r="CZ1" s="213"/>
      <c r="DA1" s="213"/>
      <c r="DB1" s="213"/>
      <c r="DC1" s="213"/>
      <c r="DD1" s="213"/>
      <c r="DE1" s="213"/>
      <c r="DF1" s="213"/>
      <c r="DG1" s="213"/>
      <c r="DH1" s="213"/>
      <c r="DI1" s="213"/>
      <c r="DJ1" s="213"/>
      <c r="DK1" s="213"/>
      <c r="DL1" s="213"/>
      <c r="DM1" s="213"/>
      <c r="DN1" s="213"/>
      <c r="DO1" s="213"/>
      <c r="DP1" s="213"/>
      <c r="DQ1" s="213"/>
      <c r="DR1" s="213"/>
      <c r="DS1" s="213"/>
      <c r="DT1" s="213"/>
      <c r="DU1" s="213"/>
      <c r="DV1" s="213"/>
      <c r="DW1" s="213"/>
      <c r="DX1" s="213"/>
      <c r="DY1" s="214"/>
    </row>
    <row r="2" spans="1:137" s="117" customFormat="1" ht="19.2" customHeight="1" x14ac:dyDescent="0.3">
      <c r="A2" s="300"/>
      <c r="B2" s="133"/>
      <c r="C2" s="253"/>
      <c r="D2" s="279"/>
      <c r="E2" s="253"/>
      <c r="F2" s="253"/>
      <c r="G2" s="441"/>
      <c r="H2" s="442"/>
      <c r="I2" s="441"/>
      <c r="J2" s="441"/>
      <c r="K2" s="441"/>
      <c r="L2" s="441"/>
      <c r="M2" s="443"/>
      <c r="N2" s="293"/>
      <c r="O2" s="293"/>
      <c r="P2" s="294"/>
      <c r="Q2" s="294"/>
      <c r="R2" s="294"/>
      <c r="S2" s="293"/>
      <c r="T2" s="293"/>
      <c r="U2" s="293"/>
      <c r="V2" s="293"/>
      <c r="W2" s="293"/>
      <c r="X2" s="293"/>
      <c r="Y2" s="295"/>
      <c r="Z2" s="295"/>
      <c r="AA2" s="295"/>
      <c r="AB2" s="188"/>
      <c r="AL2" s="301"/>
      <c r="AM2" s="301"/>
      <c r="AN2" s="301"/>
      <c r="AO2" s="301"/>
      <c r="AP2" s="301"/>
      <c r="AQ2" s="301"/>
      <c r="AR2" s="301"/>
      <c r="AS2" s="301"/>
      <c r="AT2" s="301"/>
      <c r="AU2" s="301"/>
      <c r="AV2" s="301"/>
      <c r="AW2" s="301"/>
      <c r="AX2" s="301"/>
      <c r="AY2" s="301"/>
      <c r="AZ2" s="301"/>
      <c r="BA2" s="301"/>
      <c r="BB2" s="301"/>
      <c r="BC2" s="301"/>
      <c r="BD2" s="301"/>
      <c r="BE2" s="301"/>
      <c r="BF2" s="301"/>
      <c r="BG2" s="301"/>
      <c r="BH2" s="301"/>
      <c r="BI2" s="301"/>
      <c r="BJ2" s="301"/>
      <c r="BK2" s="301"/>
      <c r="BL2" s="301"/>
      <c r="BM2" s="301"/>
      <c r="BN2" s="301"/>
      <c r="BO2" s="301"/>
      <c r="BP2" s="301"/>
      <c r="BQ2" s="301"/>
      <c r="BR2" s="301"/>
      <c r="BS2" s="301"/>
      <c r="BT2" s="301"/>
      <c r="BU2" s="301"/>
      <c r="BV2" s="301"/>
      <c r="BW2" s="301"/>
      <c r="BX2" s="301"/>
      <c r="BY2" s="301"/>
      <c r="BZ2" s="301"/>
      <c r="CA2" s="301"/>
      <c r="CB2" s="301"/>
      <c r="CC2" s="293"/>
      <c r="CD2" s="301"/>
      <c r="CE2" s="301"/>
      <c r="CF2" s="301"/>
      <c r="CG2" s="301"/>
      <c r="CH2" s="301"/>
      <c r="CI2" s="301"/>
      <c r="CJ2" s="301"/>
      <c r="CK2" s="301"/>
      <c r="CL2" s="301"/>
      <c r="CM2" s="301"/>
      <c r="CN2" s="301"/>
      <c r="CO2" s="301"/>
      <c r="CP2" s="301"/>
      <c r="CQ2" s="301"/>
      <c r="CR2" s="301"/>
      <c r="CS2" s="301"/>
      <c r="CT2" s="301"/>
      <c r="CU2" s="301"/>
      <c r="CV2" s="301"/>
      <c r="CW2" s="301"/>
      <c r="CX2" s="301"/>
      <c r="CY2" s="301"/>
      <c r="CZ2" s="301"/>
      <c r="DA2" s="301"/>
      <c r="DB2" s="301"/>
      <c r="DC2" s="301"/>
      <c r="DD2" s="301"/>
      <c r="DE2" s="301"/>
      <c r="DF2" s="301"/>
      <c r="DG2" s="301"/>
      <c r="DH2" s="301"/>
      <c r="DI2" s="301"/>
      <c r="DJ2" s="301"/>
      <c r="DK2" s="301"/>
      <c r="DL2" s="301"/>
      <c r="DM2" s="301"/>
      <c r="DN2" s="301"/>
      <c r="DO2" s="301"/>
      <c r="DP2" s="301"/>
      <c r="DQ2" s="301"/>
      <c r="DR2" s="301"/>
      <c r="DS2" s="301"/>
      <c r="DT2" s="301"/>
      <c r="DU2" s="301"/>
      <c r="DV2" s="301"/>
      <c r="DW2" s="301"/>
      <c r="DX2" s="301"/>
      <c r="DY2" s="302"/>
      <c r="DZ2" s="116"/>
      <c r="EA2" s="116"/>
      <c r="EB2" s="116"/>
      <c r="EC2" s="116"/>
      <c r="ED2" s="116"/>
      <c r="EE2" s="116"/>
      <c r="EF2" s="116"/>
      <c r="EG2" s="116"/>
    </row>
    <row r="3" spans="1:137" s="303" customFormat="1" ht="19.2" customHeight="1" x14ac:dyDescent="0.3">
      <c r="A3" s="311" t="s">
        <v>1</v>
      </c>
      <c r="B3" s="310"/>
      <c r="C3" s="434">
        <f ca="1">TODAY()</f>
        <v>45509</v>
      </c>
      <c r="D3" s="435"/>
      <c r="E3" s="434"/>
      <c r="F3" s="307"/>
      <c r="G3" s="308" t="s">
        <v>2</v>
      </c>
      <c r="H3" s="308"/>
      <c r="I3" s="432" t="s">
        <v>3</v>
      </c>
      <c r="J3" s="432"/>
      <c r="K3" s="433" t="s">
        <v>4</v>
      </c>
      <c r="L3" s="433"/>
      <c r="M3" s="309" t="s">
        <v>5</v>
      </c>
      <c r="N3" s="296"/>
      <c r="O3" s="296"/>
      <c r="P3" s="297"/>
      <c r="Q3" s="297"/>
      <c r="R3" s="297"/>
      <c r="S3" s="296"/>
      <c r="T3" s="296"/>
      <c r="U3" s="296"/>
      <c r="V3" s="296"/>
      <c r="W3" s="296"/>
      <c r="X3" s="296"/>
      <c r="Y3" s="298"/>
      <c r="Z3" s="298"/>
      <c r="AA3" s="298"/>
      <c r="AB3" s="299"/>
      <c r="AL3" s="301"/>
      <c r="AM3" s="301"/>
      <c r="AN3" s="301"/>
      <c r="AO3" s="301"/>
      <c r="AP3" s="301"/>
      <c r="AQ3" s="301"/>
      <c r="AR3" s="301"/>
      <c r="AS3" s="301"/>
      <c r="AT3" s="301"/>
      <c r="AU3" s="301"/>
      <c r="AV3" s="301"/>
      <c r="AW3" s="301"/>
      <c r="AX3" s="301"/>
      <c r="AY3" s="301"/>
      <c r="AZ3" s="301"/>
      <c r="BA3" s="301"/>
      <c r="BB3" s="301"/>
      <c r="BC3" s="301"/>
      <c r="BD3" s="301"/>
      <c r="BE3" s="301"/>
      <c r="BF3" s="301"/>
      <c r="BG3" s="301"/>
      <c r="BH3" s="301"/>
      <c r="BI3" s="301"/>
      <c r="BJ3" s="301"/>
      <c r="BK3" s="301"/>
      <c r="BL3" s="301"/>
      <c r="BM3" s="301"/>
      <c r="BN3" s="301"/>
      <c r="BO3" s="301"/>
      <c r="BP3" s="301"/>
      <c r="BQ3" s="301"/>
      <c r="BR3" s="301"/>
      <c r="BS3" s="301"/>
      <c r="BT3" s="301"/>
      <c r="BU3" s="301"/>
      <c r="BV3" s="301"/>
      <c r="BW3" s="301"/>
      <c r="BX3" s="301"/>
      <c r="BY3" s="301"/>
      <c r="BZ3" s="301"/>
      <c r="CA3" s="301"/>
      <c r="CB3" s="301"/>
      <c r="CC3" s="293"/>
      <c r="CD3" s="301"/>
      <c r="CE3" s="301"/>
      <c r="CF3" s="301"/>
      <c r="CG3" s="301"/>
      <c r="CH3" s="301"/>
      <c r="CI3" s="301"/>
      <c r="CJ3" s="301"/>
      <c r="CK3" s="301"/>
      <c r="CL3" s="301"/>
      <c r="CM3" s="301"/>
      <c r="CN3" s="301"/>
      <c r="CO3" s="301"/>
      <c r="CP3" s="301"/>
      <c r="CQ3" s="301"/>
      <c r="CR3" s="301"/>
      <c r="CS3" s="301"/>
      <c r="CT3" s="301"/>
      <c r="CU3" s="301"/>
      <c r="CV3" s="301"/>
      <c r="CW3" s="301"/>
      <c r="CX3" s="301"/>
      <c r="CY3" s="301"/>
      <c r="CZ3" s="301"/>
      <c r="DA3" s="301"/>
      <c r="DB3" s="301"/>
      <c r="DC3" s="301"/>
      <c r="DD3" s="301"/>
      <c r="DE3" s="301"/>
      <c r="DF3" s="301"/>
      <c r="DG3" s="301"/>
      <c r="DH3" s="301"/>
      <c r="DI3" s="301"/>
      <c r="DJ3" s="301"/>
      <c r="DK3" s="301"/>
      <c r="DL3" s="301"/>
      <c r="DM3" s="301"/>
      <c r="DN3" s="301"/>
      <c r="DO3" s="301"/>
      <c r="DP3" s="301"/>
      <c r="DQ3" s="301"/>
      <c r="DR3" s="301"/>
      <c r="DS3" s="301"/>
      <c r="DT3" s="301"/>
      <c r="DU3" s="301"/>
      <c r="DV3" s="301"/>
      <c r="DW3" s="301"/>
      <c r="DX3" s="301"/>
      <c r="DY3" s="301"/>
      <c r="DZ3" s="119"/>
      <c r="EA3" s="119"/>
      <c r="EB3" s="119"/>
      <c r="EC3" s="119"/>
      <c r="ED3" s="119"/>
      <c r="EE3" s="119"/>
      <c r="EF3" s="119"/>
      <c r="EG3" s="119"/>
    </row>
    <row r="4" spans="1:137" s="2" customFormat="1" ht="61.2" customHeight="1" x14ac:dyDescent="0.3">
      <c r="A4" s="388" t="s">
        <v>6</v>
      </c>
      <c r="B4" s="304" t="s">
        <v>7</v>
      </c>
      <c r="C4" s="388" t="s">
        <v>8</v>
      </c>
      <c r="D4" s="305" t="s">
        <v>9</v>
      </c>
      <c r="E4" s="388" t="s">
        <v>10</v>
      </c>
      <c r="F4" s="215" t="s">
        <v>11</v>
      </c>
      <c r="G4" s="216" t="s">
        <v>12</v>
      </c>
      <c r="H4" s="216" t="s">
        <v>13</v>
      </c>
      <c r="I4" s="216" t="s">
        <v>14</v>
      </c>
      <c r="J4" s="216" t="s">
        <v>15</v>
      </c>
      <c r="K4" s="217" t="s">
        <v>16</v>
      </c>
      <c r="L4" s="217" t="s">
        <v>17</v>
      </c>
      <c r="M4" s="216" t="s">
        <v>18</v>
      </c>
      <c r="N4" s="80">
        <v>45135</v>
      </c>
      <c r="O4" s="80">
        <v>45136</v>
      </c>
      <c r="P4" s="80">
        <v>45137</v>
      </c>
      <c r="Q4" s="80">
        <v>45138</v>
      </c>
      <c r="R4" s="80">
        <v>45139</v>
      </c>
      <c r="S4" s="80">
        <v>45140</v>
      </c>
      <c r="T4" s="80">
        <v>45141</v>
      </c>
      <c r="U4" s="80">
        <v>45142</v>
      </c>
      <c r="V4" s="80">
        <v>45143</v>
      </c>
      <c r="W4" s="80">
        <v>45144</v>
      </c>
      <c r="X4" s="80">
        <v>45145</v>
      </c>
      <c r="Y4" s="80">
        <v>45146</v>
      </c>
      <c r="Z4" s="80">
        <v>45147</v>
      </c>
      <c r="AA4" s="80">
        <v>45148</v>
      </c>
      <c r="AB4" s="80">
        <v>45149</v>
      </c>
      <c r="AC4" s="80">
        <v>45150</v>
      </c>
      <c r="AD4" s="80">
        <v>45151</v>
      </c>
      <c r="AE4" s="80">
        <v>45152</v>
      </c>
      <c r="AF4" s="80">
        <v>45153</v>
      </c>
      <c r="AG4" s="80">
        <v>45154</v>
      </c>
      <c r="AH4" s="80">
        <v>45155</v>
      </c>
      <c r="AI4" s="80">
        <v>45156</v>
      </c>
      <c r="AJ4" s="80">
        <v>45157</v>
      </c>
      <c r="AK4" s="80">
        <v>45158</v>
      </c>
      <c r="AL4" s="80">
        <v>45159</v>
      </c>
      <c r="AM4" s="80">
        <v>45160</v>
      </c>
      <c r="AN4" s="80">
        <v>45161</v>
      </c>
      <c r="AO4" s="80">
        <v>45162</v>
      </c>
      <c r="AP4" s="80">
        <v>45163</v>
      </c>
      <c r="AQ4" s="80">
        <v>45164</v>
      </c>
      <c r="AR4" s="80">
        <v>45165</v>
      </c>
      <c r="AS4" s="80">
        <v>45166</v>
      </c>
      <c r="AT4" s="80">
        <v>45167</v>
      </c>
      <c r="AU4" s="80">
        <v>45168</v>
      </c>
      <c r="AV4" s="80">
        <v>45169</v>
      </c>
      <c r="AW4" s="80">
        <v>45170</v>
      </c>
      <c r="AX4" s="80">
        <v>45171</v>
      </c>
      <c r="AY4" s="80">
        <v>45172</v>
      </c>
      <c r="AZ4" s="80">
        <v>45173</v>
      </c>
      <c r="BA4" s="80">
        <v>45174</v>
      </c>
      <c r="BB4" s="80">
        <v>45175</v>
      </c>
      <c r="BC4" s="80">
        <v>45176</v>
      </c>
      <c r="BD4" s="80">
        <v>45177</v>
      </c>
      <c r="BE4" s="80">
        <v>45178</v>
      </c>
      <c r="BF4" s="80">
        <v>45179</v>
      </c>
      <c r="BG4" s="80">
        <v>45180</v>
      </c>
      <c r="BH4" s="80">
        <v>45181</v>
      </c>
      <c r="BI4" s="80">
        <v>45182</v>
      </c>
      <c r="BJ4" s="80">
        <v>45183</v>
      </c>
      <c r="BK4" s="80">
        <v>45184</v>
      </c>
      <c r="BL4" s="80">
        <v>45185</v>
      </c>
      <c r="BM4" s="80">
        <v>45186</v>
      </c>
      <c r="BN4" s="80">
        <v>45187</v>
      </c>
      <c r="BO4" s="80">
        <v>45188</v>
      </c>
      <c r="BP4" s="80">
        <v>45189</v>
      </c>
      <c r="BQ4" s="80">
        <v>45190</v>
      </c>
      <c r="BR4" s="80">
        <v>45191</v>
      </c>
      <c r="BS4" s="80">
        <v>45192</v>
      </c>
      <c r="BT4" s="80">
        <v>45193</v>
      </c>
      <c r="BU4" s="80">
        <v>45194</v>
      </c>
      <c r="BV4" s="80">
        <v>45195</v>
      </c>
      <c r="BW4" s="80">
        <v>45196</v>
      </c>
      <c r="BX4" s="80">
        <v>45197</v>
      </c>
      <c r="BY4" s="80">
        <v>45198</v>
      </c>
      <c r="BZ4" s="80">
        <v>45199</v>
      </c>
      <c r="CA4" s="80">
        <v>45200</v>
      </c>
      <c r="CB4" s="80">
        <v>45201</v>
      </c>
      <c r="CC4" s="80">
        <v>45202</v>
      </c>
      <c r="CD4" s="80">
        <v>45203</v>
      </c>
      <c r="CE4" s="80">
        <v>45204</v>
      </c>
      <c r="CF4" s="80">
        <v>45205</v>
      </c>
      <c r="CG4" s="80">
        <v>45206</v>
      </c>
      <c r="CH4" s="80">
        <v>45207</v>
      </c>
      <c r="CI4" s="80">
        <v>45208</v>
      </c>
      <c r="CJ4" s="80">
        <v>45209</v>
      </c>
      <c r="CK4" s="80">
        <v>45210</v>
      </c>
      <c r="CL4" s="80">
        <v>45211</v>
      </c>
      <c r="CM4" s="80">
        <v>45212</v>
      </c>
      <c r="CN4" s="80">
        <v>45213</v>
      </c>
      <c r="CO4" s="80">
        <v>45214</v>
      </c>
      <c r="CP4" s="80">
        <v>45215</v>
      </c>
      <c r="CQ4" s="80">
        <v>45216</v>
      </c>
      <c r="CR4" s="80">
        <v>45217</v>
      </c>
      <c r="CS4" s="80">
        <v>45218</v>
      </c>
      <c r="CT4" s="80">
        <v>45219</v>
      </c>
      <c r="CU4" s="80">
        <v>45220</v>
      </c>
      <c r="CV4" s="80">
        <v>45221</v>
      </c>
      <c r="CW4" s="80">
        <v>45222</v>
      </c>
      <c r="CX4" s="80">
        <v>45223</v>
      </c>
      <c r="CY4" s="80">
        <v>45224</v>
      </c>
      <c r="CZ4" s="80">
        <v>45225</v>
      </c>
      <c r="DA4" s="80">
        <v>45226</v>
      </c>
      <c r="DB4" s="80">
        <v>45227</v>
      </c>
      <c r="DC4" s="80">
        <v>45228</v>
      </c>
      <c r="DD4" s="80">
        <v>45229</v>
      </c>
      <c r="DE4" s="80">
        <v>45230</v>
      </c>
      <c r="DF4" s="80">
        <v>45231</v>
      </c>
      <c r="DG4" s="80">
        <v>45232</v>
      </c>
      <c r="DH4" s="80">
        <v>45233</v>
      </c>
      <c r="DI4" s="80">
        <v>45234</v>
      </c>
      <c r="DJ4" s="80">
        <v>45235</v>
      </c>
      <c r="DK4" s="80">
        <v>45236</v>
      </c>
      <c r="DL4" s="80">
        <v>45237</v>
      </c>
      <c r="DM4" s="80">
        <v>45238</v>
      </c>
      <c r="DN4" s="80">
        <v>45239</v>
      </c>
      <c r="DO4" s="80">
        <v>45240</v>
      </c>
      <c r="DP4" s="80">
        <v>45241</v>
      </c>
      <c r="DQ4" s="80">
        <v>45242</v>
      </c>
      <c r="DR4" s="80">
        <v>45243</v>
      </c>
      <c r="DS4" s="80">
        <v>45244</v>
      </c>
      <c r="DT4" s="80">
        <v>45245</v>
      </c>
      <c r="DU4" s="80">
        <v>45246</v>
      </c>
      <c r="DV4" s="80">
        <v>45247</v>
      </c>
      <c r="DW4" s="80">
        <v>45248</v>
      </c>
      <c r="DX4" s="80">
        <v>45249</v>
      </c>
      <c r="DY4" s="80">
        <v>45250</v>
      </c>
      <c r="DZ4" s="80"/>
    </row>
    <row r="5" spans="1:137" s="306" customFormat="1" ht="15.9" customHeight="1" x14ac:dyDescent="0.3">
      <c r="A5" s="338"/>
      <c r="B5" s="81"/>
      <c r="C5" s="339"/>
      <c r="D5" s="82"/>
      <c r="E5" s="340" t="s">
        <v>19</v>
      </c>
      <c r="F5" s="338"/>
      <c r="G5" s="341" t="s">
        <v>20</v>
      </c>
      <c r="H5" s="341"/>
      <c r="I5" s="342"/>
      <c r="J5" s="343"/>
      <c r="K5" s="344"/>
      <c r="L5" s="345"/>
      <c r="M5" s="346" t="s">
        <v>21</v>
      </c>
      <c r="N5" s="347"/>
      <c r="O5" s="347"/>
      <c r="P5" s="347"/>
      <c r="Q5" s="347"/>
      <c r="R5" s="347"/>
      <c r="S5" s="347"/>
      <c r="T5" s="347"/>
      <c r="U5" s="347"/>
      <c r="V5" s="347"/>
      <c r="W5" s="347"/>
      <c r="X5" s="347"/>
      <c r="Y5" s="347"/>
      <c r="Z5" s="347"/>
      <c r="AA5" s="347"/>
      <c r="AB5" s="347"/>
      <c r="AC5" s="347"/>
      <c r="AD5" s="347"/>
      <c r="AE5" s="347"/>
      <c r="AF5" s="347"/>
      <c r="AG5" s="347"/>
      <c r="AH5" s="347"/>
      <c r="AI5" s="347"/>
      <c r="AJ5" s="347"/>
      <c r="AK5" s="347"/>
      <c r="AL5" s="347"/>
      <c r="AM5" s="347"/>
      <c r="AN5" s="347"/>
      <c r="AO5" s="347"/>
      <c r="AP5" s="347"/>
      <c r="AQ5" s="347"/>
      <c r="AR5" s="347"/>
      <c r="AS5" s="347"/>
      <c r="AT5" s="347"/>
      <c r="AU5" s="348"/>
      <c r="AV5" s="348"/>
      <c r="AW5" s="347"/>
      <c r="AX5" s="348"/>
      <c r="AY5" s="348"/>
      <c r="AZ5" s="348"/>
      <c r="BA5" s="347"/>
      <c r="BB5" s="348"/>
      <c r="BC5" s="348"/>
      <c r="BD5" s="348"/>
      <c r="BE5" s="348"/>
      <c r="BF5" s="348"/>
      <c r="BG5" s="347"/>
      <c r="BH5" s="347"/>
      <c r="BI5" s="348"/>
      <c r="BJ5" s="348"/>
      <c r="BK5" s="347"/>
      <c r="BL5" s="347"/>
      <c r="BM5" s="347"/>
      <c r="BN5" s="348"/>
      <c r="BO5" s="347"/>
      <c r="BP5" s="349"/>
      <c r="BQ5" s="348"/>
      <c r="BR5" s="347"/>
      <c r="BS5" s="347"/>
      <c r="BT5" s="347"/>
      <c r="BU5" s="347"/>
      <c r="BV5" s="347"/>
      <c r="BW5" s="347"/>
      <c r="BX5" s="347"/>
      <c r="BY5" s="347"/>
      <c r="BZ5" s="347"/>
      <c r="CA5" s="347"/>
      <c r="CB5" s="347"/>
      <c r="CC5" s="400"/>
      <c r="CD5" s="348"/>
      <c r="CE5" s="348"/>
      <c r="CF5" s="347"/>
      <c r="CG5" s="347"/>
      <c r="CH5" s="348"/>
      <c r="CI5" s="347"/>
      <c r="CJ5" s="347"/>
      <c r="CK5" s="348"/>
      <c r="CL5" s="348"/>
      <c r="CM5" s="347"/>
      <c r="CN5" s="347"/>
      <c r="CO5" s="347"/>
      <c r="CP5" s="347"/>
      <c r="CQ5" s="347"/>
      <c r="CR5" s="348"/>
      <c r="CS5" s="348"/>
      <c r="CT5" s="347"/>
      <c r="CU5" s="347"/>
      <c r="CV5" s="348"/>
      <c r="CW5" s="348"/>
      <c r="CX5" s="348"/>
      <c r="CY5" s="348"/>
      <c r="CZ5" s="348"/>
      <c r="DA5" s="348"/>
      <c r="DB5" s="348"/>
      <c r="DC5" s="348"/>
      <c r="DD5" s="348"/>
      <c r="DE5" s="348"/>
      <c r="DF5" s="348"/>
      <c r="DG5" s="348"/>
      <c r="DH5" s="348"/>
      <c r="DI5" s="348"/>
      <c r="DJ5" s="348"/>
      <c r="DK5" s="348"/>
      <c r="DL5" s="348"/>
      <c r="DM5" s="348"/>
      <c r="DN5" s="348"/>
      <c r="DO5" s="348"/>
      <c r="DP5" s="348"/>
      <c r="DQ5" s="350"/>
      <c r="DR5" s="350"/>
      <c r="DS5" s="350"/>
      <c r="DT5" s="350"/>
      <c r="DU5" s="350"/>
      <c r="DV5" s="350"/>
      <c r="DW5" s="350"/>
      <c r="DX5" s="350"/>
      <c r="DY5" s="350"/>
      <c r="DZ5" s="337"/>
      <c r="EA5" s="337"/>
      <c r="EB5" s="337"/>
      <c r="EC5" s="337"/>
      <c r="ED5" s="337"/>
      <c r="EE5" s="337"/>
      <c r="EF5" s="337"/>
      <c r="EG5" s="337"/>
    </row>
    <row r="6" spans="1:137" s="1" customFormat="1" ht="15.9" customHeight="1" outlineLevel="1" x14ac:dyDescent="0.3">
      <c r="A6" s="2" t="s">
        <v>22</v>
      </c>
      <c r="B6" s="2" t="s">
        <v>23</v>
      </c>
      <c r="C6" s="4" t="s">
        <v>24</v>
      </c>
      <c r="D6" s="145">
        <v>6.75</v>
      </c>
      <c r="E6" s="2" t="s">
        <v>19</v>
      </c>
      <c r="F6" s="2" t="s">
        <v>25</v>
      </c>
      <c r="G6" s="3" t="s">
        <v>26</v>
      </c>
      <c r="H6" s="3"/>
      <c r="I6" s="202" cm="1">
        <f t="array" ref="I6">IFERROR(LOOKUP(2,1/(N6:GR6&lt;&gt;""),N$4:DRA$4),"")</f>
        <v>45215</v>
      </c>
      <c r="J6" s="315" cm="1">
        <f t="array" ref="J6">IFERROR(_xlfn.XLOOKUP(TRUE,N6:EH6&lt;&gt;"",N6:EH6,,,-1)," ")</f>
        <v>24.6</v>
      </c>
      <c r="K6" s="46">
        <v>22.5</v>
      </c>
      <c r="L6" s="46" t="s">
        <v>27</v>
      </c>
      <c r="M6" s="281" t="s">
        <v>28</v>
      </c>
      <c r="N6" s="55"/>
      <c r="O6" s="55"/>
      <c r="P6" s="55"/>
      <c r="Q6" s="55"/>
      <c r="R6" s="55"/>
      <c r="S6" s="55"/>
      <c r="T6" s="55"/>
      <c r="U6" s="55"/>
      <c r="V6" s="55"/>
      <c r="W6" s="55"/>
      <c r="X6" s="55"/>
      <c r="Y6" s="55"/>
      <c r="Z6" s="55"/>
      <c r="AA6" s="55"/>
      <c r="AB6" s="55"/>
      <c r="AC6" s="55"/>
      <c r="AD6" s="55"/>
      <c r="AE6" s="55"/>
      <c r="AF6" s="55"/>
      <c r="AG6" s="55"/>
      <c r="AH6" s="55"/>
      <c r="AI6" s="55"/>
      <c r="AJ6" s="55"/>
      <c r="AK6" s="55"/>
      <c r="AL6" s="55"/>
      <c r="AM6" s="55"/>
      <c r="AN6" s="55"/>
      <c r="AO6" s="55"/>
      <c r="AP6" s="55"/>
      <c r="AQ6" s="55"/>
      <c r="AR6" s="55"/>
      <c r="AS6" s="55"/>
      <c r="AT6" s="55"/>
      <c r="AU6" s="153"/>
      <c r="AV6" s="153"/>
      <c r="AW6" s="55">
        <v>17</v>
      </c>
      <c r="AX6" s="153"/>
      <c r="AY6" s="153"/>
      <c r="AZ6" s="153"/>
      <c r="BA6" s="55"/>
      <c r="BB6" s="153"/>
      <c r="BC6" s="153"/>
      <c r="BD6" s="153"/>
      <c r="BE6" s="153">
        <v>18.2</v>
      </c>
      <c r="BF6" s="153"/>
      <c r="BG6" s="55"/>
      <c r="BH6" s="55"/>
      <c r="BI6" s="153"/>
      <c r="BJ6" s="153"/>
      <c r="BK6" s="55"/>
      <c r="BL6" s="55"/>
      <c r="BM6" s="55"/>
      <c r="BN6" s="153"/>
      <c r="BO6" s="56">
        <v>20.7</v>
      </c>
      <c r="BP6" s="56"/>
      <c r="BQ6" s="153"/>
      <c r="BR6" s="55">
        <v>22.4</v>
      </c>
      <c r="BS6" s="55"/>
      <c r="BT6" s="55"/>
      <c r="BU6" s="55"/>
      <c r="BV6" s="55"/>
      <c r="BW6" s="55"/>
      <c r="BX6" s="55"/>
      <c r="BY6" s="55"/>
      <c r="BZ6" s="56"/>
      <c r="CA6" s="55"/>
      <c r="CB6" s="56"/>
      <c r="CC6" s="401"/>
      <c r="CD6" s="153">
        <v>23.1</v>
      </c>
      <c r="CE6" s="153"/>
      <c r="CF6" s="55"/>
      <c r="CG6" s="55"/>
      <c r="CH6" s="153"/>
      <c r="CI6" s="55"/>
      <c r="CJ6" s="55"/>
      <c r="CK6" s="153">
        <v>24.1</v>
      </c>
      <c r="CL6" s="153"/>
      <c r="CM6" s="56"/>
      <c r="CN6" s="55"/>
      <c r="CO6" s="55"/>
      <c r="CP6" s="56">
        <v>24.6</v>
      </c>
      <c r="CQ6" s="153"/>
      <c r="CR6" s="153"/>
      <c r="CS6" s="153"/>
      <c r="CT6" s="153"/>
      <c r="CU6" s="153"/>
      <c r="CV6" s="153"/>
      <c r="CW6" s="153"/>
      <c r="CX6" s="153"/>
      <c r="CY6" s="153"/>
      <c r="CZ6" s="153"/>
      <c r="DA6" s="153"/>
      <c r="DB6" s="153"/>
      <c r="DC6" s="153"/>
      <c r="DD6" s="153"/>
      <c r="DE6" s="153"/>
      <c r="DF6" s="153"/>
      <c r="DG6" s="153"/>
      <c r="DH6" s="153"/>
      <c r="DI6" s="153"/>
      <c r="DJ6" s="153"/>
      <c r="DK6" s="153"/>
      <c r="DL6" s="153"/>
      <c r="DM6" s="153"/>
      <c r="DN6" s="153"/>
      <c r="DO6" s="153"/>
      <c r="DP6" s="153"/>
      <c r="DQ6" s="154"/>
      <c r="DR6" s="154"/>
      <c r="DS6" s="154"/>
      <c r="DT6" s="154"/>
      <c r="DU6" s="154"/>
      <c r="DV6" s="154"/>
      <c r="DW6" s="154"/>
      <c r="DX6" s="154"/>
      <c r="DY6" s="154"/>
      <c r="DZ6" s="65"/>
      <c r="EA6" s="65"/>
      <c r="EB6" s="65"/>
      <c r="EC6" s="65"/>
      <c r="ED6" s="65"/>
      <c r="EE6" s="65"/>
      <c r="EF6" s="65"/>
      <c r="EG6" s="65"/>
    </row>
    <row r="7" spans="1:137" s="86" customFormat="1" ht="15.9" customHeight="1" x14ac:dyDescent="0.3">
      <c r="A7" s="81"/>
      <c r="B7" s="81"/>
      <c r="C7" s="82"/>
      <c r="D7" s="82"/>
      <c r="E7" s="83" t="s">
        <v>29</v>
      </c>
      <c r="F7" s="81"/>
      <c r="G7" s="84" t="s">
        <v>30</v>
      </c>
      <c r="H7" s="84"/>
      <c r="I7" s="203"/>
      <c r="J7" s="167"/>
      <c r="K7" s="219"/>
      <c r="L7" s="85"/>
      <c r="M7" s="280" t="s">
        <v>21</v>
      </c>
      <c r="N7" s="87"/>
      <c r="O7" s="87"/>
      <c r="P7" s="87"/>
      <c r="Q7" s="87"/>
      <c r="R7" s="87"/>
      <c r="S7" s="87"/>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90"/>
      <c r="AV7" s="90"/>
      <c r="AW7" s="87"/>
      <c r="AX7" s="90"/>
      <c r="AY7" s="90"/>
      <c r="AZ7" s="90"/>
      <c r="BA7" s="90"/>
      <c r="BB7" s="90"/>
      <c r="BC7" s="90"/>
      <c r="BD7" s="90"/>
      <c r="BE7" s="90"/>
      <c r="BF7" s="90"/>
      <c r="BG7" s="87"/>
      <c r="BH7" s="87"/>
      <c r="BI7" s="90"/>
      <c r="BJ7" s="90"/>
      <c r="BK7" s="87"/>
      <c r="BL7" s="87"/>
      <c r="BM7" s="87"/>
      <c r="BN7" s="90"/>
      <c r="BO7" s="87"/>
      <c r="BP7" s="88"/>
      <c r="BQ7" s="90"/>
      <c r="BR7" s="87"/>
      <c r="BS7" s="87"/>
      <c r="BT7" s="87"/>
      <c r="BU7" s="87"/>
      <c r="BV7" s="87"/>
      <c r="BW7" s="87"/>
      <c r="BX7" s="87"/>
      <c r="BY7" s="87"/>
      <c r="BZ7" s="87"/>
      <c r="CA7" s="87"/>
      <c r="CB7" s="87"/>
      <c r="CC7" s="402"/>
      <c r="CD7" s="90"/>
      <c r="CE7" s="90"/>
      <c r="CF7" s="87"/>
      <c r="CG7" s="87"/>
      <c r="CH7" s="90"/>
      <c r="CI7" s="87"/>
      <c r="CJ7" s="87"/>
      <c r="CK7" s="90"/>
      <c r="CL7" s="90"/>
      <c r="CM7" s="87"/>
      <c r="CN7" s="90"/>
      <c r="CO7" s="90"/>
      <c r="CP7" s="90"/>
      <c r="CQ7" s="90"/>
      <c r="CR7" s="90"/>
      <c r="CS7" s="90"/>
      <c r="CT7" s="90"/>
      <c r="CU7" s="90"/>
      <c r="CV7" s="90"/>
      <c r="CW7" s="90"/>
      <c r="CX7" s="90"/>
      <c r="CY7" s="90"/>
      <c r="CZ7" s="90"/>
      <c r="DA7" s="90"/>
      <c r="DB7" s="90"/>
      <c r="DC7" s="90"/>
      <c r="DD7" s="90"/>
      <c r="DE7" s="90"/>
      <c r="DF7" s="90"/>
      <c r="DG7" s="90"/>
      <c r="DH7" s="90"/>
      <c r="DI7" s="90"/>
      <c r="DJ7" s="90"/>
      <c r="DK7" s="90"/>
      <c r="DL7" s="90"/>
      <c r="DM7" s="90"/>
      <c r="DN7" s="90"/>
      <c r="DO7" s="90"/>
      <c r="DP7" s="90"/>
      <c r="DQ7" s="155"/>
      <c r="DR7" s="155"/>
      <c r="DS7" s="155"/>
      <c r="DT7" s="155"/>
      <c r="DU7" s="155"/>
      <c r="DV7" s="155"/>
      <c r="DW7" s="155"/>
      <c r="DX7" s="155"/>
      <c r="DY7" s="155"/>
      <c r="DZ7" s="59"/>
      <c r="EA7" s="59"/>
      <c r="EB7" s="59"/>
      <c r="EC7" s="59"/>
      <c r="ED7" s="59"/>
      <c r="EE7" s="59"/>
      <c r="EF7" s="59"/>
      <c r="EG7" s="59"/>
    </row>
    <row r="8" spans="1:137" s="1" customFormat="1" ht="15.9" customHeight="1" outlineLevel="1" x14ac:dyDescent="0.3">
      <c r="A8" s="2" t="s">
        <v>23</v>
      </c>
      <c r="B8" s="2"/>
      <c r="C8" s="4" t="s">
        <v>31</v>
      </c>
      <c r="D8" s="145">
        <v>19.96</v>
      </c>
      <c r="E8" s="2" t="s">
        <v>29</v>
      </c>
      <c r="F8" s="2" t="s">
        <v>32</v>
      </c>
      <c r="G8" s="3" t="s">
        <v>33</v>
      </c>
      <c r="H8" s="3"/>
      <c r="I8" s="202" cm="1">
        <f t="array" ref="I8">IFERROR(LOOKUP(2,1/(N8:GR8&lt;&gt;""),N$4:DRA$4),"")</f>
        <v>45153</v>
      </c>
      <c r="J8" s="168" cm="1">
        <f t="array" ref="J8">IFERROR(_xlfn.XLOOKUP(TRUE,N8:EH8&lt;&gt;"",N8:EH8,,,-1)," ")</f>
        <v>16.2</v>
      </c>
      <c r="K8" s="46">
        <v>21</v>
      </c>
      <c r="L8" s="46"/>
      <c r="M8" s="281" t="s">
        <v>34</v>
      </c>
      <c r="N8" s="55"/>
      <c r="O8" s="55"/>
      <c r="P8" s="55"/>
      <c r="Q8" s="55"/>
      <c r="R8" s="55"/>
      <c r="S8" s="55"/>
      <c r="T8" s="55"/>
      <c r="U8" s="55"/>
      <c r="V8" s="55"/>
      <c r="W8" s="55"/>
      <c r="X8" s="55"/>
      <c r="Y8" s="55">
        <v>15.3</v>
      </c>
      <c r="Z8" s="55"/>
      <c r="AA8" s="55"/>
      <c r="AB8" s="55"/>
      <c r="AC8" s="55"/>
      <c r="AD8" s="55"/>
      <c r="AE8" s="55"/>
      <c r="AF8" s="171">
        <v>16.2</v>
      </c>
      <c r="AG8" s="55"/>
      <c r="AH8" s="55"/>
      <c r="AI8" s="55"/>
      <c r="AJ8" s="55"/>
      <c r="AK8" s="55"/>
      <c r="AL8" s="55"/>
      <c r="AM8" s="55"/>
      <c r="AN8" s="55"/>
      <c r="AO8" s="55"/>
      <c r="AP8" s="55"/>
      <c r="AQ8" s="55"/>
      <c r="AR8" s="55"/>
      <c r="AS8" s="55"/>
      <c r="AT8" s="55"/>
      <c r="AU8" s="153"/>
      <c r="AV8" s="153"/>
      <c r="AW8" s="55"/>
      <c r="AX8" s="153"/>
      <c r="AY8" s="153"/>
      <c r="AZ8" s="153"/>
      <c r="BA8" s="153"/>
      <c r="BB8" s="153"/>
      <c r="BC8" s="153"/>
      <c r="BD8" s="153"/>
      <c r="BE8" s="153"/>
      <c r="BF8" s="153"/>
      <c r="BG8" s="55"/>
      <c r="BH8" s="55"/>
      <c r="BI8" s="153"/>
      <c r="BJ8" s="153"/>
      <c r="BK8" s="55"/>
      <c r="BL8" s="153"/>
      <c r="BM8" s="55"/>
      <c r="BN8" s="153"/>
      <c r="BO8" s="55"/>
      <c r="BP8" s="56"/>
      <c r="BQ8" s="153"/>
      <c r="BR8" s="153"/>
      <c r="BS8" s="153"/>
      <c r="BT8" s="153"/>
      <c r="BU8" s="153"/>
      <c r="BV8" s="153"/>
      <c r="BW8" s="153"/>
      <c r="BX8" s="153"/>
      <c r="BY8" s="153"/>
      <c r="BZ8" s="153"/>
      <c r="CA8" s="153"/>
      <c r="CB8" s="55"/>
      <c r="CC8" s="153"/>
      <c r="CD8" s="153"/>
      <c r="CE8" s="153"/>
      <c r="CF8" s="55"/>
      <c r="CG8" s="153"/>
      <c r="CH8" s="153"/>
      <c r="CI8" s="153"/>
      <c r="CJ8" s="55"/>
      <c r="CK8" s="153"/>
      <c r="CL8" s="153"/>
      <c r="CM8" s="153"/>
      <c r="CN8" s="153"/>
      <c r="CO8" s="153"/>
      <c r="CP8" s="153"/>
      <c r="CQ8" s="153"/>
      <c r="CR8" s="153"/>
      <c r="CS8" s="153"/>
      <c r="CT8" s="153"/>
      <c r="CU8" s="153"/>
      <c r="CV8" s="153"/>
      <c r="CW8" s="153"/>
      <c r="CX8" s="153"/>
      <c r="CY8" s="153"/>
      <c r="CZ8" s="153"/>
      <c r="DA8" s="153"/>
      <c r="DB8" s="153"/>
      <c r="DC8" s="153"/>
      <c r="DD8" s="153"/>
      <c r="DE8" s="153"/>
      <c r="DF8" s="153"/>
      <c r="DG8" s="153"/>
      <c r="DH8" s="153"/>
      <c r="DI8" s="153"/>
      <c r="DJ8" s="153"/>
      <c r="DK8" s="153"/>
      <c r="DL8" s="153"/>
      <c r="DM8" s="153"/>
      <c r="DN8" s="153"/>
      <c r="DO8" s="153"/>
      <c r="DP8" s="153"/>
      <c r="DQ8" s="154"/>
      <c r="DR8" s="154"/>
      <c r="DS8" s="154"/>
      <c r="DT8" s="154"/>
      <c r="DU8" s="154"/>
      <c r="DV8" s="154"/>
      <c r="DW8" s="154"/>
      <c r="DX8" s="154"/>
      <c r="DY8" s="154"/>
      <c r="DZ8" s="65"/>
      <c r="EA8" s="65"/>
      <c r="EB8" s="65"/>
      <c r="EC8" s="65"/>
      <c r="ED8" s="65"/>
      <c r="EE8" s="65"/>
      <c r="EF8" s="65"/>
      <c r="EG8" s="65"/>
    </row>
    <row r="9" spans="1:137" s="10" customFormat="1" ht="15.9" customHeight="1" outlineLevel="1" x14ac:dyDescent="0.3">
      <c r="A9" s="7" t="s">
        <v>23</v>
      </c>
      <c r="B9" s="7" t="s">
        <v>23</v>
      </c>
      <c r="C9" s="8" t="s">
        <v>31</v>
      </c>
      <c r="D9" s="146">
        <v>30.18</v>
      </c>
      <c r="E9" s="7" t="s">
        <v>29</v>
      </c>
      <c r="F9" s="7" t="s">
        <v>35</v>
      </c>
      <c r="G9" s="9" t="s">
        <v>36</v>
      </c>
      <c r="H9" s="9"/>
      <c r="I9" s="204" cm="1">
        <f t="array" ref="I9">IFERROR(LOOKUP(2,1/(N9:GR9&lt;&gt;""),N$4:DRA$4),"")</f>
        <v>45184</v>
      </c>
      <c r="J9" s="266" cm="1">
        <f t="array" ref="J9">IFERROR(_xlfn.XLOOKUP(TRUE,N9:EH9&lt;&gt;"",N9:EH9,,,-1)," ")</f>
        <v>21.9</v>
      </c>
      <c r="K9" s="45">
        <v>21</v>
      </c>
      <c r="L9" s="45">
        <v>21</v>
      </c>
      <c r="M9" s="282" t="s">
        <v>37</v>
      </c>
      <c r="N9" s="57"/>
      <c r="O9" s="57"/>
      <c r="P9" s="57"/>
      <c r="Q9" s="57"/>
      <c r="R9" s="57"/>
      <c r="S9" s="57"/>
      <c r="T9" s="57"/>
      <c r="U9" s="57"/>
      <c r="V9" s="57"/>
      <c r="W9" s="57"/>
      <c r="X9" s="57"/>
      <c r="Y9" s="57"/>
      <c r="Z9" s="57"/>
      <c r="AA9" s="57"/>
      <c r="AB9" s="57">
        <v>13.4</v>
      </c>
      <c r="AC9" s="57"/>
      <c r="AD9" s="57"/>
      <c r="AE9" s="57"/>
      <c r="AF9" s="58"/>
      <c r="AG9" s="57"/>
      <c r="AH9" s="57">
        <v>15.6</v>
      </c>
      <c r="AI9" s="57"/>
      <c r="AJ9" s="58"/>
      <c r="AK9" s="57"/>
      <c r="AL9" s="57"/>
      <c r="AM9" s="57"/>
      <c r="AN9" s="57">
        <v>16.600000000000001</v>
      </c>
      <c r="AO9" s="57"/>
      <c r="AP9" s="57"/>
      <c r="AQ9" s="57"/>
      <c r="AR9" s="57"/>
      <c r="AS9" s="57"/>
      <c r="AT9" s="57">
        <v>19.2</v>
      </c>
      <c r="AU9" s="61"/>
      <c r="AV9" s="61"/>
      <c r="AW9" s="57"/>
      <c r="AX9" s="61"/>
      <c r="AY9" s="61"/>
      <c r="AZ9" s="61"/>
      <c r="BA9" s="160">
        <v>20</v>
      </c>
      <c r="BB9" s="61"/>
      <c r="BC9" s="61"/>
      <c r="BD9" s="61"/>
      <c r="BE9" s="160">
        <v>20.6</v>
      </c>
      <c r="BF9" s="61"/>
      <c r="BG9" s="61"/>
      <c r="BH9" s="57"/>
      <c r="BI9" s="61"/>
      <c r="BJ9" s="61"/>
      <c r="BK9" s="57">
        <v>21.9</v>
      </c>
      <c r="BL9" s="61"/>
      <c r="BM9" s="57"/>
      <c r="BN9" s="61"/>
      <c r="BO9" s="57"/>
      <c r="BP9" s="58"/>
      <c r="BQ9" s="61"/>
      <c r="BR9" s="61"/>
      <c r="BS9" s="61"/>
      <c r="BT9" s="61"/>
      <c r="BU9" s="61"/>
      <c r="BV9" s="61"/>
      <c r="BW9" s="61"/>
      <c r="BX9" s="61"/>
      <c r="BY9" s="61"/>
      <c r="BZ9" s="61"/>
      <c r="CA9" s="61"/>
      <c r="CB9" s="57"/>
      <c r="CC9" s="61"/>
      <c r="CD9" s="61"/>
      <c r="CE9" s="61"/>
      <c r="CF9" s="57"/>
      <c r="CG9" s="61"/>
      <c r="CH9" s="61"/>
      <c r="CI9" s="61"/>
      <c r="CJ9" s="57"/>
      <c r="CK9" s="61"/>
      <c r="CL9" s="61"/>
      <c r="CM9" s="61"/>
      <c r="CN9" s="61"/>
      <c r="CO9" s="61"/>
      <c r="CP9" s="61"/>
      <c r="CQ9" s="61"/>
      <c r="CR9" s="61"/>
      <c r="CS9" s="61"/>
      <c r="CT9" s="61"/>
      <c r="CU9" s="61"/>
      <c r="CV9" s="61"/>
      <c r="CW9" s="61"/>
      <c r="CX9" s="61"/>
      <c r="CY9" s="61"/>
      <c r="CZ9" s="61"/>
      <c r="DA9" s="61"/>
      <c r="DB9" s="61"/>
      <c r="DC9" s="61"/>
      <c r="DD9" s="61"/>
      <c r="DE9" s="61"/>
      <c r="DF9" s="61"/>
      <c r="DG9" s="61"/>
      <c r="DH9" s="61"/>
      <c r="DI9" s="61"/>
      <c r="DJ9" s="61"/>
      <c r="DK9" s="61"/>
      <c r="DL9" s="61"/>
      <c r="DM9" s="61"/>
      <c r="DN9" s="61"/>
      <c r="DO9" s="61"/>
      <c r="DP9" s="61"/>
      <c r="DQ9" s="156"/>
      <c r="DR9" s="156"/>
      <c r="DS9" s="156"/>
      <c r="DT9" s="156"/>
      <c r="DU9" s="156"/>
      <c r="DV9" s="156"/>
      <c r="DW9" s="156"/>
      <c r="DX9" s="156"/>
      <c r="DY9" s="156"/>
      <c r="DZ9" s="65"/>
      <c r="EA9" s="65"/>
      <c r="EB9" s="65"/>
      <c r="EC9" s="65"/>
      <c r="ED9" s="65"/>
      <c r="EE9" s="65"/>
      <c r="EF9" s="65"/>
      <c r="EG9" s="65"/>
    </row>
    <row r="10" spans="1:137" s="86" customFormat="1" ht="15.9" customHeight="1" x14ac:dyDescent="0.3">
      <c r="A10" s="81"/>
      <c r="B10" s="81"/>
      <c r="C10" s="82"/>
      <c r="D10" s="82"/>
      <c r="E10" s="83" t="s">
        <v>38</v>
      </c>
      <c r="F10" s="81"/>
      <c r="G10" s="84" t="s">
        <v>39</v>
      </c>
      <c r="H10" s="84"/>
      <c r="I10" s="203"/>
      <c r="J10" s="167"/>
      <c r="K10" s="219"/>
      <c r="L10" s="85"/>
      <c r="M10" s="280" t="s">
        <v>21</v>
      </c>
      <c r="N10" s="87"/>
      <c r="O10" s="87"/>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90"/>
      <c r="AV10" s="90"/>
      <c r="AW10" s="87"/>
      <c r="AX10" s="87"/>
      <c r="AY10" s="90"/>
      <c r="AZ10" s="90"/>
      <c r="BA10" s="90"/>
      <c r="BB10" s="90"/>
      <c r="BC10" s="90"/>
      <c r="BD10" s="90"/>
      <c r="BE10" s="90"/>
      <c r="BF10" s="90"/>
      <c r="BG10" s="87"/>
      <c r="BH10" s="87"/>
      <c r="BI10" s="90"/>
      <c r="BJ10" s="90"/>
      <c r="BK10" s="87"/>
      <c r="BL10" s="87"/>
      <c r="BM10" s="87"/>
      <c r="BN10" s="90"/>
      <c r="BO10" s="87"/>
      <c r="BP10" s="88"/>
      <c r="BQ10" s="90"/>
      <c r="BR10" s="87"/>
      <c r="BS10" s="87"/>
      <c r="BT10" s="87"/>
      <c r="BU10" s="87"/>
      <c r="BV10" s="87"/>
      <c r="BW10" s="87"/>
      <c r="BX10" s="87"/>
      <c r="BY10" s="87"/>
      <c r="BZ10" s="87"/>
      <c r="CA10" s="87"/>
      <c r="CB10" s="87"/>
      <c r="CC10" s="402"/>
      <c r="CD10" s="90"/>
      <c r="CE10" s="90"/>
      <c r="CF10" s="87"/>
      <c r="CG10" s="87"/>
      <c r="CH10" s="90"/>
      <c r="CI10" s="87"/>
      <c r="CJ10" s="87"/>
      <c r="CK10" s="90"/>
      <c r="CL10" s="90"/>
      <c r="CM10" s="87"/>
      <c r="CN10" s="90"/>
      <c r="CO10" s="90"/>
      <c r="CP10" s="90"/>
      <c r="CQ10" s="90"/>
      <c r="CR10" s="90"/>
      <c r="CS10" s="90"/>
      <c r="CT10" s="90"/>
      <c r="CU10" s="90"/>
      <c r="CV10" s="90"/>
      <c r="CW10" s="90"/>
      <c r="CX10" s="90"/>
      <c r="CY10" s="90"/>
      <c r="CZ10" s="90"/>
      <c r="DA10" s="90"/>
      <c r="DB10" s="90"/>
      <c r="DC10" s="90"/>
      <c r="DD10" s="90"/>
      <c r="DE10" s="90"/>
      <c r="DF10" s="90"/>
      <c r="DG10" s="90"/>
      <c r="DH10" s="90"/>
      <c r="DI10" s="90"/>
      <c r="DJ10" s="90"/>
      <c r="DK10" s="90"/>
      <c r="DL10" s="90"/>
      <c r="DM10" s="90"/>
      <c r="DN10" s="90"/>
      <c r="DO10" s="90"/>
      <c r="DP10" s="90"/>
      <c r="DQ10" s="155"/>
      <c r="DR10" s="155"/>
      <c r="DS10" s="155"/>
      <c r="DT10" s="155"/>
      <c r="DU10" s="155"/>
      <c r="DV10" s="155"/>
      <c r="DW10" s="155"/>
      <c r="DX10" s="155"/>
      <c r="DY10" s="155"/>
      <c r="DZ10" s="65"/>
      <c r="EA10" s="65"/>
      <c r="EB10" s="65"/>
      <c r="EC10" s="65"/>
      <c r="ED10" s="65"/>
      <c r="EE10" s="65"/>
      <c r="EF10" s="65"/>
      <c r="EG10" s="65"/>
    </row>
    <row r="11" spans="1:137" s="1" customFormat="1" ht="15.9" customHeight="1" outlineLevel="1" x14ac:dyDescent="0.3">
      <c r="A11" s="2" t="s">
        <v>22</v>
      </c>
      <c r="B11" s="2"/>
      <c r="C11" s="4" t="s">
        <v>24</v>
      </c>
      <c r="D11" s="145">
        <v>0.33</v>
      </c>
      <c r="E11" s="2" t="s">
        <v>38</v>
      </c>
      <c r="F11" s="2" t="s">
        <v>40</v>
      </c>
      <c r="G11" s="3" t="s">
        <v>41</v>
      </c>
      <c r="H11" s="3"/>
      <c r="I11" s="202" cm="1">
        <f t="array" ref="I11">IFERROR(LOOKUP(2,1/(N11:GR11&lt;&gt;""),N$4:DRA$4),"")</f>
        <v>45200</v>
      </c>
      <c r="J11" s="168" cm="1">
        <f t="array" ref="J11">IFERROR(_xlfn.XLOOKUP(TRUE,N11:EH11&lt;&gt;"",N11:EH11,,,-1)," ")</f>
        <v>24.7</v>
      </c>
      <c r="K11" s="46">
        <v>24</v>
      </c>
      <c r="L11" s="46"/>
      <c r="M11" s="283" t="s">
        <v>28</v>
      </c>
      <c r="N11" s="55"/>
      <c r="O11" s="55"/>
      <c r="P11" s="55"/>
      <c r="Q11" s="55"/>
      <c r="R11" s="55"/>
      <c r="S11" s="55"/>
      <c r="T11" s="55"/>
      <c r="U11" s="55"/>
      <c r="V11" s="55"/>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5"/>
      <c r="AU11" s="153"/>
      <c r="AV11" s="153"/>
      <c r="AW11" s="55">
        <v>19.7</v>
      </c>
      <c r="AX11" s="55"/>
      <c r="AY11" s="153"/>
      <c r="AZ11" s="153"/>
      <c r="BA11" s="153"/>
      <c r="BB11" s="153"/>
      <c r="BC11" s="153"/>
      <c r="BD11" s="153"/>
      <c r="BE11" s="153">
        <v>20.8</v>
      </c>
      <c r="BF11" s="153"/>
      <c r="BG11" s="55"/>
      <c r="BH11" s="55"/>
      <c r="BI11" s="60"/>
      <c r="BJ11" s="157"/>
      <c r="BK11" s="56"/>
      <c r="BL11" s="55">
        <v>22.9</v>
      </c>
      <c r="BM11" s="55"/>
      <c r="BN11" s="153"/>
      <c r="BO11" s="55"/>
      <c r="BP11" s="56"/>
      <c r="BQ11" s="153"/>
      <c r="BR11" s="55"/>
      <c r="BS11" s="153"/>
      <c r="BT11" s="153"/>
      <c r="BU11" s="153"/>
      <c r="BV11" s="153">
        <v>23.3</v>
      </c>
      <c r="BW11" s="153"/>
      <c r="BX11" s="153"/>
      <c r="BY11" s="153"/>
      <c r="BZ11" s="153"/>
      <c r="CA11" s="56">
        <v>24.7</v>
      </c>
      <c r="CC11" s="401"/>
      <c r="CD11" s="153"/>
      <c r="CE11" s="153"/>
      <c r="CF11" s="55"/>
      <c r="CG11" s="153"/>
      <c r="CH11" s="153"/>
      <c r="CI11" s="153"/>
      <c r="CJ11" s="55"/>
      <c r="CK11" s="153"/>
      <c r="CL11" s="153"/>
      <c r="CM11" s="153"/>
      <c r="CN11" s="153"/>
      <c r="CO11" s="153"/>
      <c r="CP11" s="153"/>
      <c r="CQ11" s="153"/>
      <c r="CR11" s="153"/>
      <c r="CS11" s="153"/>
      <c r="CT11" s="153"/>
      <c r="CU11" s="153"/>
      <c r="CV11" s="153"/>
      <c r="CW11" s="153"/>
      <c r="CX11" s="153"/>
      <c r="CY11" s="153"/>
      <c r="CZ11" s="153"/>
      <c r="DA11" s="153"/>
      <c r="DB11" s="153"/>
      <c r="DC11" s="153"/>
      <c r="DD11" s="153"/>
      <c r="DE11" s="153"/>
      <c r="DF11" s="153"/>
      <c r="DG11" s="153"/>
      <c r="DH11" s="153"/>
      <c r="DI11" s="153"/>
      <c r="DJ11" s="153"/>
      <c r="DK11" s="153"/>
      <c r="DL11" s="153"/>
      <c r="DM11" s="153"/>
      <c r="DN11" s="153"/>
      <c r="DO11" s="153"/>
      <c r="DP11" s="153"/>
      <c r="DQ11" s="154"/>
      <c r="DR11" s="154"/>
      <c r="DS11" s="154"/>
      <c r="DT11" s="154"/>
      <c r="DU11" s="154"/>
      <c r="DV11" s="154"/>
      <c r="DW11" s="154"/>
      <c r="DX11" s="154"/>
      <c r="DY11" s="154"/>
      <c r="DZ11" s="65"/>
      <c r="EA11" s="65"/>
      <c r="EB11" s="65"/>
      <c r="EC11" s="65"/>
      <c r="ED11" s="65"/>
      <c r="EE11" s="65"/>
      <c r="EF11" s="65"/>
      <c r="EG11" s="65"/>
    </row>
    <row r="12" spans="1:137" s="86" customFormat="1" ht="15.9" customHeight="1" x14ac:dyDescent="0.3">
      <c r="A12" s="81"/>
      <c r="B12" s="81"/>
      <c r="C12" s="82"/>
      <c r="D12" s="82"/>
      <c r="E12" s="83" t="s">
        <v>42</v>
      </c>
      <c r="F12" s="83"/>
      <c r="G12" s="84" t="s">
        <v>43</v>
      </c>
      <c r="H12" s="84"/>
      <c r="I12" s="203"/>
      <c r="J12" s="167"/>
      <c r="K12" s="219"/>
      <c r="L12" s="85"/>
      <c r="M12" s="280" t="s">
        <v>21</v>
      </c>
      <c r="N12" s="87"/>
      <c r="O12" s="87"/>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90"/>
      <c r="AV12" s="90"/>
      <c r="AW12" s="87"/>
      <c r="AX12" s="90"/>
      <c r="AY12" s="90"/>
      <c r="AZ12" s="87"/>
      <c r="BA12" s="87"/>
      <c r="BB12" s="90"/>
      <c r="BC12" s="90"/>
      <c r="BD12" s="90"/>
      <c r="BE12" s="90"/>
      <c r="BF12" s="90"/>
      <c r="BG12" s="87"/>
      <c r="BH12" s="87"/>
      <c r="BI12" s="90"/>
      <c r="BJ12" s="90"/>
      <c r="BK12" s="87"/>
      <c r="BL12" s="87"/>
      <c r="BM12" s="87"/>
      <c r="BN12" s="90"/>
      <c r="BO12" s="87"/>
      <c r="BP12" s="88"/>
      <c r="BQ12" s="90"/>
      <c r="BR12" s="87"/>
      <c r="BS12" s="87"/>
      <c r="BT12" s="87"/>
      <c r="BU12" s="87"/>
      <c r="BV12" s="87"/>
      <c r="BW12" s="87"/>
      <c r="BX12" s="87"/>
      <c r="BY12" s="87"/>
      <c r="BZ12" s="87"/>
      <c r="CA12" s="87"/>
      <c r="CB12" s="87"/>
      <c r="CC12" s="402"/>
      <c r="CD12" s="90"/>
      <c r="CE12" s="90"/>
      <c r="CF12" s="87"/>
      <c r="CG12" s="87"/>
      <c r="CH12" s="90"/>
      <c r="CI12" s="87"/>
      <c r="CJ12" s="87"/>
      <c r="CK12" s="90"/>
      <c r="CL12" s="90"/>
      <c r="CM12" s="87"/>
      <c r="CN12" s="87"/>
      <c r="CO12" s="87"/>
      <c r="CP12" s="87"/>
      <c r="CQ12" s="87"/>
      <c r="CR12" s="90"/>
      <c r="CS12" s="90"/>
      <c r="CT12" s="87"/>
      <c r="CU12" s="87"/>
      <c r="CV12" s="90"/>
      <c r="CW12" s="90"/>
      <c r="CX12" s="90"/>
      <c r="CY12" s="90"/>
      <c r="CZ12" s="90"/>
      <c r="DA12" s="90"/>
      <c r="DB12" s="90"/>
      <c r="DC12" s="90"/>
      <c r="DD12" s="90"/>
      <c r="DE12" s="90"/>
      <c r="DF12" s="90"/>
      <c r="DG12" s="90"/>
      <c r="DH12" s="90"/>
      <c r="DI12" s="90"/>
      <c r="DJ12" s="90"/>
      <c r="DK12" s="90"/>
      <c r="DL12" s="90"/>
      <c r="DM12" s="90"/>
      <c r="DN12" s="90"/>
      <c r="DO12" s="90"/>
      <c r="DP12" s="90"/>
      <c r="DQ12" s="155"/>
      <c r="DR12" s="155"/>
      <c r="DS12" s="155"/>
      <c r="DT12" s="155"/>
      <c r="DU12" s="155"/>
      <c r="DV12" s="155"/>
      <c r="DW12" s="155"/>
      <c r="DX12" s="155"/>
      <c r="DY12" s="155"/>
      <c r="DZ12" s="59"/>
      <c r="EA12" s="59"/>
      <c r="EB12" s="59"/>
      <c r="EC12" s="59"/>
      <c r="ED12" s="59"/>
      <c r="EE12" s="59"/>
      <c r="EF12" s="59"/>
      <c r="EG12" s="59"/>
    </row>
    <row r="13" spans="1:137" s="1" customFormat="1" ht="15.9" customHeight="1" outlineLevel="1" x14ac:dyDescent="0.3">
      <c r="A13" s="2" t="s">
        <v>22</v>
      </c>
      <c r="B13" s="2"/>
      <c r="C13" s="4" t="s">
        <v>44</v>
      </c>
      <c r="D13" s="145">
        <v>34.409999999999997</v>
      </c>
      <c r="E13" s="2" t="s">
        <v>42</v>
      </c>
      <c r="F13" s="2" t="s">
        <v>45</v>
      </c>
      <c r="G13" s="3" t="s">
        <v>46</v>
      </c>
      <c r="H13" s="3"/>
      <c r="I13" s="202" cm="1">
        <f t="array" ref="I13">IFERROR(LOOKUP(2,1/(N13:GR13&lt;&gt;""),N$4:DRA$4),"")</f>
        <v>45198</v>
      </c>
      <c r="J13" s="168" t="str" cm="1">
        <f t="array" ref="J13">IFERROR(_xlfn.XLOOKUP(TRUE,N13:EH13&lt;&gt;"",N13:EH13,,,-1)," ")</f>
        <v>24.7*</v>
      </c>
      <c r="K13" s="46">
        <v>25</v>
      </c>
      <c r="L13" s="46">
        <v>25</v>
      </c>
      <c r="M13" s="281" t="s">
        <v>28</v>
      </c>
      <c r="N13" s="55"/>
      <c r="O13" s="55"/>
      <c r="P13" s="55"/>
      <c r="Q13" s="55"/>
      <c r="R13" s="55"/>
      <c r="S13" s="55"/>
      <c r="T13" s="55"/>
      <c r="U13" s="55"/>
      <c r="V13" s="55"/>
      <c r="W13" s="55"/>
      <c r="X13" s="55"/>
      <c r="Y13" s="55"/>
      <c r="Z13" s="55"/>
      <c r="AA13" s="55"/>
      <c r="AB13" s="55"/>
      <c r="AC13" s="55"/>
      <c r="AD13" s="55"/>
      <c r="AE13" s="55"/>
      <c r="AF13" s="55"/>
      <c r="AG13" s="55"/>
      <c r="AH13" s="55"/>
      <c r="AI13" s="55">
        <v>15.5</v>
      </c>
      <c r="AJ13" s="55"/>
      <c r="AK13" s="55"/>
      <c r="AL13" s="55"/>
      <c r="AM13" s="55"/>
      <c r="AN13" s="55"/>
      <c r="AO13" s="55"/>
      <c r="AP13" s="55"/>
      <c r="AQ13" s="55"/>
      <c r="AR13" s="55"/>
      <c r="AS13" s="55"/>
      <c r="AT13" s="55"/>
      <c r="AU13" s="153">
        <v>19</v>
      </c>
      <c r="AV13" s="153"/>
      <c r="AW13" s="55"/>
      <c r="AX13" s="153"/>
      <c r="AY13" s="153"/>
      <c r="AZ13" s="55"/>
      <c r="BA13" s="55"/>
      <c r="BB13" s="153"/>
      <c r="BC13" s="153"/>
      <c r="BD13" s="153">
        <v>21.8</v>
      </c>
      <c r="BE13" s="55"/>
      <c r="BF13" s="153"/>
      <c r="BG13" s="56"/>
      <c r="BH13" s="55"/>
      <c r="BI13" s="153"/>
      <c r="BJ13" s="153">
        <v>23.2</v>
      </c>
      <c r="BK13" s="55"/>
      <c r="BL13" s="153"/>
      <c r="BM13" s="55"/>
      <c r="BN13" s="157">
        <v>23.1</v>
      </c>
      <c r="BO13" s="55"/>
      <c r="BP13" s="56"/>
      <c r="BQ13" s="153"/>
      <c r="BR13" s="153"/>
      <c r="BS13" s="153"/>
      <c r="BT13" s="153"/>
      <c r="BU13" s="153">
        <v>24.1</v>
      </c>
      <c r="BV13" s="153"/>
      <c r="BW13" s="153"/>
      <c r="BX13" s="153"/>
      <c r="BY13" s="153" t="s">
        <v>47</v>
      </c>
      <c r="BZ13" s="153"/>
      <c r="CA13" s="153"/>
      <c r="CB13" s="55"/>
      <c r="CC13" s="401"/>
      <c r="CD13" s="153"/>
      <c r="CE13" s="153"/>
      <c r="CF13" s="55"/>
      <c r="CG13" s="153"/>
      <c r="CH13" s="153"/>
      <c r="CI13" s="153"/>
      <c r="CJ13" s="55"/>
      <c r="CK13" s="153"/>
      <c r="CL13" s="153"/>
      <c r="CM13" s="153"/>
      <c r="CN13" s="153"/>
      <c r="CO13" s="153"/>
      <c r="CP13" s="153"/>
      <c r="CQ13" s="153"/>
      <c r="CR13" s="153"/>
      <c r="CS13" s="153"/>
      <c r="CT13" s="153"/>
      <c r="CU13" s="153"/>
      <c r="CV13" s="153"/>
      <c r="CW13" s="153"/>
      <c r="CX13" s="153"/>
      <c r="CY13" s="153"/>
      <c r="CZ13" s="153"/>
      <c r="DA13" s="153"/>
      <c r="DB13" s="153"/>
      <c r="DC13" s="153"/>
      <c r="DD13" s="153"/>
      <c r="DE13" s="153"/>
      <c r="DF13" s="153"/>
      <c r="DG13" s="153"/>
      <c r="DH13" s="153"/>
      <c r="DI13" s="153"/>
      <c r="DJ13" s="153"/>
      <c r="DK13" s="153"/>
      <c r="DL13" s="153"/>
      <c r="DM13" s="153"/>
      <c r="DN13" s="153"/>
      <c r="DO13" s="153"/>
      <c r="DP13" s="153"/>
      <c r="DQ13" s="154"/>
      <c r="DR13" s="154"/>
      <c r="DS13" s="154"/>
      <c r="DT13" s="154"/>
      <c r="DU13" s="154"/>
      <c r="DV13" s="154"/>
      <c r="DW13" s="154"/>
      <c r="DX13" s="154"/>
      <c r="DY13" s="154"/>
      <c r="DZ13" s="59"/>
      <c r="EA13" s="59"/>
      <c r="EB13" s="59"/>
      <c r="EC13" s="59"/>
      <c r="ED13" s="59"/>
      <c r="EE13" s="59"/>
      <c r="EF13" s="59"/>
      <c r="EG13" s="59"/>
    </row>
    <row r="14" spans="1:137" s="10" customFormat="1" ht="15.9" customHeight="1" outlineLevel="1" x14ac:dyDescent="0.3">
      <c r="A14" s="7" t="s">
        <v>22</v>
      </c>
      <c r="B14" s="7"/>
      <c r="C14" s="8" t="s">
        <v>44</v>
      </c>
      <c r="D14" s="146">
        <v>28.07</v>
      </c>
      <c r="E14" s="7" t="s">
        <v>42</v>
      </c>
      <c r="F14" s="7" t="s">
        <v>48</v>
      </c>
      <c r="G14" s="9" t="s">
        <v>49</v>
      </c>
      <c r="H14" s="9"/>
      <c r="I14" s="204" cm="1">
        <f t="array" ref="I14">IFERROR(LOOKUP(2,1/(N14:GR14&lt;&gt;""),N$4:DRA$4),"")</f>
        <v>45212</v>
      </c>
      <c r="J14" s="169" cm="1">
        <f t="array" ref="J14">IFERROR(_xlfn.XLOOKUP(TRUE,N14:EH14&lt;&gt;"",N14:EH14,,,-1)," ")</f>
        <v>25.1</v>
      </c>
      <c r="K14" s="45">
        <v>25</v>
      </c>
      <c r="L14" s="45">
        <v>25</v>
      </c>
      <c r="M14" s="282" t="s">
        <v>28</v>
      </c>
      <c r="N14" s="57"/>
      <c r="O14" s="57"/>
      <c r="P14" s="57"/>
      <c r="Q14" s="57"/>
      <c r="R14" s="57"/>
      <c r="S14" s="57"/>
      <c r="T14" s="57"/>
      <c r="U14" s="57"/>
      <c r="V14" s="57"/>
      <c r="W14" s="57"/>
      <c r="X14" s="57"/>
      <c r="Y14" s="57"/>
      <c r="Z14" s="57"/>
      <c r="AA14" s="57"/>
      <c r="AB14" s="57"/>
      <c r="AC14" s="57"/>
      <c r="AD14" s="57"/>
      <c r="AE14" s="57"/>
      <c r="AF14" s="57"/>
      <c r="AG14" s="57"/>
      <c r="AH14" s="57"/>
      <c r="AI14" s="57">
        <v>13.7</v>
      </c>
      <c r="AJ14" s="57"/>
      <c r="AK14" s="57"/>
      <c r="AL14" s="57"/>
      <c r="AM14" s="57"/>
      <c r="AN14" s="57"/>
      <c r="AO14" s="57"/>
      <c r="AP14" s="57"/>
      <c r="AQ14" s="57"/>
      <c r="AR14" s="57"/>
      <c r="AS14" s="57">
        <v>16.5</v>
      </c>
      <c r="AT14" s="57"/>
      <c r="AU14" s="61"/>
      <c r="AV14" s="61"/>
      <c r="AW14" s="57"/>
      <c r="AX14" s="61"/>
      <c r="AY14" s="61"/>
      <c r="AZ14" s="57"/>
      <c r="BA14" s="57"/>
      <c r="BB14" s="61">
        <v>17.8</v>
      </c>
      <c r="BC14" s="61"/>
      <c r="BD14" s="61"/>
      <c r="BE14" s="61"/>
      <c r="BF14" s="61"/>
      <c r="BG14" s="57"/>
      <c r="BH14" s="57"/>
      <c r="BI14" s="61"/>
      <c r="BJ14" s="61">
        <v>19.600000000000001</v>
      </c>
      <c r="BK14" s="57"/>
      <c r="BL14" s="57"/>
      <c r="BM14" s="57"/>
      <c r="BN14" s="61"/>
      <c r="BO14" s="57"/>
      <c r="BP14" s="58"/>
      <c r="BQ14" s="61"/>
      <c r="BR14" s="57"/>
      <c r="BS14" s="57">
        <v>21.7</v>
      </c>
      <c r="BT14" s="57"/>
      <c r="BU14" s="57"/>
      <c r="BV14" s="57"/>
      <c r="BW14" s="57"/>
      <c r="BX14" s="57"/>
      <c r="BY14" s="57">
        <v>22.5</v>
      </c>
      <c r="BZ14" s="57"/>
      <c r="CA14" s="57"/>
      <c r="CB14" s="57"/>
      <c r="CC14" s="27"/>
      <c r="CD14" s="61"/>
      <c r="CE14" s="61"/>
      <c r="CF14" s="57">
        <v>22.8</v>
      </c>
      <c r="CG14" s="57"/>
      <c r="CH14" s="61"/>
      <c r="CI14" s="57"/>
      <c r="CJ14" s="57"/>
      <c r="CK14" s="61"/>
      <c r="CL14" s="61"/>
      <c r="CM14" s="58">
        <v>25.1</v>
      </c>
      <c r="CN14" s="57"/>
      <c r="CO14" s="57"/>
      <c r="CP14" s="57"/>
      <c r="CQ14" s="57"/>
      <c r="CR14" s="61"/>
      <c r="CS14" s="61"/>
      <c r="CT14" s="57"/>
      <c r="CU14" s="57"/>
      <c r="CV14" s="61"/>
      <c r="CW14" s="61"/>
      <c r="CX14" s="61"/>
      <c r="CY14" s="61"/>
      <c r="CZ14" s="61"/>
      <c r="DA14" s="61"/>
      <c r="DB14" s="61"/>
      <c r="DC14" s="61"/>
      <c r="DD14" s="61"/>
      <c r="DE14" s="61"/>
      <c r="DF14" s="61"/>
      <c r="DG14" s="61"/>
      <c r="DH14" s="61"/>
      <c r="DI14" s="61"/>
      <c r="DJ14" s="61"/>
      <c r="DK14" s="61"/>
      <c r="DL14" s="61"/>
      <c r="DM14" s="61"/>
      <c r="DN14" s="61"/>
      <c r="DO14" s="61"/>
      <c r="DP14" s="61"/>
      <c r="DQ14" s="156"/>
      <c r="DR14" s="156"/>
      <c r="DS14" s="156"/>
      <c r="DT14" s="156"/>
      <c r="DU14" s="156"/>
      <c r="DV14" s="156"/>
      <c r="DW14" s="156"/>
      <c r="DX14" s="156"/>
      <c r="DY14" s="156"/>
      <c r="DZ14" s="59"/>
      <c r="EA14" s="59"/>
      <c r="EB14" s="59"/>
      <c r="EC14" s="59"/>
      <c r="ED14" s="59"/>
      <c r="EE14" s="59"/>
      <c r="EF14" s="59"/>
      <c r="EG14" s="59"/>
    </row>
    <row r="15" spans="1:137" s="10" customFormat="1" ht="15.9" customHeight="1" outlineLevel="1" x14ac:dyDescent="0.3">
      <c r="A15" s="7" t="s">
        <v>22</v>
      </c>
      <c r="B15" s="7"/>
      <c r="C15" s="8" t="s">
        <v>44</v>
      </c>
      <c r="D15" s="146"/>
      <c r="E15" s="7" t="s">
        <v>42</v>
      </c>
      <c r="F15" s="7" t="s">
        <v>48</v>
      </c>
      <c r="G15" s="9" t="s">
        <v>50</v>
      </c>
      <c r="H15" s="9"/>
      <c r="I15" s="204" cm="1">
        <f t="array" ref="I15">IFERROR(LOOKUP(2,1/(N15:GR15&lt;&gt;""),N$4:DRA$4),"")</f>
        <v>45205</v>
      </c>
      <c r="J15" s="169" cm="1">
        <f t="array" ref="J15">IFERROR(_xlfn.XLOOKUP(TRUE,N15:EH15&lt;&gt;"",N15:EH15,,,-1)," ")</f>
        <v>22.4</v>
      </c>
      <c r="K15" s="45">
        <v>25</v>
      </c>
      <c r="L15" s="45">
        <v>25</v>
      </c>
      <c r="M15" s="282" t="s">
        <v>28</v>
      </c>
      <c r="N15" s="57"/>
      <c r="O15" s="57"/>
      <c r="P15" s="57"/>
      <c r="Q15" s="57"/>
      <c r="R15" s="57"/>
      <c r="S15" s="57"/>
      <c r="T15" s="57"/>
      <c r="U15" s="57"/>
      <c r="V15" s="57"/>
      <c r="W15" s="57"/>
      <c r="X15" s="57"/>
      <c r="Y15" s="57"/>
      <c r="Z15" s="57"/>
      <c r="AA15" s="57"/>
      <c r="AB15" s="57"/>
      <c r="AC15" s="57"/>
      <c r="AD15" s="57"/>
      <c r="AE15" s="57"/>
      <c r="AF15" s="57"/>
      <c r="AG15" s="57"/>
      <c r="AH15" s="57"/>
      <c r="AI15" s="57">
        <v>13.6</v>
      </c>
      <c r="AJ15" s="57"/>
      <c r="AK15" s="57"/>
      <c r="AL15" s="57"/>
      <c r="AM15" s="57"/>
      <c r="AN15" s="57"/>
      <c r="AO15" s="57"/>
      <c r="AP15" s="57"/>
      <c r="AQ15" s="57"/>
      <c r="AR15" s="57"/>
      <c r="AS15" s="57">
        <v>15.3</v>
      </c>
      <c r="AT15" s="57"/>
      <c r="AU15" s="61"/>
      <c r="AV15" s="61"/>
      <c r="AW15" s="57"/>
      <c r="AX15" s="61"/>
      <c r="AY15" s="61"/>
      <c r="AZ15" s="57"/>
      <c r="BA15" s="57"/>
      <c r="BB15" s="61">
        <v>17.8</v>
      </c>
      <c r="BC15" s="61"/>
      <c r="BD15" s="61"/>
      <c r="BE15" s="61"/>
      <c r="BF15" s="61"/>
      <c r="BG15" s="57"/>
      <c r="BH15" s="57"/>
      <c r="BI15" s="61"/>
      <c r="BJ15" s="61">
        <v>18.600000000000001</v>
      </c>
      <c r="BK15" s="57"/>
      <c r="BL15" s="57"/>
      <c r="BM15" s="57"/>
      <c r="BN15" s="61"/>
      <c r="BO15" s="57"/>
      <c r="BP15" s="58"/>
      <c r="BQ15" s="61"/>
      <c r="BR15" s="57"/>
      <c r="BS15" s="57">
        <v>22</v>
      </c>
      <c r="BT15" s="57"/>
      <c r="BU15" s="57"/>
      <c r="BV15" s="57"/>
      <c r="BW15" s="57"/>
      <c r="BX15" s="57"/>
      <c r="BY15" s="57"/>
      <c r="BZ15" s="57"/>
      <c r="CA15" s="57"/>
      <c r="CB15" s="57"/>
      <c r="CC15" s="27"/>
      <c r="CD15" s="61"/>
      <c r="CE15" s="61"/>
      <c r="CF15" s="57">
        <v>22.4</v>
      </c>
      <c r="CG15" s="57"/>
      <c r="CH15" s="61"/>
      <c r="CI15" s="57"/>
      <c r="CJ15" s="57"/>
      <c r="CK15" s="61"/>
      <c r="CL15" s="61"/>
      <c r="CM15" s="57"/>
      <c r="CN15" s="57"/>
      <c r="CO15" s="57"/>
      <c r="CP15" s="57"/>
      <c r="CQ15" s="57"/>
      <c r="CR15" s="61"/>
      <c r="CS15" s="61"/>
      <c r="CT15" s="57"/>
      <c r="CU15" s="57"/>
      <c r="CV15" s="61"/>
      <c r="CW15" s="61"/>
      <c r="CX15" s="61"/>
      <c r="CY15" s="61"/>
      <c r="CZ15" s="61"/>
      <c r="DA15" s="61"/>
      <c r="DB15" s="61"/>
      <c r="DC15" s="61"/>
      <c r="DD15" s="61"/>
      <c r="DE15" s="61"/>
      <c r="DF15" s="61"/>
      <c r="DG15" s="61"/>
      <c r="DH15" s="61"/>
      <c r="DI15" s="61"/>
      <c r="DJ15" s="61"/>
      <c r="DK15" s="61"/>
      <c r="DL15" s="61"/>
      <c r="DM15" s="61"/>
      <c r="DN15" s="61"/>
      <c r="DO15" s="61"/>
      <c r="DP15" s="61"/>
      <c r="DQ15" s="156"/>
      <c r="DR15" s="156"/>
      <c r="DS15" s="156"/>
      <c r="DT15" s="156"/>
      <c r="DU15" s="156"/>
      <c r="DV15" s="156"/>
      <c r="DW15" s="156"/>
      <c r="DX15" s="156"/>
      <c r="DY15" s="156"/>
      <c r="DZ15" s="59"/>
      <c r="EA15" s="59"/>
      <c r="EB15" s="59"/>
      <c r="EC15" s="59"/>
      <c r="ED15" s="59"/>
      <c r="EE15" s="59"/>
      <c r="EF15" s="59"/>
      <c r="EG15" s="59"/>
    </row>
    <row r="16" spans="1:137" s="86" customFormat="1" ht="15.9" customHeight="1" x14ac:dyDescent="0.3">
      <c r="A16" s="81"/>
      <c r="B16" s="81"/>
      <c r="C16" s="82"/>
      <c r="D16" s="82"/>
      <c r="E16" s="83" t="s">
        <v>51</v>
      </c>
      <c r="F16" s="83"/>
      <c r="G16" s="84" t="s">
        <v>52</v>
      </c>
      <c r="H16" s="84"/>
      <c r="I16" s="203"/>
      <c r="J16" s="167"/>
      <c r="K16" s="219"/>
      <c r="L16" s="85"/>
      <c r="M16" s="280" t="s">
        <v>21</v>
      </c>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90"/>
      <c r="AV16" s="90"/>
      <c r="AW16" s="87"/>
      <c r="AX16" s="90"/>
      <c r="AY16" s="90"/>
      <c r="AZ16" s="87"/>
      <c r="BA16" s="90"/>
      <c r="BB16" s="90"/>
      <c r="BC16" s="90"/>
      <c r="BD16" s="90"/>
      <c r="BE16" s="87"/>
      <c r="BF16" s="87"/>
      <c r="BG16" s="87"/>
      <c r="BH16" s="87"/>
      <c r="BI16" s="90"/>
      <c r="BJ16" s="90"/>
      <c r="BK16" s="87"/>
      <c r="BL16" s="87"/>
      <c r="BM16" s="87"/>
      <c r="BN16" s="90"/>
      <c r="BO16" s="87"/>
      <c r="BP16" s="88"/>
      <c r="BQ16" s="90"/>
      <c r="BR16" s="87"/>
      <c r="BS16" s="87"/>
      <c r="BT16" s="87"/>
      <c r="BU16" s="87"/>
      <c r="BV16" s="87"/>
      <c r="BW16" s="87"/>
      <c r="BX16" s="87"/>
      <c r="BY16" s="87"/>
      <c r="BZ16" s="87"/>
      <c r="CA16" s="87"/>
      <c r="CB16" s="87"/>
      <c r="CC16" s="402"/>
      <c r="CD16" s="90"/>
      <c r="CE16" s="90"/>
      <c r="CF16" s="87"/>
      <c r="CG16" s="87"/>
      <c r="CH16" s="90"/>
      <c r="CI16" s="87"/>
      <c r="CJ16" s="87"/>
      <c r="CK16" s="90"/>
      <c r="CL16" s="90"/>
      <c r="CM16" s="87"/>
      <c r="CN16" s="90"/>
      <c r="CO16" s="90"/>
      <c r="CP16" s="90"/>
      <c r="CQ16" s="90"/>
      <c r="CR16" s="90"/>
      <c r="CS16" s="90"/>
      <c r="CT16" s="90"/>
      <c r="CU16" s="90"/>
      <c r="CV16" s="90"/>
      <c r="CW16" s="90"/>
      <c r="CX16" s="90"/>
      <c r="CY16" s="90"/>
      <c r="CZ16" s="90"/>
      <c r="DA16" s="90"/>
      <c r="DB16" s="90"/>
      <c r="DC16" s="90"/>
      <c r="DD16" s="90"/>
      <c r="DE16" s="90"/>
      <c r="DF16" s="90"/>
      <c r="DG16" s="90"/>
      <c r="DH16" s="90"/>
      <c r="DI16" s="90"/>
      <c r="DJ16" s="90"/>
      <c r="DK16" s="90"/>
      <c r="DL16" s="90"/>
      <c r="DM16" s="90"/>
      <c r="DN16" s="90"/>
      <c r="DO16" s="90"/>
      <c r="DP16" s="90"/>
      <c r="DQ16" s="155"/>
      <c r="DR16" s="155"/>
      <c r="DS16" s="155"/>
      <c r="DT16" s="155"/>
      <c r="DU16" s="155"/>
      <c r="DV16" s="155"/>
      <c r="DW16" s="155"/>
      <c r="DX16" s="155"/>
      <c r="DY16" s="155"/>
      <c r="DZ16" s="59"/>
      <c r="EA16" s="59"/>
      <c r="EB16" s="59"/>
      <c r="EC16" s="59"/>
      <c r="ED16" s="59"/>
      <c r="EE16" s="59"/>
      <c r="EF16" s="59"/>
      <c r="EG16" s="59"/>
    </row>
    <row r="17" spans="1:137" s="10" customFormat="1" ht="15.9" customHeight="1" outlineLevel="1" x14ac:dyDescent="0.3">
      <c r="A17" s="7" t="s">
        <v>22</v>
      </c>
      <c r="B17" s="7"/>
      <c r="C17" s="8" t="s">
        <v>31</v>
      </c>
      <c r="D17" s="146">
        <v>41.01</v>
      </c>
      <c r="E17" s="7" t="s">
        <v>51</v>
      </c>
      <c r="F17" s="7" t="s">
        <v>53</v>
      </c>
      <c r="G17" s="9" t="s">
        <v>54</v>
      </c>
      <c r="H17" s="9"/>
      <c r="I17" s="204" t="str" cm="1">
        <f t="array" ref="I17">IFERROR(LOOKUP(2,1/(N17:GR17&lt;&gt;""),N$4:DRA$4),"")</f>
        <v/>
      </c>
      <c r="J17" s="169" t="str" cm="1">
        <f t="array" ref="J17">IFERROR(_xlfn.XLOOKUP(TRUE,N17:EH17&lt;&gt;"",N17:EH17,,,-1)," ")</f>
        <v xml:space="preserve"> </v>
      </c>
      <c r="K17" s="45">
        <v>19</v>
      </c>
      <c r="L17" s="45"/>
      <c r="M17" s="282" t="s">
        <v>34</v>
      </c>
      <c r="N17" s="57"/>
      <c r="O17" s="57"/>
      <c r="P17" s="57"/>
      <c r="Q17" s="57"/>
      <c r="R17" s="57"/>
      <c r="S17" s="57"/>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7"/>
      <c r="AR17" s="57"/>
      <c r="AS17" s="57"/>
      <c r="AT17" s="57"/>
      <c r="AU17" s="61"/>
      <c r="AV17" s="61"/>
      <c r="AW17" s="57"/>
      <c r="AX17" s="61"/>
      <c r="AY17" s="61"/>
      <c r="AZ17" s="57"/>
      <c r="BA17" s="61"/>
      <c r="BB17" s="61"/>
      <c r="BC17" s="61"/>
      <c r="BD17" s="61"/>
      <c r="BE17" s="57"/>
      <c r="BF17" s="57"/>
      <c r="BG17" s="57"/>
      <c r="BH17" s="57"/>
      <c r="BI17" s="61"/>
      <c r="BJ17" s="61"/>
      <c r="BK17" s="57"/>
      <c r="BL17" s="57"/>
      <c r="BM17" s="57"/>
      <c r="BN17" s="61"/>
      <c r="BO17" s="57"/>
      <c r="BP17" s="58"/>
      <c r="BQ17" s="61"/>
      <c r="BR17" s="57"/>
      <c r="BS17" s="57"/>
      <c r="BT17" s="57"/>
      <c r="BU17" s="57"/>
      <c r="BV17" s="57"/>
      <c r="BW17" s="57"/>
      <c r="BX17" s="57"/>
      <c r="BY17" s="57"/>
      <c r="BZ17" s="57"/>
      <c r="CA17" s="57"/>
      <c r="CB17" s="57"/>
      <c r="CC17" s="27"/>
      <c r="CD17" s="61"/>
      <c r="CE17" s="61"/>
      <c r="CF17" s="57"/>
      <c r="CG17" s="61"/>
      <c r="CH17" s="61"/>
      <c r="CI17" s="61"/>
      <c r="CJ17" s="57"/>
      <c r="CK17" s="61"/>
      <c r="CL17" s="61"/>
      <c r="CM17" s="61"/>
      <c r="CN17" s="61"/>
      <c r="CO17" s="61"/>
      <c r="CP17" s="61"/>
      <c r="CQ17" s="61"/>
      <c r="CR17" s="61"/>
      <c r="CS17" s="61"/>
      <c r="CT17" s="61"/>
      <c r="CU17" s="61"/>
      <c r="CV17" s="61"/>
      <c r="CW17" s="61"/>
      <c r="CX17" s="61"/>
      <c r="CY17" s="61"/>
      <c r="CZ17" s="61"/>
      <c r="DA17" s="61"/>
      <c r="DB17" s="61"/>
      <c r="DC17" s="61"/>
      <c r="DD17" s="61"/>
      <c r="DE17" s="61"/>
      <c r="DF17" s="61"/>
      <c r="DG17" s="61"/>
      <c r="DH17" s="61"/>
      <c r="DI17" s="61"/>
      <c r="DJ17" s="61"/>
      <c r="DK17" s="61"/>
      <c r="DL17" s="61"/>
      <c r="DM17" s="61"/>
      <c r="DN17" s="61"/>
      <c r="DO17" s="61"/>
      <c r="DP17" s="61"/>
      <c r="DQ17" s="156"/>
      <c r="DR17" s="156"/>
      <c r="DS17" s="156"/>
      <c r="DT17" s="156"/>
      <c r="DU17" s="156"/>
      <c r="DV17" s="156"/>
      <c r="DW17" s="156"/>
      <c r="DX17" s="156"/>
      <c r="DY17" s="156"/>
      <c r="DZ17" s="59"/>
      <c r="EA17" s="59"/>
      <c r="EB17" s="59"/>
      <c r="EC17" s="59"/>
      <c r="ED17" s="59"/>
      <c r="EE17" s="59"/>
      <c r="EF17" s="59"/>
      <c r="EG17" s="59"/>
    </row>
    <row r="18" spans="1:137" s="5" customFormat="1" ht="15.9" customHeight="1" outlineLevel="1" x14ac:dyDescent="0.3">
      <c r="A18" s="6" t="s">
        <v>22</v>
      </c>
      <c r="B18" s="6"/>
      <c r="C18" s="50" t="s">
        <v>31</v>
      </c>
      <c r="D18" s="147">
        <v>16.46</v>
      </c>
      <c r="E18" s="6" t="s">
        <v>51</v>
      </c>
      <c r="F18" s="6" t="s">
        <v>55</v>
      </c>
      <c r="G18" s="11" t="s">
        <v>56</v>
      </c>
      <c r="H18" s="11"/>
      <c r="I18" s="205" t="str" cm="1">
        <f t="array" ref="I18">IFERROR(LOOKUP(2,1/(N18:GR18&lt;&gt;""),N$4:DRA$4),"")</f>
        <v/>
      </c>
      <c r="J18" s="170" t="str" cm="1">
        <f t="array" ref="J18">IFERROR(_xlfn.XLOOKUP(TRUE,N18:EH18&lt;&gt;"",N18:EH18,,,-1)," ")</f>
        <v xml:space="preserve"> </v>
      </c>
      <c r="K18" s="49">
        <v>19</v>
      </c>
      <c r="L18" s="49"/>
      <c r="M18" s="284" t="s">
        <v>34</v>
      </c>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3"/>
      <c r="AV18" s="63"/>
      <c r="AW18" s="62"/>
      <c r="AX18" s="63"/>
      <c r="AY18" s="63"/>
      <c r="AZ18" s="62"/>
      <c r="BA18" s="63"/>
      <c r="BB18" s="63"/>
      <c r="BC18" s="63"/>
      <c r="BD18" s="63"/>
      <c r="BE18" s="62"/>
      <c r="BF18" s="62"/>
      <c r="BG18" s="62"/>
      <c r="BH18" s="62"/>
      <c r="BI18" s="63"/>
      <c r="BJ18" s="63"/>
      <c r="BK18" s="62"/>
      <c r="BL18" s="62"/>
      <c r="BM18" s="62"/>
      <c r="BN18" s="63"/>
      <c r="BO18" s="62"/>
      <c r="BP18" s="64"/>
      <c r="BQ18" s="63"/>
      <c r="BR18" s="62"/>
      <c r="BS18" s="62"/>
      <c r="BT18" s="62"/>
      <c r="BU18" s="62"/>
      <c r="BV18" s="62"/>
      <c r="BW18" s="62"/>
      <c r="BX18" s="62"/>
      <c r="BY18" s="62"/>
      <c r="BZ18" s="62"/>
      <c r="CA18" s="62"/>
      <c r="CB18" s="62"/>
      <c r="CC18" s="51"/>
      <c r="CD18" s="63"/>
      <c r="CE18" s="63"/>
      <c r="CF18" s="62"/>
      <c r="CG18" s="63"/>
      <c r="CH18" s="63"/>
      <c r="CI18" s="63"/>
      <c r="CJ18" s="62"/>
      <c r="CK18" s="63"/>
      <c r="CL18" s="63"/>
      <c r="CM18" s="63"/>
      <c r="CN18" s="63"/>
      <c r="CO18" s="63"/>
      <c r="CP18" s="63"/>
      <c r="CQ18" s="63"/>
      <c r="CR18" s="63"/>
      <c r="CS18" s="63"/>
      <c r="CT18" s="63"/>
      <c r="CU18" s="63"/>
      <c r="CV18" s="63"/>
      <c r="CW18" s="63"/>
      <c r="CX18" s="63"/>
      <c r="CY18" s="63"/>
      <c r="CZ18" s="63"/>
      <c r="DA18" s="63"/>
      <c r="DB18" s="63"/>
      <c r="DC18" s="63"/>
      <c r="DD18" s="63"/>
      <c r="DE18" s="63"/>
      <c r="DF18" s="63"/>
      <c r="DG18" s="63"/>
      <c r="DH18" s="63"/>
      <c r="DI18" s="63"/>
      <c r="DJ18" s="63"/>
      <c r="DK18" s="63"/>
      <c r="DL18" s="63"/>
      <c r="DM18" s="63"/>
      <c r="DN18" s="63"/>
      <c r="DO18" s="63"/>
      <c r="DP18" s="63"/>
      <c r="DQ18" s="158"/>
      <c r="DR18" s="158"/>
      <c r="DS18" s="158"/>
      <c r="DT18" s="158"/>
      <c r="DU18" s="158"/>
      <c r="DV18" s="158"/>
      <c r="DW18" s="158"/>
      <c r="DX18" s="158"/>
      <c r="DY18" s="158"/>
      <c r="DZ18" s="59"/>
      <c r="EA18" s="59"/>
      <c r="EB18" s="59"/>
      <c r="EC18" s="59"/>
      <c r="ED18" s="59"/>
      <c r="EE18" s="59"/>
      <c r="EF18" s="59"/>
      <c r="EG18" s="59"/>
    </row>
    <row r="19" spans="1:137" s="10" customFormat="1" ht="15.9" customHeight="1" outlineLevel="1" x14ac:dyDescent="0.3">
      <c r="A19" s="7" t="s">
        <v>22</v>
      </c>
      <c r="B19" s="7"/>
      <c r="C19" s="8" t="s">
        <v>31</v>
      </c>
      <c r="D19" s="146">
        <v>19.38</v>
      </c>
      <c r="E19" s="7" t="s">
        <v>51</v>
      </c>
      <c r="F19" s="7" t="s">
        <v>57</v>
      </c>
      <c r="G19" s="9" t="s">
        <v>58</v>
      </c>
      <c r="H19" s="9"/>
      <c r="I19" s="204" cm="1">
        <f t="array" ref="I19">IFERROR(LOOKUP(2,1/(N19:GR19&lt;&gt;""),N$4:DRA$4),"")</f>
        <v>45184</v>
      </c>
      <c r="J19" s="169" cm="1">
        <f t="array" ref="J19">IFERROR(_xlfn.XLOOKUP(TRUE,N19:EH19&lt;&gt;"",N19:EH19,,,-1)," ")</f>
        <v>19.5</v>
      </c>
      <c r="K19" s="45">
        <v>19</v>
      </c>
      <c r="L19" s="45">
        <v>21</v>
      </c>
      <c r="M19" s="282" t="s">
        <v>59</v>
      </c>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t="s">
        <v>60</v>
      </c>
      <c r="AN19" s="57"/>
      <c r="AO19" s="57"/>
      <c r="AP19" s="57"/>
      <c r="AQ19" s="58"/>
      <c r="AR19" s="57"/>
      <c r="AS19" s="57"/>
      <c r="AT19" s="57"/>
      <c r="AU19" s="61"/>
      <c r="AV19" s="61">
        <v>18.100000000000001</v>
      </c>
      <c r="AW19" s="57"/>
      <c r="AX19" s="61"/>
      <c r="AY19" s="61"/>
      <c r="AZ19" s="57"/>
      <c r="BA19" s="61"/>
      <c r="BB19" s="61"/>
      <c r="BC19" s="61" t="s">
        <v>61</v>
      </c>
      <c r="BD19" s="61"/>
      <c r="BE19" s="57"/>
      <c r="BF19" s="61"/>
      <c r="BG19" s="61"/>
      <c r="BH19" s="57"/>
      <c r="BI19" s="61">
        <v>20.6</v>
      </c>
      <c r="BJ19" s="61"/>
      <c r="BK19" s="58">
        <v>19.5</v>
      </c>
      <c r="BL19" s="61"/>
      <c r="BM19" s="57"/>
      <c r="BN19" s="61"/>
      <c r="BO19" s="57"/>
      <c r="BP19" s="58"/>
      <c r="BQ19" s="61"/>
      <c r="BR19" s="61"/>
      <c r="BS19" s="61"/>
      <c r="BT19" s="61"/>
      <c r="BU19" s="61"/>
      <c r="BV19" s="61"/>
      <c r="BW19" s="61"/>
      <c r="BX19" s="61"/>
      <c r="BY19" s="61"/>
      <c r="BZ19" s="61"/>
      <c r="CA19" s="61"/>
      <c r="CB19" s="57"/>
      <c r="CC19" s="61"/>
      <c r="CD19" s="61"/>
      <c r="CE19" s="61"/>
      <c r="CF19" s="57"/>
      <c r="CG19" s="61"/>
      <c r="CH19" s="61"/>
      <c r="CI19" s="61"/>
      <c r="CJ19" s="57"/>
      <c r="CK19" s="61"/>
      <c r="CL19" s="61"/>
      <c r="CM19" s="61"/>
      <c r="CN19" s="61"/>
      <c r="CO19" s="61"/>
      <c r="CP19" s="61"/>
      <c r="CQ19" s="61"/>
      <c r="CR19" s="61"/>
      <c r="CS19" s="61"/>
      <c r="CT19" s="61"/>
      <c r="CU19" s="61"/>
      <c r="CV19" s="61"/>
      <c r="CW19" s="61"/>
      <c r="CX19" s="61"/>
      <c r="CY19" s="61"/>
      <c r="CZ19" s="61"/>
      <c r="DA19" s="61"/>
      <c r="DB19" s="61"/>
      <c r="DC19" s="61"/>
      <c r="DD19" s="61"/>
      <c r="DE19" s="61"/>
      <c r="DF19" s="61"/>
      <c r="DG19" s="61"/>
      <c r="DH19" s="61"/>
      <c r="DI19" s="61"/>
      <c r="DJ19" s="61"/>
      <c r="DK19" s="61"/>
      <c r="DL19" s="61"/>
      <c r="DM19" s="61"/>
      <c r="DN19" s="61"/>
      <c r="DO19" s="61"/>
      <c r="DP19" s="61"/>
      <c r="DQ19" s="156"/>
      <c r="DR19" s="156"/>
      <c r="DS19" s="156"/>
      <c r="DT19" s="156"/>
      <c r="DU19" s="156"/>
      <c r="DV19" s="156"/>
      <c r="DW19" s="156"/>
      <c r="DX19" s="156"/>
      <c r="DY19" s="156"/>
      <c r="DZ19" s="59"/>
      <c r="EA19" s="59"/>
      <c r="EB19" s="59"/>
      <c r="EC19" s="59"/>
      <c r="ED19" s="59"/>
      <c r="EE19" s="59"/>
      <c r="EF19" s="59"/>
      <c r="EG19" s="59"/>
    </row>
    <row r="20" spans="1:137" s="5" customFormat="1" ht="15.9" customHeight="1" outlineLevel="1" x14ac:dyDescent="0.3">
      <c r="A20" s="6" t="s">
        <v>23</v>
      </c>
      <c r="B20" s="6" t="s">
        <v>23</v>
      </c>
      <c r="C20" s="50" t="s">
        <v>31</v>
      </c>
      <c r="D20" s="147">
        <v>19.86</v>
      </c>
      <c r="E20" s="6" t="s">
        <v>51</v>
      </c>
      <c r="F20" s="6" t="s">
        <v>62</v>
      </c>
      <c r="G20" s="11" t="s">
        <v>63</v>
      </c>
      <c r="H20" s="11"/>
      <c r="I20" s="205" cm="1">
        <f t="array" ref="I20">IFERROR(LOOKUP(2,1/(N20:GR20&lt;&gt;""),N$4:DRA$4),"")</f>
        <v>45182</v>
      </c>
      <c r="J20" s="170" cm="1">
        <f t="array" ref="J20">IFERROR(_xlfn.XLOOKUP(TRUE,N20:EH20&lt;&gt;"",N20:EH20,,,-1)," ")</f>
        <v>20.8</v>
      </c>
      <c r="K20" s="49">
        <v>19</v>
      </c>
      <c r="L20" s="49">
        <v>21.5</v>
      </c>
      <c r="M20" s="284" t="s">
        <v>64</v>
      </c>
      <c r="N20" s="62"/>
      <c r="O20" s="62"/>
      <c r="P20" s="62"/>
      <c r="Q20" s="62"/>
      <c r="R20" s="62"/>
      <c r="S20" s="62"/>
      <c r="T20" s="62"/>
      <c r="U20" s="62"/>
      <c r="V20" s="62"/>
      <c r="W20" s="62"/>
      <c r="X20" s="62"/>
      <c r="Y20" s="62"/>
      <c r="Z20" s="62"/>
      <c r="AA20" s="62"/>
      <c r="AB20" s="62"/>
      <c r="AC20" s="62"/>
      <c r="AD20" s="62"/>
      <c r="AE20" s="62"/>
      <c r="AF20" s="62"/>
      <c r="AG20" s="62"/>
      <c r="AH20" s="62"/>
      <c r="AI20" s="62"/>
      <c r="AJ20" s="62"/>
      <c r="AK20" s="62"/>
      <c r="AL20" s="62"/>
      <c r="AM20" s="62"/>
      <c r="AN20" s="62">
        <v>17.3</v>
      </c>
      <c r="AO20" s="62"/>
      <c r="AP20" s="62"/>
      <c r="AQ20" s="62"/>
      <c r="AR20" s="62"/>
      <c r="AS20" s="62"/>
      <c r="AT20" s="62"/>
      <c r="AU20" s="63"/>
      <c r="AV20" s="63" t="s">
        <v>65</v>
      </c>
      <c r="AW20" s="62"/>
      <c r="AX20" s="63"/>
      <c r="AY20" s="63"/>
      <c r="AZ20" s="62"/>
      <c r="BA20" s="63"/>
      <c r="BB20" s="63"/>
      <c r="BC20" s="63">
        <v>20.100000000000001</v>
      </c>
      <c r="BD20" s="63"/>
      <c r="BE20" s="62"/>
      <c r="BF20" s="62"/>
      <c r="BG20" s="62"/>
      <c r="BH20" s="62"/>
      <c r="BI20" s="63">
        <v>20.8</v>
      </c>
      <c r="BJ20" s="63"/>
      <c r="BK20" s="62"/>
      <c r="BL20" s="62"/>
      <c r="BM20" s="62"/>
      <c r="BN20" s="63"/>
      <c r="BO20" s="62"/>
      <c r="BP20" s="64"/>
      <c r="BQ20" s="63"/>
      <c r="BR20" s="62"/>
      <c r="BS20" s="62"/>
      <c r="BT20" s="62"/>
      <c r="BU20" s="62"/>
      <c r="BV20" s="62"/>
      <c r="BW20" s="62"/>
      <c r="BX20" s="62"/>
      <c r="BY20" s="62"/>
      <c r="BZ20" s="62"/>
      <c r="CA20" s="62"/>
      <c r="CB20" s="62"/>
      <c r="CC20" s="51"/>
      <c r="CD20" s="63"/>
      <c r="CE20" s="63"/>
      <c r="CF20" s="62"/>
      <c r="CG20" s="62"/>
      <c r="CH20" s="63"/>
      <c r="CI20" s="63"/>
      <c r="CJ20" s="62"/>
      <c r="CK20" s="63"/>
      <c r="CL20" s="63"/>
      <c r="CM20" s="63"/>
      <c r="CN20" s="63"/>
      <c r="CO20" s="63"/>
      <c r="CP20" s="63"/>
      <c r="CQ20" s="63"/>
      <c r="CR20" s="63"/>
      <c r="CS20" s="63"/>
      <c r="CT20" s="63"/>
      <c r="CU20" s="63"/>
      <c r="CV20" s="63"/>
      <c r="CW20" s="63"/>
      <c r="CX20" s="63"/>
      <c r="CY20" s="63"/>
      <c r="CZ20" s="63"/>
      <c r="DA20" s="63"/>
      <c r="DB20" s="63"/>
      <c r="DC20" s="63"/>
      <c r="DD20" s="63"/>
      <c r="DE20" s="63"/>
      <c r="DF20" s="63"/>
      <c r="DG20" s="63"/>
      <c r="DH20" s="63"/>
      <c r="DI20" s="63"/>
      <c r="DJ20" s="63"/>
      <c r="DK20" s="63"/>
      <c r="DL20" s="63"/>
      <c r="DM20" s="63"/>
      <c r="DN20" s="63"/>
      <c r="DO20" s="63"/>
      <c r="DP20" s="63"/>
      <c r="DQ20" s="158"/>
      <c r="DR20" s="158"/>
      <c r="DS20" s="158"/>
      <c r="DT20" s="158"/>
      <c r="DU20" s="158"/>
      <c r="DV20" s="158"/>
      <c r="DW20" s="158"/>
      <c r="DX20" s="158"/>
      <c r="DY20" s="158"/>
      <c r="DZ20" s="59"/>
      <c r="EA20" s="59"/>
      <c r="EB20" s="59"/>
      <c r="EC20" s="59"/>
      <c r="ED20" s="59"/>
      <c r="EE20" s="59"/>
      <c r="EF20" s="59"/>
      <c r="EG20" s="59"/>
    </row>
    <row r="21" spans="1:137" s="10" customFormat="1" ht="15.9" customHeight="1" outlineLevel="1" x14ac:dyDescent="0.3">
      <c r="A21" s="7" t="s">
        <v>23</v>
      </c>
      <c r="B21" s="7" t="s">
        <v>23</v>
      </c>
      <c r="C21" s="8" t="s">
        <v>31</v>
      </c>
      <c r="D21" s="146">
        <v>3.03</v>
      </c>
      <c r="E21" s="7" t="s">
        <v>51</v>
      </c>
      <c r="F21" s="7" t="s">
        <v>66</v>
      </c>
      <c r="G21" s="9" t="s">
        <v>67</v>
      </c>
      <c r="H21" s="9"/>
      <c r="I21" s="204" cm="1">
        <f t="array" ref="I21">IFERROR(LOOKUP(2,1/(N21:GR21&lt;&gt;""),N$4:DRA$4),"")</f>
        <v>45182</v>
      </c>
      <c r="J21" s="169" cm="1">
        <f t="array" ref="J21">IFERROR(_xlfn.XLOOKUP(TRUE,N21:EH21&lt;&gt;"",N21:EH21,,,-1)," ")</f>
        <v>19.2</v>
      </c>
      <c r="K21" s="45">
        <v>19</v>
      </c>
      <c r="L21" s="45">
        <v>21.5</v>
      </c>
      <c r="M21" s="282" t="s">
        <v>64</v>
      </c>
      <c r="N21" s="57"/>
      <c r="O21" s="57"/>
      <c r="P21" s="57"/>
      <c r="Q21" s="57"/>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61"/>
      <c r="AV21" s="61">
        <v>18</v>
      </c>
      <c r="AW21" s="57"/>
      <c r="AX21" s="61"/>
      <c r="AY21" s="61"/>
      <c r="AZ21" s="57"/>
      <c r="BA21" s="61"/>
      <c r="BB21" s="61"/>
      <c r="BC21" s="61">
        <v>18.100000000000001</v>
      </c>
      <c r="BD21" s="61"/>
      <c r="BE21" s="57"/>
      <c r="BF21" s="57"/>
      <c r="BG21" s="57"/>
      <c r="BH21" s="57"/>
      <c r="BI21" s="61">
        <v>19.2</v>
      </c>
      <c r="BJ21" s="61"/>
      <c r="BK21" s="57"/>
      <c r="BL21" s="57"/>
      <c r="BM21" s="57"/>
      <c r="BN21" s="61"/>
      <c r="BO21" s="57"/>
      <c r="BP21" s="58"/>
      <c r="BQ21" s="61"/>
      <c r="BR21" s="57"/>
      <c r="BS21" s="57"/>
      <c r="BT21" s="57"/>
      <c r="BU21" s="57"/>
      <c r="BV21" s="57"/>
      <c r="BW21" s="57"/>
      <c r="BX21" s="57"/>
      <c r="BY21" s="57"/>
      <c r="BZ21" s="57"/>
      <c r="CA21" s="57"/>
      <c r="CB21" s="57"/>
      <c r="CC21" s="27"/>
      <c r="CD21" s="61"/>
      <c r="CE21" s="61"/>
      <c r="CF21" s="57"/>
      <c r="CG21" s="61"/>
      <c r="CH21" s="61"/>
      <c r="CI21" s="61"/>
      <c r="CJ21" s="57"/>
      <c r="CK21" s="61"/>
      <c r="CL21" s="61"/>
      <c r="CM21" s="61"/>
      <c r="CN21" s="61"/>
      <c r="CO21" s="61"/>
      <c r="CP21" s="61"/>
      <c r="CQ21" s="61"/>
      <c r="CR21" s="61"/>
      <c r="CS21" s="61"/>
      <c r="CT21" s="61"/>
      <c r="CU21" s="61"/>
      <c r="CV21" s="61"/>
      <c r="CW21" s="61"/>
      <c r="CX21" s="61"/>
      <c r="CY21" s="61"/>
      <c r="CZ21" s="61"/>
      <c r="DA21" s="61"/>
      <c r="DB21" s="61"/>
      <c r="DC21" s="61"/>
      <c r="DD21" s="61"/>
      <c r="DE21" s="61"/>
      <c r="DF21" s="61"/>
      <c r="DG21" s="61"/>
      <c r="DH21" s="61"/>
      <c r="DI21" s="61"/>
      <c r="DJ21" s="61"/>
      <c r="DK21" s="61"/>
      <c r="DL21" s="61"/>
      <c r="DM21" s="61"/>
      <c r="DN21" s="61"/>
      <c r="DO21" s="61"/>
      <c r="DP21" s="61"/>
      <c r="DQ21" s="156"/>
      <c r="DR21" s="156"/>
      <c r="DS21" s="156"/>
      <c r="DT21" s="156"/>
      <c r="DU21" s="156"/>
      <c r="DV21" s="156"/>
      <c r="DW21" s="156"/>
      <c r="DX21" s="156"/>
      <c r="DY21" s="156"/>
      <c r="DZ21" s="59"/>
      <c r="EA21" s="59"/>
      <c r="EB21" s="59"/>
      <c r="EC21" s="59"/>
      <c r="ED21" s="59"/>
      <c r="EE21" s="59"/>
      <c r="EF21" s="59"/>
      <c r="EG21" s="59"/>
    </row>
    <row r="22" spans="1:137" s="5" customFormat="1" ht="15.9" customHeight="1" outlineLevel="1" x14ac:dyDescent="0.3">
      <c r="A22" s="6" t="s">
        <v>22</v>
      </c>
      <c r="B22" s="6"/>
      <c r="C22" s="50" t="s">
        <v>31</v>
      </c>
      <c r="D22" s="147">
        <v>22.93</v>
      </c>
      <c r="E22" s="6" t="s">
        <v>51</v>
      </c>
      <c r="F22" s="6" t="s">
        <v>68</v>
      </c>
      <c r="G22" s="11" t="s">
        <v>69</v>
      </c>
      <c r="H22" s="11"/>
      <c r="I22" s="205" cm="1">
        <f t="array" ref="I22">IFERROR(LOOKUP(2,1/(N22:GR22&lt;&gt;""),N$4:DRA$4),"")</f>
        <v>45191</v>
      </c>
      <c r="J22" s="170" cm="1">
        <f t="array" ref="J22">IFERROR(_xlfn.XLOOKUP(TRUE,N22:EH22&lt;&gt;"",N22:EH22,,,-1)," ")</f>
        <v>19.899999999999999</v>
      </c>
      <c r="K22" s="49">
        <v>19</v>
      </c>
      <c r="L22" s="49">
        <v>21.5</v>
      </c>
      <c r="M22" s="284" t="s">
        <v>64</v>
      </c>
      <c r="N22" s="62"/>
      <c r="O22" s="62"/>
      <c r="P22" s="62"/>
      <c r="Q22" s="62"/>
      <c r="R22" s="62"/>
      <c r="S22" s="62"/>
      <c r="T22" s="62"/>
      <c r="U22" s="62"/>
      <c r="V22" s="62"/>
      <c r="W22" s="62"/>
      <c r="X22" s="62"/>
      <c r="Y22" s="62"/>
      <c r="Z22" s="62"/>
      <c r="AA22" s="62"/>
      <c r="AB22" s="62"/>
      <c r="AC22" s="62"/>
      <c r="AD22" s="62"/>
      <c r="AE22" s="62"/>
      <c r="AF22" s="62">
        <v>12.3</v>
      </c>
      <c r="AG22" s="62"/>
      <c r="AH22" s="62"/>
      <c r="AI22" s="62"/>
      <c r="AJ22" s="62"/>
      <c r="AK22" s="62"/>
      <c r="AL22" s="62"/>
      <c r="AM22" s="171">
        <v>15.6</v>
      </c>
      <c r="AN22" s="62"/>
      <c r="AO22" s="62"/>
      <c r="AP22" s="62"/>
      <c r="AQ22" s="66"/>
      <c r="AR22" s="64"/>
      <c r="AS22" s="62"/>
      <c r="AT22" s="62"/>
      <c r="AU22" s="63"/>
      <c r="AV22" s="63">
        <v>16.2</v>
      </c>
      <c r="AW22" s="62"/>
      <c r="AX22" s="63"/>
      <c r="AY22" s="63"/>
      <c r="AZ22" s="62"/>
      <c r="BA22" s="63"/>
      <c r="BB22" s="63"/>
      <c r="BC22" s="63">
        <v>18.100000000000001</v>
      </c>
      <c r="BD22" s="63"/>
      <c r="BE22" s="62"/>
      <c r="BF22" s="62"/>
      <c r="BG22" s="62"/>
      <c r="BH22" s="62"/>
      <c r="BI22" s="63">
        <v>18.3</v>
      </c>
      <c r="BJ22" s="63"/>
      <c r="BK22" s="64">
        <v>18.8</v>
      </c>
      <c r="BL22" s="62"/>
      <c r="BM22" s="62"/>
      <c r="BN22" s="63"/>
      <c r="BO22" s="62"/>
      <c r="BP22" s="62"/>
      <c r="BQ22" s="63"/>
      <c r="BR22" s="62">
        <v>19.899999999999999</v>
      </c>
      <c r="BS22" s="62"/>
      <c r="BT22" s="62"/>
      <c r="BU22" s="62"/>
      <c r="BV22" s="62"/>
      <c r="BW22" s="62"/>
      <c r="BX22" s="62"/>
      <c r="BY22" s="62"/>
      <c r="BZ22" s="62"/>
      <c r="CA22" s="62"/>
      <c r="CB22" s="62"/>
      <c r="CC22" s="51"/>
      <c r="CD22" s="63"/>
      <c r="CE22" s="63"/>
      <c r="CF22" s="62"/>
      <c r="CG22" s="62"/>
      <c r="CH22" s="63"/>
      <c r="CI22" s="63"/>
      <c r="CJ22" s="62"/>
      <c r="CK22" s="63"/>
      <c r="CL22" s="63"/>
      <c r="CM22" s="63"/>
      <c r="CN22" s="63"/>
      <c r="CO22" s="63"/>
      <c r="CP22" s="63"/>
      <c r="CQ22" s="63"/>
      <c r="CR22" s="63"/>
      <c r="CS22" s="63"/>
      <c r="CT22" s="63"/>
      <c r="CU22" s="63"/>
      <c r="CV22" s="63"/>
      <c r="CW22" s="63"/>
      <c r="CX22" s="63"/>
      <c r="CY22" s="63"/>
      <c r="CZ22" s="63"/>
      <c r="DA22" s="63"/>
      <c r="DB22" s="63"/>
      <c r="DC22" s="63"/>
      <c r="DD22" s="63"/>
      <c r="DE22" s="63"/>
      <c r="DF22" s="63"/>
      <c r="DG22" s="63"/>
      <c r="DH22" s="63"/>
      <c r="DI22" s="63"/>
      <c r="DJ22" s="63"/>
      <c r="DK22" s="63"/>
      <c r="DL22" s="63"/>
      <c r="DM22" s="63"/>
      <c r="DN22" s="63"/>
      <c r="DO22" s="63"/>
      <c r="DP22" s="63"/>
      <c r="DQ22" s="158"/>
      <c r="DR22" s="158"/>
      <c r="DS22" s="158"/>
      <c r="DT22" s="158"/>
      <c r="DU22" s="158"/>
      <c r="DV22" s="158"/>
      <c r="DW22" s="158"/>
      <c r="DX22" s="158"/>
      <c r="DY22" s="158"/>
      <c r="DZ22" s="59"/>
      <c r="EA22" s="59"/>
      <c r="EB22" s="59"/>
      <c r="EC22" s="59"/>
      <c r="ED22" s="59"/>
      <c r="EE22" s="59"/>
      <c r="EF22" s="59"/>
      <c r="EG22" s="59"/>
    </row>
    <row r="23" spans="1:137" s="10" customFormat="1" ht="15.9" customHeight="1" outlineLevel="1" x14ac:dyDescent="0.3">
      <c r="A23" s="7"/>
      <c r="B23" s="7" t="s">
        <v>23</v>
      </c>
      <c r="C23" s="8" t="s">
        <v>31</v>
      </c>
      <c r="D23" s="146">
        <v>6.52</v>
      </c>
      <c r="E23" s="7" t="s">
        <v>51</v>
      </c>
      <c r="F23" s="7" t="s">
        <v>70</v>
      </c>
      <c r="G23" s="9" t="s">
        <v>71</v>
      </c>
      <c r="H23" s="9"/>
      <c r="I23" s="204" cm="1">
        <f t="array" ref="I23">IFERROR(LOOKUP(2,1/(N23:GR23&lt;&gt;""),N$4:DRA$4),"")</f>
        <v>45224</v>
      </c>
      <c r="J23" s="169" cm="1">
        <f t="array" ref="J23">IFERROR(_xlfn.XLOOKUP(TRUE,N23:EH23&lt;&gt;"",N23:EH23,,,-1)," ")</f>
        <v>22.5</v>
      </c>
      <c r="K23" s="45">
        <v>19</v>
      </c>
      <c r="L23" s="45"/>
      <c r="M23" s="282" t="s">
        <v>64</v>
      </c>
      <c r="N23" s="57"/>
      <c r="O23" s="57"/>
      <c r="P23" s="57"/>
      <c r="Q23" s="57"/>
      <c r="R23" s="57"/>
      <c r="S23" s="57"/>
      <c r="T23" s="57"/>
      <c r="U23" s="57"/>
      <c r="V23" s="57"/>
      <c r="W23" s="57"/>
      <c r="X23" s="57"/>
      <c r="Y23" s="57"/>
      <c r="Z23" s="57"/>
      <c r="AA23" s="57"/>
      <c r="AB23" s="57"/>
      <c r="AC23" s="57"/>
      <c r="AD23" s="57"/>
      <c r="AE23" s="57"/>
      <c r="AF23" s="57"/>
      <c r="AG23" s="57"/>
      <c r="AH23" s="57"/>
      <c r="AI23" s="57"/>
      <c r="AJ23" s="57"/>
      <c r="AK23" s="57"/>
      <c r="AL23" s="57"/>
      <c r="AM23" s="171">
        <v>15.6</v>
      </c>
      <c r="AN23" s="57">
        <v>16.3</v>
      </c>
      <c r="AO23" s="57"/>
      <c r="AP23" s="57"/>
      <c r="AQ23" s="67"/>
      <c r="AR23" s="58"/>
      <c r="AS23" s="57"/>
      <c r="AT23" s="57"/>
      <c r="AU23" s="61"/>
      <c r="AV23" s="61">
        <v>17.7</v>
      </c>
      <c r="AW23" s="57"/>
      <c r="AX23" s="61"/>
      <c r="AY23" s="61"/>
      <c r="AZ23" s="57"/>
      <c r="BA23" s="160"/>
      <c r="BB23" s="61"/>
      <c r="BC23" s="61">
        <v>18.7</v>
      </c>
      <c r="BD23" s="61"/>
      <c r="BE23" s="57"/>
      <c r="BF23" s="57"/>
      <c r="BG23" s="57"/>
      <c r="BH23" s="57"/>
      <c r="BI23" s="61">
        <v>19.3</v>
      </c>
      <c r="BJ23" s="61"/>
      <c r="BK23" s="57"/>
      <c r="BL23" s="57"/>
      <c r="BM23" s="57"/>
      <c r="BN23" s="61"/>
      <c r="BO23" s="57"/>
      <c r="BP23" s="57"/>
      <c r="BQ23" s="61"/>
      <c r="BR23" s="57">
        <v>21.3</v>
      </c>
      <c r="BS23" s="57"/>
      <c r="BT23" s="57"/>
      <c r="BU23" s="57"/>
      <c r="BV23" s="57"/>
      <c r="BW23" s="57"/>
      <c r="BX23" s="57"/>
      <c r="BY23" s="57"/>
      <c r="BZ23" s="57"/>
      <c r="CA23" s="57"/>
      <c r="CB23" s="57"/>
      <c r="CC23" s="27"/>
      <c r="CD23" s="61"/>
      <c r="CE23" s="61"/>
      <c r="CF23" s="57"/>
      <c r="CG23" s="61"/>
      <c r="CH23" s="61"/>
      <c r="CI23" s="61"/>
      <c r="CJ23" s="57"/>
      <c r="CK23" s="61"/>
      <c r="CL23" s="61"/>
      <c r="CM23" s="61"/>
      <c r="CN23" s="61"/>
      <c r="CO23" s="61"/>
      <c r="CP23" s="61"/>
      <c r="CQ23" s="61" t="s">
        <v>72</v>
      </c>
      <c r="CR23" s="61"/>
      <c r="CS23" s="61"/>
      <c r="CT23" s="61"/>
      <c r="CU23" s="61"/>
      <c r="CV23" s="61"/>
      <c r="CW23" s="61">
        <v>22.3</v>
      </c>
      <c r="CX23" s="61"/>
      <c r="CY23" s="61">
        <v>22.5</v>
      </c>
      <c r="CZ23" s="61"/>
      <c r="DA23" s="61"/>
      <c r="DB23" s="61"/>
      <c r="DC23" s="61"/>
      <c r="DD23" s="61"/>
      <c r="DE23" s="61"/>
      <c r="DF23" s="61"/>
      <c r="DG23" s="61"/>
      <c r="DH23" s="61"/>
      <c r="DI23" s="61"/>
      <c r="DJ23" s="61"/>
      <c r="DK23" s="61"/>
      <c r="DL23" s="61"/>
      <c r="DM23" s="61"/>
      <c r="DN23" s="61"/>
      <c r="DO23" s="61"/>
      <c r="DP23" s="61"/>
      <c r="DQ23" s="156"/>
      <c r="DR23" s="156"/>
      <c r="DS23" s="156"/>
      <c r="DT23" s="156"/>
      <c r="DU23" s="156"/>
      <c r="DV23" s="156"/>
      <c r="DW23" s="156"/>
      <c r="DX23" s="156"/>
      <c r="DY23" s="156"/>
      <c r="DZ23" s="59"/>
      <c r="EA23" s="59"/>
      <c r="EB23" s="59"/>
      <c r="EC23" s="59"/>
      <c r="ED23" s="59"/>
      <c r="EE23" s="59"/>
      <c r="EF23" s="59"/>
      <c r="EG23" s="59"/>
    </row>
    <row r="24" spans="1:137" s="5" customFormat="1" ht="15.9" customHeight="1" outlineLevel="1" x14ac:dyDescent="0.3">
      <c r="A24" s="6" t="s">
        <v>22</v>
      </c>
      <c r="B24" s="6" t="s">
        <v>23</v>
      </c>
      <c r="C24" s="50" t="s">
        <v>31</v>
      </c>
      <c r="D24" s="147">
        <v>7.28</v>
      </c>
      <c r="E24" s="6" t="s">
        <v>51</v>
      </c>
      <c r="F24" s="6" t="s">
        <v>73</v>
      </c>
      <c r="G24" s="11" t="s">
        <v>74</v>
      </c>
      <c r="H24" s="11"/>
      <c r="I24" s="205" cm="1">
        <f t="array" ref="I24">IFERROR(LOOKUP(2,1/(N24:GR24&lt;&gt;""),N$4:DRA$4),"")</f>
        <v>45196</v>
      </c>
      <c r="J24" s="170" cm="1">
        <f t="array" ref="J24">IFERROR(_xlfn.XLOOKUP(TRUE,N24:EH24&lt;&gt;"",N24:EH24,,,-1)," ")</f>
        <v>20.6</v>
      </c>
      <c r="K24" s="49">
        <v>19</v>
      </c>
      <c r="L24" s="49">
        <v>21.5</v>
      </c>
      <c r="M24" s="284" t="s">
        <v>64</v>
      </c>
      <c r="N24" s="62"/>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171">
        <v>15</v>
      </c>
      <c r="AN24" s="62">
        <v>14.4</v>
      </c>
      <c r="AO24" s="62"/>
      <c r="AP24" s="62"/>
      <c r="AQ24" s="66"/>
      <c r="AR24" s="64"/>
      <c r="AS24" s="62"/>
      <c r="AT24" s="62"/>
      <c r="AU24" s="63"/>
      <c r="AV24" s="63">
        <v>16.7</v>
      </c>
      <c r="AW24" s="62"/>
      <c r="AX24" s="63"/>
      <c r="AY24" s="63"/>
      <c r="AZ24" s="62"/>
      <c r="BA24" s="63"/>
      <c r="BB24" s="63"/>
      <c r="BC24" s="63">
        <v>17</v>
      </c>
      <c r="BD24" s="63"/>
      <c r="BE24" s="62"/>
      <c r="BF24" s="62"/>
      <c r="BG24" s="62"/>
      <c r="BH24" s="62"/>
      <c r="BI24" s="63">
        <v>18.399999999999999</v>
      </c>
      <c r="BJ24" s="63"/>
      <c r="BK24" s="62"/>
      <c r="BL24" s="62"/>
      <c r="BM24" s="62"/>
      <c r="BN24" s="63"/>
      <c r="BO24" s="62"/>
      <c r="BP24" s="62"/>
      <c r="BQ24" s="63"/>
      <c r="BR24" s="62">
        <v>20</v>
      </c>
      <c r="BS24" s="62"/>
      <c r="BT24" s="62"/>
      <c r="BU24" s="62"/>
      <c r="BV24" s="62"/>
      <c r="BW24" s="62">
        <v>20.6</v>
      </c>
      <c r="BX24" s="62"/>
      <c r="BY24" s="62"/>
      <c r="BZ24" s="62"/>
      <c r="CA24" s="62"/>
      <c r="CB24" s="62"/>
      <c r="CC24" s="51"/>
      <c r="CD24" s="63"/>
      <c r="CE24" s="63"/>
      <c r="CF24" s="62"/>
      <c r="CG24" s="63"/>
      <c r="CH24" s="63"/>
      <c r="CI24" s="63"/>
      <c r="CJ24" s="62"/>
      <c r="CK24" s="63"/>
      <c r="CL24" s="63"/>
      <c r="CM24" s="63"/>
      <c r="CN24" s="63"/>
      <c r="CO24" s="63"/>
      <c r="CP24" s="63"/>
      <c r="CQ24" s="63"/>
      <c r="CR24" s="63"/>
      <c r="CS24" s="63"/>
      <c r="CT24" s="63"/>
      <c r="CU24" s="63"/>
      <c r="CV24" s="63"/>
      <c r="CW24" s="63"/>
      <c r="CX24" s="63"/>
      <c r="CY24" s="63"/>
      <c r="CZ24" s="63"/>
      <c r="DA24" s="63"/>
      <c r="DB24" s="63"/>
      <c r="DC24" s="63"/>
      <c r="DD24" s="63"/>
      <c r="DE24" s="63"/>
      <c r="DF24" s="63"/>
      <c r="DG24" s="63"/>
      <c r="DH24" s="63"/>
      <c r="DI24" s="63"/>
      <c r="DJ24" s="63"/>
      <c r="DK24" s="63"/>
      <c r="DL24" s="63"/>
      <c r="DM24" s="63"/>
      <c r="DN24" s="63"/>
      <c r="DO24" s="63"/>
      <c r="DP24" s="63"/>
      <c r="DQ24" s="158"/>
      <c r="DR24" s="158"/>
      <c r="DS24" s="158"/>
      <c r="DT24" s="158"/>
      <c r="DU24" s="158"/>
      <c r="DV24" s="158"/>
      <c r="DW24" s="158"/>
      <c r="DX24" s="158"/>
      <c r="DY24" s="158"/>
      <c r="DZ24" s="59"/>
      <c r="EA24" s="59"/>
      <c r="EB24" s="59"/>
      <c r="EC24" s="59"/>
      <c r="ED24" s="59"/>
      <c r="EE24" s="59"/>
      <c r="EF24" s="59"/>
      <c r="EG24" s="59"/>
    </row>
    <row r="25" spans="1:137" s="10" customFormat="1" ht="15.9" customHeight="1" outlineLevel="1" x14ac:dyDescent="0.3">
      <c r="A25" s="6" t="s">
        <v>23</v>
      </c>
      <c r="B25" s="6" t="s">
        <v>23</v>
      </c>
      <c r="C25" s="50" t="s">
        <v>31</v>
      </c>
      <c r="D25" s="147">
        <v>5.18</v>
      </c>
      <c r="E25" s="6" t="s">
        <v>51</v>
      </c>
      <c r="F25" s="6" t="s">
        <v>75</v>
      </c>
      <c r="G25" s="11" t="s">
        <v>76</v>
      </c>
      <c r="H25" s="11"/>
      <c r="I25" s="205" cm="1">
        <f t="array" ref="I25">IFERROR(LOOKUP(2,1/(N25:GR25&lt;&gt;""),N$4:DRA$4),"")</f>
        <v>45176</v>
      </c>
      <c r="J25" s="170" cm="1">
        <f t="array" ref="J25">IFERROR(_xlfn.XLOOKUP(TRUE,N25:EH25&lt;&gt;"",N25:EH25,,,-1)," ")</f>
        <v>21.6</v>
      </c>
      <c r="K25" s="49">
        <v>19</v>
      </c>
      <c r="L25" s="49"/>
      <c r="M25" s="284" t="s">
        <v>64</v>
      </c>
      <c r="N25" s="62"/>
      <c r="O25" s="62"/>
      <c r="P25" s="62"/>
      <c r="Q25" s="62"/>
      <c r="R25" s="62"/>
      <c r="S25" s="62"/>
      <c r="T25" s="62"/>
      <c r="U25" s="62"/>
      <c r="V25" s="62"/>
      <c r="W25" s="62"/>
      <c r="X25" s="62"/>
      <c r="Y25" s="62"/>
      <c r="Z25" s="62"/>
      <c r="AA25" s="62"/>
      <c r="AB25" s="62"/>
      <c r="AC25" s="62"/>
      <c r="AD25" s="62"/>
      <c r="AE25" s="62"/>
      <c r="AF25" s="62"/>
      <c r="AG25" s="62"/>
      <c r="AH25" s="62"/>
      <c r="AI25" s="62"/>
      <c r="AJ25" s="62"/>
      <c r="AK25" s="62"/>
      <c r="AL25" s="62"/>
      <c r="AM25" s="62"/>
      <c r="AN25" s="62">
        <v>19.5</v>
      </c>
      <c r="AO25" s="62"/>
      <c r="AP25" s="62"/>
      <c r="AQ25" s="62"/>
      <c r="AR25" s="62"/>
      <c r="AS25" s="62"/>
      <c r="AT25" s="62"/>
      <c r="AU25" s="63"/>
      <c r="AV25" s="63">
        <v>20.9</v>
      </c>
      <c r="AW25" s="62"/>
      <c r="AX25" s="63"/>
      <c r="AY25" s="63"/>
      <c r="AZ25" s="62"/>
      <c r="BA25" s="63"/>
      <c r="BB25" s="63"/>
      <c r="BC25" s="63">
        <v>21.6</v>
      </c>
      <c r="BD25" s="63"/>
      <c r="BE25" s="62"/>
      <c r="BF25" s="62"/>
      <c r="BG25" s="62"/>
      <c r="BH25" s="62"/>
      <c r="BI25" s="63"/>
      <c r="BJ25" s="63"/>
      <c r="BK25" s="62"/>
      <c r="BL25" s="62"/>
      <c r="BM25" s="62"/>
      <c r="BN25" s="63"/>
      <c r="BO25" s="62"/>
      <c r="BP25" s="64"/>
      <c r="BQ25" s="63"/>
      <c r="BR25" s="62"/>
      <c r="BS25" s="62"/>
      <c r="BT25" s="62"/>
      <c r="BU25" s="62"/>
      <c r="BV25" s="62"/>
      <c r="BW25" s="62"/>
      <c r="BX25" s="62"/>
      <c r="BY25" s="62"/>
      <c r="BZ25" s="62"/>
      <c r="CA25" s="62"/>
      <c r="CB25" s="62"/>
      <c r="CC25" s="63"/>
      <c r="CD25" s="63"/>
      <c r="CE25" s="63"/>
      <c r="CF25" s="62"/>
      <c r="CG25" s="63"/>
      <c r="CH25" s="63"/>
      <c r="CI25" s="63"/>
      <c r="CJ25" s="62"/>
      <c r="CK25" s="63"/>
      <c r="CL25" s="63"/>
      <c r="CM25" s="63"/>
      <c r="CN25" s="63"/>
      <c r="CO25" s="63"/>
      <c r="CP25" s="63"/>
      <c r="CQ25" s="63"/>
      <c r="CR25" s="63"/>
      <c r="CS25" s="63"/>
      <c r="CT25" s="63"/>
      <c r="CU25" s="63"/>
      <c r="CV25" s="63"/>
      <c r="CW25" s="63"/>
      <c r="CX25" s="63"/>
      <c r="CY25" s="63"/>
      <c r="CZ25" s="63"/>
      <c r="DA25" s="63"/>
      <c r="DB25" s="63"/>
      <c r="DC25" s="63"/>
      <c r="DD25" s="63"/>
      <c r="DE25" s="63"/>
      <c r="DF25" s="63"/>
      <c r="DG25" s="63"/>
      <c r="DH25" s="63"/>
      <c r="DI25" s="63"/>
      <c r="DJ25" s="63"/>
      <c r="DK25" s="63"/>
      <c r="DL25" s="63"/>
      <c r="DM25" s="63"/>
      <c r="DN25" s="63"/>
      <c r="DO25" s="63"/>
      <c r="DP25" s="63"/>
      <c r="DQ25" s="158"/>
      <c r="DR25" s="158"/>
      <c r="DS25" s="158"/>
      <c r="DT25" s="158"/>
      <c r="DU25" s="158"/>
      <c r="DV25" s="158"/>
      <c r="DW25" s="158"/>
      <c r="DX25" s="158"/>
      <c r="DY25" s="158"/>
      <c r="DZ25" s="59"/>
      <c r="EA25" s="59"/>
      <c r="EB25" s="59"/>
      <c r="EC25" s="59"/>
      <c r="ED25" s="59"/>
      <c r="EE25" s="59"/>
      <c r="EF25" s="59"/>
      <c r="EG25" s="59"/>
    </row>
    <row r="26" spans="1:137" s="5" customFormat="1" ht="15.9" customHeight="1" outlineLevel="1" x14ac:dyDescent="0.3">
      <c r="A26" s="7" t="s">
        <v>22</v>
      </c>
      <c r="B26" s="7" t="s">
        <v>23</v>
      </c>
      <c r="C26" s="8" t="s">
        <v>31</v>
      </c>
      <c r="D26" s="146">
        <v>33.68</v>
      </c>
      <c r="E26" s="7" t="s">
        <v>51</v>
      </c>
      <c r="F26" s="7" t="s">
        <v>77</v>
      </c>
      <c r="G26" s="9" t="s">
        <v>78</v>
      </c>
      <c r="H26" s="9"/>
      <c r="I26" s="204" cm="1">
        <f t="array" ref="I26">IFERROR(LOOKUP(2,1/(N26:GR26&lt;&gt;""),N$4:DRA$4),"")</f>
        <v>45184</v>
      </c>
      <c r="J26" s="169" cm="1">
        <f t="array" ref="J26">IFERROR(_xlfn.XLOOKUP(TRUE,N26:EH26&lt;&gt;"",N26:EH26,,,-1)," ")</f>
        <v>21.2</v>
      </c>
      <c r="K26" s="45">
        <v>19</v>
      </c>
      <c r="L26" s="45">
        <v>21.5</v>
      </c>
      <c r="M26" s="282" t="s">
        <v>64</v>
      </c>
      <c r="N26" s="57"/>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171">
        <v>17.100000000000001</v>
      </c>
      <c r="AN26" s="57">
        <v>16.600000000000001</v>
      </c>
      <c r="AO26" s="57"/>
      <c r="AP26" s="57"/>
      <c r="AQ26" s="67"/>
      <c r="AR26" s="58"/>
      <c r="AS26" s="57"/>
      <c r="AT26" s="57"/>
      <c r="AU26" s="61"/>
      <c r="AV26" s="61">
        <v>18.8</v>
      </c>
      <c r="AW26" s="57"/>
      <c r="AX26" s="61"/>
      <c r="AY26" s="61"/>
      <c r="AZ26" s="57"/>
      <c r="BA26" s="61"/>
      <c r="BB26" s="61"/>
      <c r="BC26" s="61">
        <v>19.399999999999999</v>
      </c>
      <c r="BD26" s="61"/>
      <c r="BE26" s="57"/>
      <c r="BF26" s="57"/>
      <c r="BG26" s="57"/>
      <c r="BH26" s="57"/>
      <c r="BI26" s="61">
        <v>21.8</v>
      </c>
      <c r="BJ26" s="61"/>
      <c r="BK26" s="58">
        <v>21.2</v>
      </c>
      <c r="BL26" s="57"/>
      <c r="BM26" s="57"/>
      <c r="BN26" s="61"/>
      <c r="BO26" s="57"/>
      <c r="BP26" s="58"/>
      <c r="BQ26" s="61"/>
      <c r="BR26" s="57"/>
      <c r="BS26" s="57"/>
      <c r="BT26" s="57"/>
      <c r="BU26" s="57"/>
      <c r="BV26" s="57"/>
      <c r="BW26" s="57"/>
      <c r="BX26" s="57"/>
      <c r="BY26" s="57"/>
      <c r="BZ26" s="57"/>
      <c r="CA26" s="57"/>
      <c r="CB26" s="57"/>
      <c r="CC26" s="27"/>
      <c r="CD26" s="61"/>
      <c r="CE26" s="61"/>
      <c r="CF26" s="57"/>
      <c r="CG26" s="61"/>
      <c r="CH26" s="61"/>
      <c r="CI26" s="61"/>
      <c r="CJ26" s="57"/>
      <c r="CK26" s="61"/>
      <c r="CL26" s="61"/>
      <c r="CM26" s="61"/>
      <c r="CN26" s="61"/>
      <c r="CO26" s="61"/>
      <c r="CP26" s="61"/>
      <c r="CQ26" s="61"/>
      <c r="CR26" s="61"/>
      <c r="CS26" s="61"/>
      <c r="CT26" s="61"/>
      <c r="CU26" s="61"/>
      <c r="CV26" s="61"/>
      <c r="CW26" s="61"/>
      <c r="CX26" s="61"/>
      <c r="CY26" s="61"/>
      <c r="CZ26" s="61"/>
      <c r="DA26" s="61"/>
      <c r="DB26" s="61"/>
      <c r="DC26" s="61"/>
      <c r="DD26" s="61"/>
      <c r="DE26" s="61"/>
      <c r="DF26" s="61"/>
      <c r="DG26" s="61"/>
      <c r="DH26" s="61"/>
      <c r="DI26" s="61"/>
      <c r="DJ26" s="61"/>
      <c r="DK26" s="61"/>
      <c r="DL26" s="61"/>
      <c r="DM26" s="61"/>
      <c r="DN26" s="61"/>
      <c r="DO26" s="61"/>
      <c r="DP26" s="61"/>
      <c r="DQ26" s="156"/>
      <c r="DR26" s="156"/>
      <c r="DS26" s="156"/>
      <c r="DT26" s="156"/>
      <c r="DU26" s="156"/>
      <c r="DV26" s="156"/>
      <c r="DW26" s="156"/>
      <c r="DX26" s="156"/>
      <c r="DY26" s="156"/>
      <c r="DZ26" s="59"/>
      <c r="EA26" s="59"/>
      <c r="EB26" s="59"/>
      <c r="EC26" s="59"/>
      <c r="ED26" s="59"/>
      <c r="EE26" s="59"/>
      <c r="EF26" s="59"/>
      <c r="EG26" s="59"/>
    </row>
    <row r="27" spans="1:137" s="10" customFormat="1" ht="15.9" customHeight="1" outlineLevel="1" x14ac:dyDescent="0.3">
      <c r="A27" s="6" t="s">
        <v>22</v>
      </c>
      <c r="B27" s="6" t="s">
        <v>23</v>
      </c>
      <c r="C27" s="50" t="s">
        <v>31</v>
      </c>
      <c r="D27" s="147">
        <v>8.5299999999999994</v>
      </c>
      <c r="E27" s="6" t="s">
        <v>51</v>
      </c>
      <c r="F27" s="6" t="s">
        <v>79</v>
      </c>
      <c r="G27" s="11" t="s">
        <v>80</v>
      </c>
      <c r="H27" s="11"/>
      <c r="I27" s="205" cm="1">
        <f t="array" ref="I27">IFERROR(LOOKUP(2,1/(N27:GR27&lt;&gt;""),N$4:DRA$4),"")</f>
        <v>45182</v>
      </c>
      <c r="J27" s="170" cm="1">
        <f t="array" ref="J27">IFERROR(_xlfn.XLOOKUP(TRUE,N27:EH27&lt;&gt;"",N27:EH27,,,-1)," ")</f>
        <v>21.6</v>
      </c>
      <c r="K27" s="49">
        <v>19</v>
      </c>
      <c r="L27" s="49">
        <v>21.5</v>
      </c>
      <c r="M27" s="284" t="s">
        <v>64</v>
      </c>
      <c r="N27" s="62"/>
      <c r="O27" s="62"/>
      <c r="P27" s="62"/>
      <c r="Q27" s="62"/>
      <c r="R27" s="62"/>
      <c r="S27" s="62"/>
      <c r="T27" s="62"/>
      <c r="U27" s="62"/>
      <c r="V27" s="62"/>
      <c r="W27" s="62"/>
      <c r="X27" s="62"/>
      <c r="Y27" s="62"/>
      <c r="Z27" s="62"/>
      <c r="AA27" s="62"/>
      <c r="AB27" s="62"/>
      <c r="AC27" s="62"/>
      <c r="AD27" s="62"/>
      <c r="AE27" s="62"/>
      <c r="AF27" s="62">
        <v>14.6</v>
      </c>
      <c r="AG27" s="62"/>
      <c r="AH27" s="62"/>
      <c r="AI27" s="62"/>
      <c r="AJ27" s="62"/>
      <c r="AK27" s="62"/>
      <c r="AL27" s="62"/>
      <c r="AM27" s="62"/>
      <c r="AN27" s="62">
        <v>16.7</v>
      </c>
      <c r="AO27" s="62"/>
      <c r="AP27" s="62"/>
      <c r="AQ27" s="62"/>
      <c r="AR27" s="62"/>
      <c r="AS27" s="62"/>
      <c r="AT27" s="62"/>
      <c r="AU27" s="63"/>
      <c r="AV27" s="63">
        <v>20</v>
      </c>
      <c r="AW27" s="62"/>
      <c r="AX27" s="63"/>
      <c r="AY27" s="63"/>
      <c r="AZ27" s="62"/>
      <c r="BA27" s="63"/>
      <c r="BB27" s="63"/>
      <c r="BC27" s="63">
        <v>20</v>
      </c>
      <c r="BD27" s="63"/>
      <c r="BE27" s="62"/>
      <c r="BF27" s="62"/>
      <c r="BG27" s="62"/>
      <c r="BH27" s="62"/>
      <c r="BI27" s="63">
        <v>21.6</v>
      </c>
      <c r="BJ27" s="63"/>
      <c r="BK27" s="62"/>
      <c r="BL27" s="62"/>
      <c r="BM27" s="62"/>
      <c r="BN27" s="63"/>
      <c r="BO27" s="62"/>
      <c r="BP27" s="64"/>
      <c r="BQ27" s="63"/>
      <c r="BR27" s="62"/>
      <c r="BS27" s="62"/>
      <c r="BT27" s="62"/>
      <c r="BU27" s="62"/>
      <c r="BV27" s="62"/>
      <c r="BW27" s="62"/>
      <c r="BX27" s="62"/>
      <c r="BY27" s="62"/>
      <c r="BZ27" s="62"/>
      <c r="CA27" s="62"/>
      <c r="CB27" s="62"/>
      <c r="CC27" s="51"/>
      <c r="CD27" s="63"/>
      <c r="CE27" s="63"/>
      <c r="CF27" s="62"/>
      <c r="CG27" s="62"/>
      <c r="CH27" s="63"/>
      <c r="CI27" s="63"/>
      <c r="CJ27" s="62"/>
      <c r="CK27" s="63"/>
      <c r="CL27" s="63"/>
      <c r="CM27" s="63"/>
      <c r="CN27" s="63"/>
      <c r="CO27" s="63"/>
      <c r="CP27" s="63"/>
      <c r="CQ27" s="63"/>
      <c r="CR27" s="63"/>
      <c r="CS27" s="63"/>
      <c r="CT27" s="63"/>
      <c r="CU27" s="63"/>
      <c r="CV27" s="63"/>
      <c r="CW27" s="63"/>
      <c r="CX27" s="63"/>
      <c r="CY27" s="63"/>
      <c r="CZ27" s="63"/>
      <c r="DA27" s="63"/>
      <c r="DB27" s="63"/>
      <c r="DC27" s="63"/>
      <c r="DD27" s="63"/>
      <c r="DE27" s="63"/>
      <c r="DF27" s="63"/>
      <c r="DG27" s="63"/>
      <c r="DH27" s="63"/>
      <c r="DI27" s="63"/>
      <c r="DJ27" s="63"/>
      <c r="DK27" s="63"/>
      <c r="DL27" s="63"/>
      <c r="DM27" s="63"/>
      <c r="DN27" s="63"/>
      <c r="DO27" s="63"/>
      <c r="DP27" s="63"/>
      <c r="DQ27" s="158"/>
      <c r="DR27" s="158"/>
      <c r="DS27" s="158"/>
      <c r="DT27" s="158"/>
      <c r="DU27" s="158"/>
      <c r="DV27" s="158"/>
      <c r="DW27" s="158"/>
      <c r="DX27" s="158"/>
      <c r="DY27" s="158"/>
      <c r="DZ27" s="59"/>
      <c r="EA27" s="59"/>
      <c r="EB27" s="59"/>
      <c r="EC27" s="59"/>
      <c r="ED27" s="59"/>
      <c r="EE27" s="59"/>
      <c r="EF27" s="59"/>
      <c r="EG27" s="59"/>
    </row>
    <row r="28" spans="1:137" s="5" customFormat="1" ht="15.9" customHeight="1" outlineLevel="1" x14ac:dyDescent="0.3">
      <c r="A28" s="7" t="s">
        <v>22</v>
      </c>
      <c r="B28" s="7" t="s">
        <v>23</v>
      </c>
      <c r="C28" s="8" t="s">
        <v>31</v>
      </c>
      <c r="D28" s="146">
        <v>5.18</v>
      </c>
      <c r="E28" s="7" t="s">
        <v>51</v>
      </c>
      <c r="F28" s="7" t="s">
        <v>81</v>
      </c>
      <c r="G28" s="9" t="s">
        <v>82</v>
      </c>
      <c r="H28" s="9"/>
      <c r="I28" s="204" cm="1">
        <f t="array" ref="I28">IFERROR(LOOKUP(2,1/(N28:GR28&lt;&gt;""),N$4:DRA$4),"")</f>
        <v>45196</v>
      </c>
      <c r="J28" s="169" cm="1">
        <f t="array" ref="J28">IFERROR(_xlfn.XLOOKUP(TRUE,N28:EH28&lt;&gt;"",N28:EH28,,,-1)," ")</f>
        <v>19.399999999999999</v>
      </c>
      <c r="K28" s="45">
        <v>19</v>
      </c>
      <c r="L28" s="45">
        <v>21.5</v>
      </c>
      <c r="M28" s="282" t="s">
        <v>64</v>
      </c>
      <c r="N28" s="57"/>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v>14</v>
      </c>
      <c r="AO28" s="57"/>
      <c r="AP28" s="57"/>
      <c r="AQ28" s="57"/>
      <c r="AR28" s="57"/>
      <c r="AS28" s="57"/>
      <c r="AT28" s="57"/>
      <c r="AU28" s="61"/>
      <c r="AV28" s="61">
        <v>16.5</v>
      </c>
      <c r="AW28" s="57"/>
      <c r="AX28" s="61"/>
      <c r="AY28" s="61"/>
      <c r="AZ28" s="57"/>
      <c r="BA28" s="61"/>
      <c r="BB28" s="61"/>
      <c r="BC28" s="61">
        <v>17</v>
      </c>
      <c r="BD28" s="61"/>
      <c r="BE28" s="57"/>
      <c r="BF28" s="57"/>
      <c r="BG28" s="57"/>
      <c r="BH28" s="57"/>
      <c r="BI28" s="61">
        <v>19.399999999999999</v>
      </c>
      <c r="BJ28" s="61"/>
      <c r="BK28" s="57"/>
      <c r="BL28" s="57"/>
      <c r="BM28" s="57"/>
      <c r="BN28" s="61"/>
      <c r="BO28" s="57"/>
      <c r="BP28" s="58"/>
      <c r="BQ28" s="61"/>
      <c r="BR28" s="57"/>
      <c r="BS28" s="57"/>
      <c r="BT28" s="57"/>
      <c r="BU28" s="57"/>
      <c r="BV28" s="57"/>
      <c r="BW28" s="57">
        <v>19.399999999999999</v>
      </c>
      <c r="BX28" s="57"/>
      <c r="BY28" s="57"/>
      <c r="BZ28" s="57"/>
      <c r="CA28" s="57"/>
      <c r="CB28" s="57"/>
      <c r="CC28" s="27"/>
      <c r="CD28" s="61"/>
      <c r="CE28" s="61"/>
      <c r="CF28" s="57"/>
      <c r="CG28" s="61"/>
      <c r="CH28" s="61"/>
      <c r="CI28" s="61"/>
      <c r="CJ28" s="57"/>
      <c r="CK28" s="61"/>
      <c r="CL28" s="61"/>
      <c r="CM28" s="61"/>
      <c r="CN28" s="61"/>
      <c r="CO28" s="61"/>
      <c r="CP28" s="61"/>
      <c r="CQ28" s="61"/>
      <c r="CR28" s="61"/>
      <c r="CS28" s="61"/>
      <c r="CT28" s="61"/>
      <c r="CU28" s="61"/>
      <c r="CV28" s="61"/>
      <c r="CW28" s="61"/>
      <c r="CX28" s="61"/>
      <c r="CY28" s="61"/>
      <c r="CZ28" s="61"/>
      <c r="DA28" s="61"/>
      <c r="DB28" s="61"/>
      <c r="DC28" s="61"/>
      <c r="DD28" s="61"/>
      <c r="DE28" s="61"/>
      <c r="DF28" s="61"/>
      <c r="DG28" s="61"/>
      <c r="DH28" s="61"/>
      <c r="DI28" s="61"/>
      <c r="DJ28" s="61"/>
      <c r="DK28" s="61"/>
      <c r="DL28" s="61"/>
      <c r="DM28" s="61"/>
      <c r="DN28" s="61"/>
      <c r="DO28" s="61"/>
      <c r="DP28" s="61"/>
      <c r="DQ28" s="156"/>
      <c r="DR28" s="156"/>
      <c r="DS28" s="156"/>
      <c r="DT28" s="156"/>
      <c r="DU28" s="156"/>
      <c r="DV28" s="156"/>
      <c r="DW28" s="156"/>
      <c r="DX28" s="156"/>
      <c r="DY28" s="156"/>
      <c r="DZ28" s="59"/>
      <c r="EA28" s="59"/>
      <c r="EB28" s="59"/>
      <c r="EC28" s="59"/>
      <c r="ED28" s="59"/>
      <c r="EE28" s="59"/>
      <c r="EF28" s="59"/>
      <c r="EG28" s="59"/>
    </row>
    <row r="29" spans="1:137" s="10" customFormat="1" ht="15.9" customHeight="1" outlineLevel="1" x14ac:dyDescent="0.3">
      <c r="A29" s="7" t="s">
        <v>22</v>
      </c>
      <c r="B29" s="7" t="s">
        <v>23</v>
      </c>
      <c r="C29" s="8" t="s">
        <v>31</v>
      </c>
      <c r="D29" s="146"/>
      <c r="E29" s="7" t="s">
        <v>51</v>
      </c>
      <c r="F29" s="7" t="s">
        <v>83</v>
      </c>
      <c r="G29" s="9" t="s">
        <v>84</v>
      </c>
      <c r="H29" s="9"/>
      <c r="I29" s="204" cm="1">
        <f t="array" ref="I29">IFERROR(LOOKUP(2,1/(N29:GR29&lt;&gt;""),N$4:DRA$4),"")</f>
        <v>45182</v>
      </c>
      <c r="J29" s="169" cm="1">
        <f t="array" ref="J29">IFERROR(_xlfn.XLOOKUP(TRUE,N29:EH29&lt;&gt;"",N29:EH29,,,-1)," ")</f>
        <v>15</v>
      </c>
      <c r="K29" s="45">
        <v>19</v>
      </c>
      <c r="L29" s="45">
        <v>21.5</v>
      </c>
      <c r="M29" s="282" t="s">
        <v>64</v>
      </c>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61"/>
      <c r="AV29" s="61"/>
      <c r="AW29" s="57"/>
      <c r="AX29" s="61"/>
      <c r="AY29" s="61"/>
      <c r="AZ29" s="57"/>
      <c r="BA29" s="61"/>
      <c r="BB29" s="61"/>
      <c r="BC29" s="61">
        <v>16.600000000000001</v>
      </c>
      <c r="BD29" s="61"/>
      <c r="BE29" s="57"/>
      <c r="BF29" s="57"/>
      <c r="BG29" s="57"/>
      <c r="BH29" s="57"/>
      <c r="BI29" s="61">
        <v>15</v>
      </c>
      <c r="BJ29" s="61"/>
      <c r="BK29" s="57"/>
      <c r="BL29" s="57"/>
      <c r="BM29" s="57"/>
      <c r="BN29" s="61"/>
      <c r="BO29" s="57"/>
      <c r="BP29" s="58"/>
      <c r="BQ29" s="61"/>
      <c r="BR29" s="57"/>
      <c r="BS29" s="57"/>
      <c r="BT29" s="57"/>
      <c r="BU29" s="57"/>
      <c r="BV29" s="57"/>
      <c r="BW29" s="57"/>
      <c r="BX29" s="57"/>
      <c r="BY29" s="57"/>
      <c r="BZ29" s="57"/>
      <c r="CA29" s="57"/>
      <c r="CB29" s="57"/>
      <c r="CC29" s="27"/>
      <c r="CD29" s="61"/>
      <c r="CE29" s="61"/>
      <c r="CF29" s="57"/>
      <c r="CG29" s="61"/>
      <c r="CH29" s="61"/>
      <c r="CI29" s="61"/>
      <c r="CJ29" s="57"/>
      <c r="CK29" s="61"/>
      <c r="CL29" s="61"/>
      <c r="CM29" s="61"/>
      <c r="CN29" s="61"/>
      <c r="CO29" s="61"/>
      <c r="CP29" s="61"/>
      <c r="CQ29" s="61"/>
      <c r="CR29" s="61"/>
      <c r="CS29" s="61"/>
      <c r="CT29" s="61"/>
      <c r="CU29" s="61"/>
      <c r="CV29" s="61"/>
      <c r="CW29" s="61"/>
      <c r="CX29" s="61"/>
      <c r="CY29" s="61"/>
      <c r="CZ29" s="61"/>
      <c r="DA29" s="61"/>
      <c r="DB29" s="61"/>
      <c r="DC29" s="61"/>
      <c r="DD29" s="61"/>
      <c r="DE29" s="61"/>
      <c r="DF29" s="61"/>
      <c r="DG29" s="61"/>
      <c r="DH29" s="61"/>
      <c r="DI29" s="61"/>
      <c r="DJ29" s="61"/>
      <c r="DK29" s="61"/>
      <c r="DL29" s="61"/>
      <c r="DM29" s="61"/>
      <c r="DN29" s="61"/>
      <c r="DO29" s="61"/>
      <c r="DP29" s="61"/>
      <c r="DQ29" s="156"/>
      <c r="DR29" s="156"/>
      <c r="DS29" s="156"/>
      <c r="DT29" s="156"/>
      <c r="DU29" s="156"/>
      <c r="DV29" s="156"/>
      <c r="DW29" s="156"/>
      <c r="DX29" s="156"/>
      <c r="DY29" s="156"/>
      <c r="DZ29" s="59"/>
      <c r="EA29" s="59"/>
      <c r="EB29" s="59"/>
      <c r="EC29" s="59"/>
      <c r="ED29" s="59"/>
      <c r="EE29" s="59"/>
      <c r="EF29" s="59"/>
      <c r="EG29" s="59"/>
    </row>
    <row r="30" spans="1:137" s="97" customFormat="1" ht="15.9" customHeight="1" x14ac:dyDescent="0.3">
      <c r="A30" s="83"/>
      <c r="B30" s="83"/>
      <c r="C30" s="91"/>
      <c r="D30" s="82"/>
      <c r="E30" s="83" t="s">
        <v>85</v>
      </c>
      <c r="F30" s="83"/>
      <c r="G30" s="84" t="s">
        <v>86</v>
      </c>
      <c r="H30" s="84"/>
      <c r="I30" s="203"/>
      <c r="J30" s="167"/>
      <c r="K30" s="220"/>
      <c r="L30" s="92"/>
      <c r="M30" s="280" t="s">
        <v>21</v>
      </c>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101"/>
      <c r="AV30" s="101"/>
      <c r="AW30" s="94"/>
      <c r="AX30" s="101"/>
      <c r="AY30" s="101"/>
      <c r="AZ30" s="101"/>
      <c r="BA30" s="101"/>
      <c r="BB30" s="101"/>
      <c r="BC30" s="101"/>
      <c r="BD30" s="101"/>
      <c r="BE30" s="101"/>
      <c r="BF30" s="101"/>
      <c r="BG30" s="94"/>
      <c r="BH30" s="94"/>
      <c r="BI30" s="101"/>
      <c r="BJ30" s="101"/>
      <c r="BK30" s="94"/>
      <c r="BL30" s="94"/>
      <c r="BM30" s="94"/>
      <c r="BN30" s="94"/>
      <c r="BO30" s="94"/>
      <c r="BP30" s="95"/>
      <c r="BQ30" s="101"/>
      <c r="BR30" s="94"/>
      <c r="BS30" s="94"/>
      <c r="BT30" s="94"/>
      <c r="BU30" s="94"/>
      <c r="BV30" s="94"/>
      <c r="BW30" s="94"/>
      <c r="BX30" s="94"/>
      <c r="BY30" s="94"/>
      <c r="BZ30" s="94"/>
      <c r="CA30" s="94"/>
      <c r="CB30" s="94"/>
      <c r="CC30" s="93"/>
      <c r="CD30" s="101"/>
      <c r="CE30" s="101"/>
      <c r="CF30" s="94"/>
      <c r="CG30" s="94"/>
      <c r="CH30" s="101"/>
      <c r="CI30" s="94"/>
      <c r="CJ30" s="94"/>
      <c r="CK30" s="101"/>
      <c r="CL30" s="101"/>
      <c r="CM30" s="94"/>
      <c r="CN30" s="101"/>
      <c r="CO30" s="101"/>
      <c r="CP30" s="101"/>
      <c r="CQ30" s="101"/>
      <c r="CR30" s="101"/>
      <c r="CS30" s="101"/>
      <c r="CT30" s="101"/>
      <c r="CU30" s="101"/>
      <c r="CV30" s="101"/>
      <c r="CW30" s="101"/>
      <c r="CX30" s="101"/>
      <c r="CY30" s="101"/>
      <c r="CZ30" s="101"/>
      <c r="DA30" s="101"/>
      <c r="DB30" s="101"/>
      <c r="DC30" s="101"/>
      <c r="DD30" s="101"/>
      <c r="DE30" s="101"/>
      <c r="DF30" s="101"/>
      <c r="DG30" s="101"/>
      <c r="DH30" s="101"/>
      <c r="DI30" s="101"/>
      <c r="DJ30" s="101"/>
      <c r="DK30" s="101"/>
      <c r="DL30" s="101"/>
      <c r="DM30" s="101"/>
      <c r="DN30" s="101"/>
      <c r="DO30" s="101"/>
      <c r="DP30" s="101"/>
      <c r="DQ30" s="161"/>
      <c r="DR30" s="161"/>
      <c r="DS30" s="161"/>
      <c r="DT30" s="161"/>
      <c r="DU30" s="161"/>
      <c r="DV30" s="161"/>
      <c r="DW30" s="161"/>
      <c r="DX30" s="161"/>
      <c r="DY30" s="161"/>
      <c r="DZ30" s="65"/>
      <c r="EA30" s="65"/>
      <c r="EB30" s="65"/>
      <c r="EC30" s="65"/>
      <c r="ED30" s="65"/>
      <c r="EE30" s="65"/>
      <c r="EF30" s="65"/>
      <c r="EG30" s="65"/>
    </row>
    <row r="31" spans="1:137" s="1" customFormat="1" ht="15.9" customHeight="1" outlineLevel="1" x14ac:dyDescent="0.3">
      <c r="A31" s="7" t="s">
        <v>23</v>
      </c>
      <c r="B31" s="7"/>
      <c r="C31" s="54" t="s">
        <v>44</v>
      </c>
      <c r="D31" s="146">
        <v>20.07</v>
      </c>
      <c r="E31" s="53" t="s">
        <v>85</v>
      </c>
      <c r="F31" s="7" t="s">
        <v>87</v>
      </c>
      <c r="G31" s="52" t="s">
        <v>88</v>
      </c>
      <c r="H31" s="52"/>
      <c r="I31" s="204" cm="1">
        <f t="array" ref="I31">IFERROR(LOOKUP(2,1/(N31:GR31&lt;&gt;""),N$4:DRA$4),"")</f>
        <v>45185</v>
      </c>
      <c r="J31" s="169" cm="1">
        <f t="array" ref="J31">IFERROR(_xlfn.XLOOKUP(TRUE,N31:EH31&lt;&gt;"",N31:EH31,,,-1)," ")</f>
        <v>24.6</v>
      </c>
      <c r="K31" s="45">
        <v>25</v>
      </c>
      <c r="L31" s="45">
        <v>25</v>
      </c>
      <c r="M31" s="282" t="s">
        <v>28</v>
      </c>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61"/>
      <c r="AV31" s="61"/>
      <c r="AW31" s="57"/>
      <c r="AX31" s="61"/>
      <c r="AY31" s="61"/>
      <c r="AZ31" s="61"/>
      <c r="BA31" s="61"/>
      <c r="BB31" s="160">
        <v>22.6</v>
      </c>
      <c r="BC31" s="61"/>
      <c r="BD31" s="61"/>
      <c r="BE31" s="61"/>
      <c r="BF31" s="61"/>
      <c r="BG31" s="57"/>
      <c r="BH31" s="58">
        <v>24.4</v>
      </c>
      <c r="BI31" s="61"/>
      <c r="BJ31" s="61"/>
      <c r="BK31" s="57"/>
      <c r="BL31" s="58">
        <v>24.6</v>
      </c>
      <c r="BM31" s="57"/>
      <c r="BN31" s="58"/>
      <c r="BO31" s="57"/>
      <c r="BP31" s="58"/>
      <c r="BQ31" s="61"/>
      <c r="BR31" s="57"/>
      <c r="BS31" s="57"/>
      <c r="BT31" s="57"/>
      <c r="BU31" s="57"/>
      <c r="BV31" s="57"/>
      <c r="BW31" s="57"/>
      <c r="BX31" s="57"/>
      <c r="BY31" s="57"/>
      <c r="BZ31" s="57"/>
      <c r="CA31" s="57"/>
      <c r="CB31" s="57"/>
      <c r="CC31" s="57"/>
      <c r="CD31" s="61"/>
      <c r="CE31" s="61"/>
      <c r="CF31" s="57"/>
      <c r="CG31" s="61"/>
      <c r="CH31" s="61"/>
      <c r="CI31" s="61"/>
      <c r="CJ31" s="57"/>
      <c r="CK31" s="61"/>
      <c r="CL31" s="61"/>
      <c r="CM31" s="61"/>
      <c r="CN31" s="61"/>
      <c r="CO31" s="61"/>
      <c r="CP31" s="61"/>
      <c r="CQ31" s="61"/>
      <c r="CR31" s="61"/>
      <c r="CS31" s="61"/>
      <c r="CT31" s="61"/>
      <c r="CU31" s="61"/>
      <c r="CV31" s="61"/>
      <c r="CW31" s="61"/>
      <c r="CX31" s="61"/>
      <c r="CY31" s="61"/>
      <c r="CZ31" s="61"/>
      <c r="DA31" s="61"/>
      <c r="DB31" s="61"/>
      <c r="DC31" s="61"/>
      <c r="DD31" s="61"/>
      <c r="DE31" s="61"/>
      <c r="DF31" s="61"/>
      <c r="DG31" s="61"/>
      <c r="DH31" s="61"/>
      <c r="DI31" s="61"/>
      <c r="DJ31" s="61"/>
      <c r="DK31" s="61"/>
      <c r="DL31" s="61"/>
      <c r="DM31" s="61"/>
      <c r="DN31" s="61"/>
      <c r="DO31" s="61"/>
      <c r="DP31" s="61"/>
      <c r="DQ31" s="156"/>
      <c r="DR31" s="156"/>
      <c r="DS31" s="156"/>
      <c r="DT31" s="156"/>
      <c r="DU31" s="156"/>
      <c r="DV31" s="156"/>
      <c r="DW31" s="156"/>
      <c r="DX31" s="156"/>
      <c r="DY31" s="156"/>
      <c r="DZ31" s="59"/>
      <c r="EA31" s="59"/>
      <c r="EB31" s="59"/>
      <c r="EC31" s="59"/>
      <c r="ED31" s="59"/>
      <c r="EE31" s="59"/>
      <c r="EF31" s="59"/>
      <c r="EG31" s="59"/>
    </row>
    <row r="32" spans="1:137" s="10" customFormat="1" ht="15.9" customHeight="1" outlineLevel="1" x14ac:dyDescent="0.3">
      <c r="A32" s="2" t="s">
        <v>23</v>
      </c>
      <c r="B32" s="2" t="s">
        <v>23</v>
      </c>
      <c r="C32" s="4" t="s">
        <v>24</v>
      </c>
      <c r="D32" s="145">
        <v>14.91</v>
      </c>
      <c r="E32" s="2" t="s">
        <v>85</v>
      </c>
      <c r="F32" s="2" t="s">
        <v>89</v>
      </c>
      <c r="G32" s="3" t="s">
        <v>90</v>
      </c>
      <c r="H32" s="3"/>
      <c r="I32" s="202" cm="1">
        <f t="array" ref="I32">IFERROR(LOOKUP(2,1/(N32:GR32&lt;&gt;""),N$4:DRA$4),"")</f>
        <v>45197</v>
      </c>
      <c r="J32" s="170" cm="1">
        <f t="array" ref="J32">IFERROR(_xlfn.XLOOKUP(TRUE,N32:EH32&lt;&gt;"",N32:EH32,,,-1)," ")</f>
        <v>24.6</v>
      </c>
      <c r="K32" s="46">
        <v>25</v>
      </c>
      <c r="L32" s="46">
        <v>24.5</v>
      </c>
      <c r="M32" s="281" t="s">
        <v>28</v>
      </c>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153"/>
      <c r="AV32" s="153"/>
      <c r="AW32" s="55"/>
      <c r="AX32" s="153"/>
      <c r="AY32" s="153"/>
      <c r="AZ32" s="153"/>
      <c r="BA32" s="153">
        <v>20.9</v>
      </c>
      <c r="BB32" s="153"/>
      <c r="BC32" s="153"/>
      <c r="BD32" s="153"/>
      <c r="BE32" s="153"/>
      <c r="BF32" s="153"/>
      <c r="BG32" s="55"/>
      <c r="BH32" s="55"/>
      <c r="BI32" s="153"/>
      <c r="BJ32" s="153">
        <v>22.9</v>
      </c>
      <c r="BK32" s="55"/>
      <c r="BL32" s="55"/>
      <c r="BM32" s="55"/>
      <c r="BN32" s="56"/>
      <c r="BO32" s="55"/>
      <c r="BP32" s="56"/>
      <c r="BQ32" s="153"/>
      <c r="BR32" s="55">
        <v>23.7</v>
      </c>
      <c r="BS32" s="55"/>
      <c r="BT32" s="55"/>
      <c r="BU32" s="55"/>
      <c r="BV32" s="55"/>
      <c r="BW32" s="55"/>
      <c r="BX32" s="56">
        <v>24.6</v>
      </c>
      <c r="BY32" s="55"/>
      <c r="BZ32" s="55"/>
      <c r="CA32" s="55"/>
      <c r="CB32" s="55"/>
      <c r="CC32" s="401"/>
      <c r="CD32" s="153"/>
      <c r="CE32" s="153"/>
      <c r="CF32" s="55"/>
      <c r="CG32" s="153"/>
      <c r="CH32" s="153"/>
      <c r="CI32" s="153"/>
      <c r="CJ32" s="55"/>
      <c r="CK32" s="153"/>
      <c r="CL32" s="153"/>
      <c r="CM32" s="153"/>
      <c r="CN32" s="153"/>
      <c r="CO32" s="153"/>
      <c r="CP32" s="153"/>
      <c r="CQ32" s="153"/>
      <c r="CR32" s="153"/>
      <c r="CS32" s="153"/>
      <c r="CT32" s="153"/>
      <c r="CU32" s="153"/>
      <c r="CV32" s="153"/>
      <c r="CW32" s="153"/>
      <c r="CX32" s="153"/>
      <c r="CY32" s="153"/>
      <c r="CZ32" s="153"/>
      <c r="DA32" s="153"/>
      <c r="DB32" s="153"/>
      <c r="DC32" s="153"/>
      <c r="DD32" s="153"/>
      <c r="DE32" s="153"/>
      <c r="DF32" s="153"/>
      <c r="DG32" s="153"/>
      <c r="DH32" s="153"/>
      <c r="DI32" s="153"/>
      <c r="DJ32" s="153"/>
      <c r="DK32" s="153"/>
      <c r="DL32" s="153"/>
      <c r="DM32" s="153"/>
      <c r="DN32" s="153"/>
      <c r="DO32" s="153"/>
      <c r="DP32" s="153"/>
      <c r="DQ32" s="154"/>
      <c r="DR32" s="154"/>
      <c r="DS32" s="154"/>
      <c r="DT32" s="154"/>
      <c r="DU32" s="154"/>
      <c r="DV32" s="154"/>
      <c r="DW32" s="154"/>
      <c r="DX32" s="154"/>
      <c r="DY32" s="154"/>
      <c r="DZ32" s="59"/>
      <c r="EA32" s="59"/>
      <c r="EB32" s="59"/>
      <c r="EC32" s="59"/>
      <c r="ED32" s="59"/>
      <c r="EE32" s="59"/>
      <c r="EF32" s="59"/>
      <c r="EG32" s="59"/>
    </row>
    <row r="33" spans="1:138" s="100" customFormat="1" ht="15.9" customHeight="1" x14ac:dyDescent="0.3">
      <c r="A33" s="83"/>
      <c r="B33" s="83"/>
      <c r="C33" s="91"/>
      <c r="D33" s="82"/>
      <c r="E33" s="83" t="s">
        <v>91</v>
      </c>
      <c r="F33" s="83"/>
      <c r="G33" s="84" t="s">
        <v>92</v>
      </c>
      <c r="H33" s="84"/>
      <c r="I33" s="203"/>
      <c r="J33" s="167"/>
      <c r="K33" s="220"/>
      <c r="L33" s="92"/>
      <c r="M33" s="280" t="s">
        <v>21</v>
      </c>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101"/>
      <c r="AV33" s="101"/>
      <c r="AW33" s="94"/>
      <c r="AX33" s="101"/>
      <c r="AY33" s="101"/>
      <c r="AZ33" s="101"/>
      <c r="BA33" s="101"/>
      <c r="BB33" s="101"/>
      <c r="BC33" s="101"/>
      <c r="BD33" s="101"/>
      <c r="BE33" s="101"/>
      <c r="BF33" s="101"/>
      <c r="BG33" s="94"/>
      <c r="BH33" s="94"/>
      <c r="BI33" s="101"/>
      <c r="BJ33" s="101"/>
      <c r="BK33" s="94"/>
      <c r="BL33" s="94"/>
      <c r="BM33" s="94"/>
      <c r="BN33" s="101"/>
      <c r="BO33" s="94"/>
      <c r="BP33" s="95"/>
      <c r="BQ33" s="101"/>
      <c r="BR33" s="94"/>
      <c r="BS33" s="94"/>
      <c r="BT33" s="94"/>
      <c r="BU33" s="94"/>
      <c r="BV33" s="94"/>
      <c r="BW33" s="94"/>
      <c r="BX33" s="94"/>
      <c r="BY33" s="94"/>
      <c r="BZ33" s="94"/>
      <c r="CA33" s="94"/>
      <c r="CB33" s="94"/>
      <c r="CC33" s="93"/>
      <c r="CD33" s="101"/>
      <c r="CE33" s="101"/>
      <c r="CF33" s="94"/>
      <c r="CG33" s="94"/>
      <c r="CH33" s="101"/>
      <c r="CI33" s="94"/>
      <c r="CJ33" s="94"/>
      <c r="CK33" s="101"/>
      <c r="CL33" s="101"/>
      <c r="CM33" s="94"/>
      <c r="CN33" s="101"/>
      <c r="CO33" s="101"/>
      <c r="CP33" s="101"/>
      <c r="CQ33" s="101"/>
      <c r="CR33" s="101"/>
      <c r="CS33" s="101"/>
      <c r="CT33" s="101"/>
      <c r="CU33" s="101"/>
      <c r="CV33" s="101"/>
      <c r="CW33" s="101"/>
      <c r="CX33" s="101"/>
      <c r="CY33" s="101"/>
      <c r="CZ33" s="101"/>
      <c r="DA33" s="101"/>
      <c r="DB33" s="101"/>
      <c r="DC33" s="101"/>
      <c r="DD33" s="101"/>
      <c r="DE33" s="101"/>
      <c r="DF33" s="101"/>
      <c r="DG33" s="101"/>
      <c r="DH33" s="101"/>
      <c r="DI33" s="101"/>
      <c r="DJ33" s="101"/>
      <c r="DK33" s="101"/>
      <c r="DL33" s="101"/>
      <c r="DM33" s="101"/>
      <c r="DN33" s="101"/>
      <c r="DO33" s="101"/>
      <c r="DP33" s="101"/>
      <c r="DQ33" s="161"/>
      <c r="DR33" s="161"/>
      <c r="DS33" s="161"/>
      <c r="DT33" s="161"/>
      <c r="DU33" s="161"/>
      <c r="DV33" s="161"/>
      <c r="DW33" s="161"/>
      <c r="DX33" s="161"/>
      <c r="DY33" s="161"/>
      <c r="DZ33" s="65"/>
      <c r="EA33" s="65"/>
      <c r="EB33" s="65"/>
      <c r="EC33" s="65"/>
      <c r="ED33" s="65"/>
      <c r="EE33" s="65"/>
      <c r="EF33" s="65"/>
      <c r="EG33" s="65"/>
    </row>
    <row r="34" spans="1:138" s="10" customFormat="1" ht="15.9" customHeight="1" outlineLevel="1" x14ac:dyDescent="0.3">
      <c r="A34" s="7" t="s">
        <v>23</v>
      </c>
      <c r="B34" s="7" t="s">
        <v>23</v>
      </c>
      <c r="C34" s="8" t="s">
        <v>24</v>
      </c>
      <c r="D34" s="8">
        <v>42.12</v>
      </c>
      <c r="E34" s="7" t="s">
        <v>91</v>
      </c>
      <c r="F34" s="7" t="s">
        <v>93</v>
      </c>
      <c r="G34" s="9" t="s">
        <v>94</v>
      </c>
      <c r="H34" s="9"/>
      <c r="I34" s="204" cm="1">
        <f t="array" ref="I34">IFERROR(LOOKUP(2,1/(N34:GR34&lt;&gt;""),N$4:DRA$4),"")</f>
        <v>45188</v>
      </c>
      <c r="J34" s="218" cm="1">
        <f t="array" ref="J34">IFERROR(_xlfn.XLOOKUP(TRUE,N34:EH34&lt;&gt;"",N34:EH34,,,-1)," ")</f>
        <v>25.1</v>
      </c>
      <c r="K34" s="45">
        <v>23</v>
      </c>
      <c r="L34" s="45">
        <v>23.8</v>
      </c>
      <c r="M34" s="285" t="s">
        <v>28</v>
      </c>
      <c r="N34" s="68"/>
      <c r="O34" s="68"/>
      <c r="P34" s="68"/>
      <c r="Q34" s="68"/>
      <c r="R34" s="68"/>
      <c r="S34" s="68"/>
      <c r="T34" s="68"/>
      <c r="U34" s="68"/>
      <c r="V34" s="68"/>
      <c r="W34" s="68"/>
      <c r="X34" s="29">
        <v>15.6</v>
      </c>
      <c r="Y34" s="68"/>
      <c r="Z34" s="68"/>
      <c r="AA34" s="68"/>
      <c r="AB34" s="68"/>
      <c r="AC34" s="29"/>
      <c r="AD34" s="68"/>
      <c r="AE34" s="29">
        <v>17.3</v>
      </c>
      <c r="AF34" s="68"/>
      <c r="AG34" s="68"/>
      <c r="AH34" s="68"/>
      <c r="AI34" s="68"/>
      <c r="AJ34" s="68"/>
      <c r="AK34" s="68"/>
      <c r="AL34" s="29">
        <v>18.600000000000001</v>
      </c>
      <c r="AM34" s="68"/>
      <c r="AN34" s="68"/>
      <c r="AO34" s="68"/>
      <c r="AP34" s="78">
        <v>19.5</v>
      </c>
      <c r="AQ34" s="68"/>
      <c r="AR34" s="69"/>
      <c r="AS34" s="68"/>
      <c r="AT34" s="68"/>
      <c r="AU34" s="163"/>
      <c r="AV34" s="275">
        <v>20.8</v>
      </c>
      <c r="AW34" s="68"/>
      <c r="AX34" s="68"/>
      <c r="AY34" s="68"/>
      <c r="AZ34" s="68"/>
      <c r="BA34" s="68"/>
      <c r="BB34" s="160">
        <v>21.1</v>
      </c>
      <c r="BC34" s="163"/>
      <c r="BD34" s="163"/>
      <c r="BE34" s="163"/>
      <c r="BF34" s="163"/>
      <c r="BG34" s="163"/>
      <c r="BH34" s="29"/>
      <c r="BI34" s="275">
        <v>22.3</v>
      </c>
      <c r="BJ34" s="163"/>
      <c r="BK34" s="68"/>
      <c r="BL34" s="163"/>
      <c r="BM34" s="68"/>
      <c r="BN34" s="163"/>
      <c r="BO34" s="29">
        <v>25.1</v>
      </c>
      <c r="BP34" s="69"/>
      <c r="BQ34" s="163"/>
      <c r="BR34" s="163"/>
      <c r="BS34" s="163"/>
      <c r="BT34" s="163"/>
      <c r="BU34" s="163"/>
      <c r="BV34" s="163"/>
      <c r="BW34" s="163"/>
      <c r="BX34" s="163"/>
      <c r="BY34" s="163"/>
      <c r="BZ34" s="163"/>
      <c r="CA34" s="163"/>
      <c r="CB34" s="68"/>
      <c r="CC34" s="163"/>
      <c r="CD34" s="163"/>
      <c r="CE34" s="163"/>
      <c r="CF34" s="68"/>
      <c r="CG34" s="163"/>
      <c r="CH34" s="163"/>
      <c r="CI34" s="163"/>
      <c r="CJ34" s="68"/>
      <c r="CK34" s="163"/>
      <c r="CL34" s="163"/>
      <c r="CM34" s="163"/>
      <c r="CN34" s="163"/>
      <c r="CO34" s="163"/>
      <c r="CP34" s="163"/>
      <c r="CQ34" s="163"/>
      <c r="CR34" s="163"/>
      <c r="CS34" s="163"/>
      <c r="CT34" s="163"/>
      <c r="CU34" s="163"/>
      <c r="CV34" s="163"/>
      <c r="CW34" s="163"/>
      <c r="CX34" s="163"/>
      <c r="CY34" s="163"/>
      <c r="CZ34" s="163"/>
      <c r="DA34" s="163"/>
      <c r="DB34" s="163"/>
      <c r="DC34" s="163"/>
      <c r="DD34" s="163"/>
      <c r="DE34" s="163"/>
      <c r="DF34" s="163"/>
      <c r="DG34" s="163"/>
      <c r="DH34" s="163"/>
      <c r="DI34" s="163"/>
      <c r="DJ34" s="163"/>
      <c r="DK34" s="163"/>
      <c r="DL34" s="163"/>
      <c r="DM34" s="163"/>
      <c r="DN34" s="163"/>
      <c r="DO34" s="163"/>
      <c r="DP34" s="163"/>
      <c r="DQ34" s="156"/>
      <c r="DR34" s="156"/>
      <c r="DS34" s="156"/>
      <c r="DT34" s="156"/>
      <c r="DU34" s="156"/>
      <c r="DV34" s="156"/>
      <c r="DW34" s="156"/>
      <c r="DX34" s="156"/>
      <c r="DY34" s="156"/>
      <c r="DZ34" s="59"/>
      <c r="EA34" s="59"/>
      <c r="EB34" s="59"/>
      <c r="EC34" s="59"/>
      <c r="ED34" s="59"/>
      <c r="EE34" s="59"/>
      <c r="EF34" s="59"/>
      <c r="EG34" s="59"/>
    </row>
    <row r="35" spans="1:138" s="10" customFormat="1" ht="15.9" customHeight="1" outlineLevel="1" x14ac:dyDescent="0.3">
      <c r="A35" s="7" t="s">
        <v>23</v>
      </c>
      <c r="B35" s="7" t="s">
        <v>23</v>
      </c>
      <c r="C35" s="8" t="s">
        <v>24</v>
      </c>
      <c r="D35" s="8">
        <v>42.12</v>
      </c>
      <c r="E35" s="7" t="s">
        <v>91</v>
      </c>
      <c r="F35" s="7" t="s">
        <v>93</v>
      </c>
      <c r="G35" s="9" t="s">
        <v>95</v>
      </c>
      <c r="H35" s="9"/>
      <c r="I35" s="204" cm="1">
        <f t="array" ref="I35">IFERROR(LOOKUP(2,1/(N35:GR35&lt;&gt;""),N$4:DRA$4),"")</f>
        <v>45166</v>
      </c>
      <c r="J35" s="227" cm="1">
        <f t="array" ref="J35">IFERROR(_xlfn.XLOOKUP(TRUE,N35:EH35&lt;&gt;"",N35:EH35,,,-1)," ")</f>
        <v>23.5</v>
      </c>
      <c r="K35" s="45">
        <v>23</v>
      </c>
      <c r="L35" s="45">
        <v>23.8</v>
      </c>
      <c r="M35" s="25" t="s">
        <v>28</v>
      </c>
      <c r="N35" s="68"/>
      <c r="O35" s="68"/>
      <c r="P35" s="68"/>
      <c r="Q35" s="68"/>
      <c r="R35" s="68"/>
      <c r="S35" s="68"/>
      <c r="T35" s="68"/>
      <c r="U35" s="68"/>
      <c r="V35" s="68"/>
      <c r="W35" s="68"/>
      <c r="X35" s="29">
        <v>15.6</v>
      </c>
      <c r="Y35" s="68"/>
      <c r="Z35" s="68"/>
      <c r="AA35" s="68"/>
      <c r="AB35" s="68"/>
      <c r="AC35" s="29"/>
      <c r="AD35" s="68"/>
      <c r="AE35" s="29">
        <v>17.3</v>
      </c>
      <c r="AF35" s="68"/>
      <c r="AG35" s="68"/>
      <c r="AH35" s="68"/>
      <c r="AI35" s="68"/>
      <c r="AJ35" s="68"/>
      <c r="AK35" s="68"/>
      <c r="AL35" s="57">
        <v>22</v>
      </c>
      <c r="AM35" s="78">
        <v>22.1</v>
      </c>
      <c r="AN35" s="68"/>
      <c r="AO35" s="68"/>
      <c r="AP35" s="58">
        <v>22</v>
      </c>
      <c r="AQ35" s="68"/>
      <c r="AR35" s="69"/>
      <c r="AS35" s="78">
        <v>23.5</v>
      </c>
      <c r="AT35" s="68"/>
      <c r="AU35" s="163"/>
      <c r="AV35" s="163"/>
      <c r="AW35" s="68"/>
      <c r="AX35" s="68"/>
      <c r="AY35" s="68"/>
      <c r="AZ35" s="68"/>
      <c r="BA35" s="68"/>
      <c r="BB35" s="163"/>
      <c r="BC35" s="163"/>
      <c r="BD35" s="163"/>
      <c r="BE35" s="163"/>
      <c r="BF35" s="163"/>
      <c r="BG35" s="163"/>
      <c r="BH35" s="68"/>
      <c r="BI35" s="163"/>
      <c r="BJ35" s="163"/>
      <c r="BK35" s="68"/>
      <c r="BL35" s="163"/>
      <c r="BM35" s="68"/>
      <c r="BN35" s="163"/>
      <c r="BO35" s="68"/>
      <c r="BP35" s="69"/>
      <c r="BQ35" s="163"/>
      <c r="BR35" s="163"/>
      <c r="BS35" s="163"/>
      <c r="BT35" s="163"/>
      <c r="BU35" s="163"/>
      <c r="BV35" s="163"/>
      <c r="BW35" s="163"/>
      <c r="BX35" s="163"/>
      <c r="BY35" s="163"/>
      <c r="BZ35" s="163"/>
      <c r="CA35" s="163"/>
      <c r="CB35" s="68"/>
      <c r="CC35" s="163"/>
      <c r="CD35" s="163"/>
      <c r="CE35" s="163"/>
      <c r="CF35" s="68"/>
      <c r="CG35" s="163"/>
      <c r="CH35" s="163"/>
      <c r="CI35" s="163"/>
      <c r="CJ35" s="68"/>
      <c r="CK35" s="163"/>
      <c r="CL35" s="163"/>
      <c r="CM35" s="163"/>
      <c r="CN35" s="163"/>
      <c r="CO35" s="163"/>
      <c r="CP35" s="163"/>
      <c r="CQ35" s="163"/>
      <c r="CR35" s="163"/>
      <c r="CS35" s="163"/>
      <c r="CT35" s="163"/>
      <c r="CU35" s="163"/>
      <c r="CV35" s="163"/>
      <c r="CW35" s="163"/>
      <c r="CX35" s="163"/>
      <c r="CY35" s="163"/>
      <c r="CZ35" s="163"/>
      <c r="DA35" s="163"/>
      <c r="DB35" s="163"/>
      <c r="DC35" s="163"/>
      <c r="DD35" s="163"/>
      <c r="DE35" s="163"/>
      <c r="DF35" s="163"/>
      <c r="DG35" s="163"/>
      <c r="DH35" s="163"/>
      <c r="DI35" s="163"/>
      <c r="DJ35" s="163"/>
      <c r="DK35" s="163"/>
      <c r="DL35" s="163"/>
      <c r="DM35" s="163"/>
      <c r="DN35" s="163"/>
      <c r="DO35" s="163"/>
      <c r="DP35" s="163"/>
      <c r="DQ35" s="156"/>
      <c r="DR35" s="156"/>
      <c r="DS35" s="156"/>
      <c r="DT35" s="156"/>
      <c r="DU35" s="156"/>
      <c r="DV35" s="156"/>
      <c r="DW35" s="156"/>
      <c r="DX35" s="156"/>
      <c r="DY35" s="156"/>
      <c r="DZ35" s="59"/>
      <c r="EA35" s="59"/>
      <c r="EB35" s="59"/>
      <c r="EC35" s="59"/>
      <c r="ED35" s="59"/>
      <c r="EE35" s="59"/>
      <c r="EF35" s="59"/>
      <c r="EG35" s="59"/>
    </row>
    <row r="36" spans="1:138" s="5" customFormat="1" ht="15.9" customHeight="1" outlineLevel="1" x14ac:dyDescent="0.3">
      <c r="A36" s="6" t="s">
        <v>22</v>
      </c>
      <c r="B36" s="6"/>
      <c r="C36" s="50" t="s">
        <v>44</v>
      </c>
      <c r="D36" s="147">
        <v>82.73</v>
      </c>
      <c r="E36" s="6" t="s">
        <v>91</v>
      </c>
      <c r="F36" s="6" t="s">
        <v>96</v>
      </c>
      <c r="G36" s="11" t="s">
        <v>97</v>
      </c>
      <c r="H36" s="11"/>
      <c r="I36" s="205" cm="1">
        <f t="array" ref="I36">IFERROR(LOOKUP(2,1/(N36:GR36&lt;&gt;""),N$4:DRA$4),"")</f>
        <v>45177</v>
      </c>
      <c r="J36" s="170" t="str" cm="1">
        <f t="array" ref="J36">IFERROR(_xlfn.XLOOKUP(TRUE,N36:EH36&lt;&gt;"",N36:EH36,,,-1)," ")</f>
        <v>22.6 (N) 22.8 (S)</v>
      </c>
      <c r="K36" s="49">
        <v>22.5</v>
      </c>
      <c r="L36" s="49"/>
      <c r="M36" s="284" t="s">
        <v>34</v>
      </c>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3"/>
      <c r="AV36" s="63"/>
      <c r="AW36" s="62"/>
      <c r="AX36" s="62"/>
      <c r="AY36" s="62"/>
      <c r="AZ36" s="62"/>
      <c r="BA36" s="62"/>
      <c r="BB36" s="63"/>
      <c r="BC36" s="63"/>
      <c r="BD36" s="62" t="s">
        <v>98</v>
      </c>
      <c r="BE36" s="62"/>
      <c r="BF36" s="63"/>
      <c r="BG36" s="62"/>
      <c r="BH36" s="62"/>
      <c r="BI36" s="63"/>
      <c r="BJ36" s="63"/>
      <c r="BK36" s="62"/>
      <c r="BL36" s="62"/>
      <c r="BM36" s="62"/>
      <c r="BN36" s="63"/>
      <c r="BO36" s="62"/>
      <c r="BP36" s="64"/>
      <c r="BQ36" s="63"/>
      <c r="BR36" s="62"/>
      <c r="BS36" s="62"/>
      <c r="BT36" s="62"/>
      <c r="BU36" s="62"/>
      <c r="BV36" s="62"/>
      <c r="BW36" s="62"/>
      <c r="BX36" s="62"/>
      <c r="BY36" s="62"/>
      <c r="BZ36" s="62"/>
      <c r="CA36" s="62"/>
      <c r="CB36" s="62"/>
      <c r="CC36" s="63"/>
      <c r="CD36" s="63"/>
      <c r="CE36" s="63"/>
      <c r="CF36" s="62"/>
      <c r="CG36" s="63"/>
      <c r="CH36" s="63"/>
      <c r="CI36" s="63"/>
      <c r="CJ36" s="62"/>
      <c r="CK36" s="63"/>
      <c r="CL36" s="63"/>
      <c r="CM36" s="63"/>
      <c r="CN36" s="63"/>
      <c r="CO36" s="63"/>
      <c r="CP36" s="63"/>
      <c r="CQ36" s="63"/>
      <c r="CR36" s="63"/>
      <c r="CS36" s="63"/>
      <c r="CT36" s="63"/>
      <c r="CU36" s="63"/>
      <c r="CV36" s="63"/>
      <c r="CW36" s="63"/>
      <c r="CX36" s="63"/>
      <c r="CY36" s="63"/>
      <c r="CZ36" s="63"/>
      <c r="DA36" s="63"/>
      <c r="DB36" s="63"/>
      <c r="DC36" s="63"/>
      <c r="DD36" s="63"/>
      <c r="DE36" s="63"/>
      <c r="DF36" s="63"/>
      <c r="DG36" s="63"/>
      <c r="DH36" s="63"/>
      <c r="DI36" s="63"/>
      <c r="DJ36" s="63"/>
      <c r="DK36" s="63"/>
      <c r="DL36" s="63"/>
      <c r="DM36" s="63"/>
      <c r="DN36" s="63"/>
      <c r="DO36" s="63"/>
      <c r="DP36" s="63"/>
      <c r="DQ36" s="158"/>
      <c r="DR36" s="158"/>
      <c r="DS36" s="158"/>
      <c r="DT36" s="158"/>
      <c r="DU36" s="158"/>
      <c r="DV36" s="158"/>
      <c r="DW36" s="158"/>
      <c r="DX36" s="158"/>
      <c r="DY36" s="158"/>
      <c r="DZ36" s="65"/>
      <c r="EA36" s="65"/>
      <c r="EB36" s="65"/>
      <c r="EC36" s="65"/>
      <c r="ED36" s="65"/>
      <c r="EE36" s="65"/>
      <c r="EF36" s="65"/>
      <c r="EG36" s="65"/>
    </row>
    <row r="37" spans="1:138" s="10" customFormat="1" ht="15.9" customHeight="1" outlineLevel="1" x14ac:dyDescent="0.3">
      <c r="A37" s="7" t="s">
        <v>23</v>
      </c>
      <c r="B37" s="7"/>
      <c r="C37" s="8" t="s">
        <v>44</v>
      </c>
      <c r="D37" s="146">
        <v>62.37</v>
      </c>
      <c r="E37" s="7" t="s">
        <v>91</v>
      </c>
      <c r="F37" s="7" t="s">
        <v>99</v>
      </c>
      <c r="G37" s="9" t="s">
        <v>100</v>
      </c>
      <c r="H37" s="9"/>
      <c r="I37" s="204" cm="1">
        <f t="array" ref="I37">IFERROR(LOOKUP(2,1/(N37:GR37&lt;&gt;""),N$4:DRA$4),"")</f>
        <v>45177</v>
      </c>
      <c r="J37" s="169" cm="1">
        <f t="array" ref="J37">IFERROR(_xlfn.XLOOKUP(TRUE,N37:EH37&lt;&gt;"",N37:EH37,,,-1)," ")</f>
        <v>22.6</v>
      </c>
      <c r="K37" s="45">
        <v>22.5</v>
      </c>
      <c r="L37" s="45"/>
      <c r="M37" s="282" t="s">
        <v>34</v>
      </c>
      <c r="N37" s="57"/>
      <c r="O37" s="57"/>
      <c r="P37" s="57"/>
      <c r="Q37" s="57"/>
      <c r="R37" s="57"/>
      <c r="S37" s="57"/>
      <c r="T37" s="57"/>
      <c r="U37" s="57"/>
      <c r="V37" s="57"/>
      <c r="W37" s="57"/>
      <c r="X37" s="57"/>
      <c r="Y37" s="57"/>
      <c r="Z37" s="57"/>
      <c r="AA37" s="57">
        <v>14.9</v>
      </c>
      <c r="AB37" s="57"/>
      <c r="AC37" s="57"/>
      <c r="AD37" s="57"/>
      <c r="AE37" s="57"/>
      <c r="AF37" s="57"/>
      <c r="AG37" s="57"/>
      <c r="AH37" s="57"/>
      <c r="AI37" s="57"/>
      <c r="AJ37" s="57"/>
      <c r="AK37" s="57"/>
      <c r="AL37" s="57">
        <v>17.5</v>
      </c>
      <c r="AM37" s="57"/>
      <c r="AN37" s="57"/>
      <c r="AO37" s="57"/>
      <c r="AP37" s="57"/>
      <c r="AQ37" s="57"/>
      <c r="AR37" s="57"/>
      <c r="AS37" s="57"/>
      <c r="AT37" s="57"/>
      <c r="AU37" s="61">
        <v>20.6</v>
      </c>
      <c r="AV37" s="61"/>
      <c r="AW37" s="57"/>
      <c r="AX37" s="57"/>
      <c r="AY37" s="57"/>
      <c r="AZ37" s="57"/>
      <c r="BA37" s="57"/>
      <c r="BB37" s="61"/>
      <c r="BC37" s="61"/>
      <c r="BD37" s="57">
        <v>22.6</v>
      </c>
      <c r="BE37" s="57"/>
      <c r="BF37" s="61"/>
      <c r="BG37" s="57"/>
      <c r="BH37" s="57"/>
      <c r="BI37" s="61"/>
      <c r="BJ37" s="61"/>
      <c r="BK37" s="57"/>
      <c r="BL37" s="57"/>
      <c r="BM37" s="57"/>
      <c r="BN37" s="61"/>
      <c r="BO37" s="57"/>
      <c r="BP37" s="58"/>
      <c r="BQ37" s="61"/>
      <c r="BR37" s="57"/>
      <c r="BS37" s="57"/>
      <c r="BT37" s="57"/>
      <c r="BU37" s="57"/>
      <c r="BV37" s="57"/>
      <c r="BW37" s="57"/>
      <c r="BX37" s="57"/>
      <c r="BY37" s="57"/>
      <c r="BZ37" s="57"/>
      <c r="CA37" s="57"/>
      <c r="CB37" s="57"/>
      <c r="CC37" s="61"/>
      <c r="CD37" s="61"/>
      <c r="CE37" s="61"/>
      <c r="CF37" s="57"/>
      <c r="CG37" s="61"/>
      <c r="CH37" s="61"/>
      <c r="CI37" s="61"/>
      <c r="CJ37" s="57"/>
      <c r="CK37" s="61"/>
      <c r="CL37" s="61"/>
      <c r="CM37" s="61"/>
      <c r="CN37" s="61"/>
      <c r="CO37" s="61"/>
      <c r="CP37" s="61"/>
      <c r="CQ37" s="61"/>
      <c r="CR37" s="61"/>
      <c r="CS37" s="61"/>
      <c r="CT37" s="61"/>
      <c r="CU37" s="61"/>
      <c r="CV37" s="61"/>
      <c r="CW37" s="61"/>
      <c r="CX37" s="61"/>
      <c r="CY37" s="61"/>
      <c r="CZ37" s="61"/>
      <c r="DA37" s="61"/>
      <c r="DB37" s="61"/>
      <c r="DC37" s="61"/>
      <c r="DD37" s="61"/>
      <c r="DE37" s="61"/>
      <c r="DF37" s="61"/>
      <c r="DG37" s="61"/>
      <c r="DH37" s="61"/>
      <c r="DI37" s="61"/>
      <c r="DJ37" s="61"/>
      <c r="DK37" s="61"/>
      <c r="DL37" s="61"/>
      <c r="DM37" s="61"/>
      <c r="DN37" s="61"/>
      <c r="DO37" s="61"/>
      <c r="DP37" s="61"/>
      <c r="DQ37" s="156"/>
      <c r="DR37" s="156"/>
      <c r="DS37" s="156"/>
      <c r="DT37" s="156"/>
      <c r="DU37" s="156"/>
      <c r="DV37" s="156"/>
      <c r="DW37" s="156"/>
      <c r="DX37" s="156"/>
      <c r="DY37" s="156"/>
      <c r="DZ37" s="59"/>
      <c r="EA37" s="59"/>
      <c r="EB37" s="59"/>
      <c r="EC37" s="59"/>
      <c r="ED37" s="59"/>
      <c r="EE37" s="59"/>
      <c r="EF37" s="59"/>
      <c r="EG37" s="59"/>
    </row>
    <row r="38" spans="1:138" s="5" customFormat="1" ht="15.9" customHeight="1" outlineLevel="1" x14ac:dyDescent="0.3">
      <c r="A38" s="6" t="s">
        <v>23</v>
      </c>
      <c r="B38" s="6"/>
      <c r="C38" s="50" t="s">
        <v>44</v>
      </c>
      <c r="D38" s="147">
        <v>21.91</v>
      </c>
      <c r="E38" s="6" t="s">
        <v>91</v>
      </c>
      <c r="F38" s="6" t="s">
        <v>101</v>
      </c>
      <c r="G38" s="11" t="s">
        <v>102</v>
      </c>
      <c r="H38" s="11"/>
      <c r="I38" s="205" t="str" cm="1">
        <f t="array" ref="I38">IFERROR(LOOKUP(2,1/(N38:GR38&lt;&gt;""),N$4:DRA$4),"")</f>
        <v/>
      </c>
      <c r="J38" s="170" t="str" cm="1">
        <f t="array" ref="J38">IFERROR(_xlfn.XLOOKUP(TRUE,N38:EH38&lt;&gt;"",N38:EH38,,,-1)," ")</f>
        <v xml:space="preserve"> </v>
      </c>
      <c r="K38" s="49">
        <v>22.5</v>
      </c>
      <c r="L38" s="49"/>
      <c r="M38" s="284" t="s">
        <v>34</v>
      </c>
      <c r="N38" s="62"/>
      <c r="O38" s="62"/>
      <c r="P38" s="62"/>
      <c r="Q38" s="62"/>
      <c r="R38" s="62"/>
      <c r="S38" s="62"/>
      <c r="T38" s="62"/>
      <c r="U38" s="62"/>
      <c r="V38" s="62"/>
      <c r="W38" s="62"/>
      <c r="X38" s="62"/>
      <c r="Y38" s="62"/>
      <c r="Z38" s="62"/>
      <c r="AA38" s="62"/>
      <c r="AB38" s="62"/>
      <c r="AC38" s="62"/>
      <c r="AD38" s="62"/>
      <c r="AE38" s="62"/>
      <c r="AF38" s="62"/>
      <c r="AG38" s="62"/>
      <c r="AH38" s="62"/>
      <c r="AI38" s="62"/>
      <c r="AJ38" s="62"/>
      <c r="AK38" s="62"/>
      <c r="AL38" s="62"/>
      <c r="AM38" s="62"/>
      <c r="AN38" s="62"/>
      <c r="AO38" s="62"/>
      <c r="AP38" s="62"/>
      <c r="AQ38" s="62"/>
      <c r="AR38" s="62"/>
      <c r="AS38" s="62"/>
      <c r="AT38" s="62"/>
      <c r="AU38" s="63"/>
      <c r="AV38" s="63"/>
      <c r="AW38" s="62"/>
      <c r="AX38" s="62"/>
      <c r="AY38" s="62"/>
      <c r="AZ38" s="62"/>
      <c r="BA38" s="62"/>
      <c r="BB38" s="63"/>
      <c r="BC38" s="63"/>
      <c r="BD38" s="62"/>
      <c r="BE38" s="62"/>
      <c r="BF38" s="63"/>
      <c r="BG38" s="62"/>
      <c r="BH38" s="62"/>
      <c r="BI38" s="63"/>
      <c r="BJ38" s="63"/>
      <c r="BK38" s="62"/>
      <c r="BL38" s="62"/>
      <c r="BM38" s="62"/>
      <c r="BN38" s="63"/>
      <c r="BO38" s="62"/>
      <c r="BP38" s="64"/>
      <c r="BQ38" s="63"/>
      <c r="BR38" s="62"/>
      <c r="BS38" s="62"/>
      <c r="BT38" s="62"/>
      <c r="BU38" s="62"/>
      <c r="BV38" s="62"/>
      <c r="BW38" s="62"/>
      <c r="BX38" s="62"/>
      <c r="BY38" s="62"/>
      <c r="BZ38" s="62"/>
      <c r="CA38" s="62"/>
      <c r="CB38" s="62"/>
      <c r="CC38" s="63"/>
      <c r="CD38" s="63"/>
      <c r="CE38" s="63"/>
      <c r="CF38" s="62"/>
      <c r="CG38" s="63"/>
      <c r="CH38" s="63"/>
      <c r="CI38" s="63"/>
      <c r="CJ38" s="62"/>
      <c r="CK38" s="63"/>
      <c r="CL38" s="63"/>
      <c r="CM38" s="63"/>
      <c r="CN38" s="63"/>
      <c r="CO38" s="63"/>
      <c r="CP38" s="63"/>
      <c r="CQ38" s="63"/>
      <c r="CR38" s="63"/>
      <c r="CS38" s="63"/>
      <c r="CT38" s="63"/>
      <c r="CU38" s="63"/>
      <c r="CV38" s="63"/>
      <c r="CW38" s="63"/>
      <c r="CX38" s="63"/>
      <c r="CY38" s="63"/>
      <c r="CZ38" s="63"/>
      <c r="DA38" s="63"/>
      <c r="DB38" s="63"/>
      <c r="DC38" s="63"/>
      <c r="DD38" s="63"/>
      <c r="DE38" s="63"/>
      <c r="DF38" s="63"/>
      <c r="DG38" s="63"/>
      <c r="DH38" s="63"/>
      <c r="DI38" s="63"/>
      <c r="DJ38" s="63"/>
      <c r="DK38" s="63"/>
      <c r="DL38" s="63"/>
      <c r="DM38" s="63"/>
      <c r="DN38" s="63"/>
      <c r="DO38" s="63"/>
      <c r="DP38" s="63"/>
      <c r="DQ38" s="158"/>
      <c r="DR38" s="158"/>
      <c r="DS38" s="158"/>
      <c r="DT38" s="158"/>
      <c r="DU38" s="158"/>
      <c r="DV38" s="158"/>
      <c r="DW38" s="158"/>
      <c r="DX38" s="158"/>
      <c r="DY38" s="158"/>
      <c r="DZ38" s="65"/>
      <c r="EA38" s="65"/>
      <c r="EB38" s="65"/>
      <c r="EC38" s="65"/>
      <c r="ED38" s="65"/>
      <c r="EE38" s="65"/>
      <c r="EF38" s="65"/>
      <c r="EG38" s="65"/>
    </row>
    <row r="39" spans="1:138" s="5" customFormat="1" ht="15.9" customHeight="1" outlineLevel="1" x14ac:dyDescent="0.3">
      <c r="A39" s="7" t="s">
        <v>22</v>
      </c>
      <c r="B39" s="7" t="s">
        <v>23</v>
      </c>
      <c r="C39" s="8" t="s">
        <v>44</v>
      </c>
      <c r="D39" s="146">
        <v>59.54</v>
      </c>
      <c r="E39" s="7" t="s">
        <v>91</v>
      </c>
      <c r="F39" s="7" t="s">
        <v>103</v>
      </c>
      <c r="G39" s="9" t="s">
        <v>104</v>
      </c>
      <c r="H39" s="9"/>
      <c r="I39" s="204" cm="1">
        <f t="array" ref="I39">IFERROR(LOOKUP(2,1/(N39:GR39&lt;&gt;""),N$4:DRA$4),"")</f>
        <v>45184</v>
      </c>
      <c r="J39" s="169" cm="1">
        <f t="array" ref="J39">IFERROR(_xlfn.XLOOKUP(TRUE,N39:EH39&lt;&gt;"",N39:EH39,,,-1)," ")</f>
        <v>24.6</v>
      </c>
      <c r="K39" s="45">
        <v>22.5</v>
      </c>
      <c r="L39" s="45"/>
      <c r="M39" s="282" t="s">
        <v>28</v>
      </c>
      <c r="N39" s="57"/>
      <c r="O39" s="70"/>
      <c r="P39" s="57"/>
      <c r="Q39" s="57"/>
      <c r="R39" s="57"/>
      <c r="S39" s="57"/>
      <c r="T39" s="57"/>
      <c r="U39" s="57">
        <v>15.6</v>
      </c>
      <c r="V39" s="57"/>
      <c r="W39" s="57"/>
      <c r="X39" s="57"/>
      <c r="Y39" s="57"/>
      <c r="Z39" s="57"/>
      <c r="AA39" s="57"/>
      <c r="AB39" s="57"/>
      <c r="AC39" s="57"/>
      <c r="AD39" s="57"/>
      <c r="AE39" s="57">
        <v>19.600000000000001</v>
      </c>
      <c r="AF39" s="57"/>
      <c r="AG39" s="57"/>
      <c r="AH39" s="57"/>
      <c r="AI39" s="57"/>
      <c r="AJ39" s="57"/>
      <c r="AK39" s="57"/>
      <c r="AL39" s="57">
        <v>20.5</v>
      </c>
      <c r="AM39" s="57"/>
      <c r="AN39" s="57"/>
      <c r="AO39" s="57"/>
      <c r="AP39" s="57"/>
      <c r="AQ39" s="57"/>
      <c r="AR39" s="57"/>
      <c r="AS39" s="58">
        <v>21.7</v>
      </c>
      <c r="AT39" s="57"/>
      <c r="AU39" s="61"/>
      <c r="AV39" s="61"/>
      <c r="AW39" s="57"/>
      <c r="AX39" s="57"/>
      <c r="AY39" s="57"/>
      <c r="AZ39" s="57"/>
      <c r="BA39" s="57"/>
      <c r="BB39" s="61"/>
      <c r="BC39" s="61"/>
      <c r="BD39" s="61"/>
      <c r="BE39" s="61"/>
      <c r="BF39" s="61"/>
      <c r="BG39" s="61"/>
      <c r="BH39" s="57"/>
      <c r="BI39" s="61">
        <v>24</v>
      </c>
      <c r="BJ39" s="61"/>
      <c r="BK39" s="58">
        <v>24.6</v>
      </c>
      <c r="BL39" s="61"/>
      <c r="BM39" s="57"/>
      <c r="BN39" s="61"/>
      <c r="BO39" s="57"/>
      <c r="BP39" s="58"/>
      <c r="BQ39" s="61"/>
      <c r="BR39" s="61"/>
      <c r="BS39" s="61"/>
      <c r="BT39" s="61"/>
      <c r="BU39" s="61"/>
      <c r="BV39" s="61"/>
      <c r="BW39" s="61"/>
      <c r="BX39" s="61"/>
      <c r="BY39" s="61"/>
      <c r="BZ39" s="61"/>
      <c r="CA39" s="61"/>
      <c r="CB39" s="57"/>
      <c r="CC39" s="61"/>
      <c r="CD39" s="61"/>
      <c r="CE39" s="61"/>
      <c r="CF39" s="57"/>
      <c r="CG39" s="61"/>
      <c r="CH39" s="61"/>
      <c r="CI39" s="61"/>
      <c r="CJ39" s="57"/>
      <c r="CK39" s="61"/>
      <c r="CL39" s="61"/>
      <c r="CM39" s="61"/>
      <c r="CN39" s="61"/>
      <c r="CO39" s="61"/>
      <c r="CP39" s="61"/>
      <c r="CQ39" s="61"/>
      <c r="CR39" s="61"/>
      <c r="CS39" s="61"/>
      <c r="CT39" s="61"/>
      <c r="CU39" s="61"/>
      <c r="CV39" s="61"/>
      <c r="CW39" s="61"/>
      <c r="CX39" s="61"/>
      <c r="CY39" s="61"/>
      <c r="CZ39" s="61"/>
      <c r="DA39" s="61"/>
      <c r="DB39" s="61"/>
      <c r="DC39" s="61"/>
      <c r="DD39" s="61"/>
      <c r="DE39" s="61"/>
      <c r="DF39" s="61"/>
      <c r="DG39" s="61"/>
      <c r="DH39" s="61"/>
      <c r="DI39" s="61"/>
      <c r="DJ39" s="61"/>
      <c r="DK39" s="61"/>
      <c r="DL39" s="61"/>
      <c r="DM39" s="61"/>
      <c r="DN39" s="61"/>
      <c r="DO39" s="61"/>
      <c r="DP39" s="61"/>
      <c r="DQ39" s="156"/>
      <c r="DR39" s="156"/>
      <c r="DS39" s="156"/>
      <c r="DT39" s="156"/>
      <c r="DU39" s="156"/>
      <c r="DV39" s="156"/>
      <c r="DW39" s="156"/>
      <c r="DX39" s="156"/>
      <c r="DY39" s="156"/>
      <c r="DZ39" s="65"/>
      <c r="EA39" s="65"/>
      <c r="EB39" s="65"/>
      <c r="EC39" s="65"/>
      <c r="ED39" s="65"/>
      <c r="EE39" s="65"/>
      <c r="EF39" s="65"/>
      <c r="EG39" s="65"/>
      <c r="EH39" s="10"/>
    </row>
    <row r="40" spans="1:138" s="5" customFormat="1" ht="15.9" customHeight="1" outlineLevel="1" x14ac:dyDescent="0.3">
      <c r="A40" s="7" t="s">
        <v>22</v>
      </c>
      <c r="B40" s="7"/>
      <c r="C40" s="8" t="s">
        <v>44</v>
      </c>
      <c r="D40" s="146"/>
      <c r="E40" s="7" t="s">
        <v>91</v>
      </c>
      <c r="F40" s="7"/>
      <c r="G40" s="9" t="s">
        <v>105</v>
      </c>
      <c r="H40" s="9"/>
      <c r="I40" s="204" cm="1">
        <f t="array" ref="I40">IFERROR(LOOKUP(2,1/(N40:GR40&lt;&gt;""),N$4:DRA$4),"")</f>
        <v>45170</v>
      </c>
      <c r="J40" s="266" cm="1">
        <f t="array" ref="J40">IFERROR(_xlfn.XLOOKUP(TRUE,N40:EH40&lt;&gt;"",N40:EH40,,,-1)," ")</f>
        <v>22.5</v>
      </c>
      <c r="K40" s="45">
        <v>22.5</v>
      </c>
      <c r="L40" s="45"/>
      <c r="M40" s="282" t="s">
        <v>28</v>
      </c>
      <c r="N40" s="57"/>
      <c r="O40" s="70"/>
      <c r="P40" s="57"/>
      <c r="Q40" s="57"/>
      <c r="R40" s="57"/>
      <c r="S40" s="57"/>
      <c r="T40" s="57"/>
      <c r="U40" s="57"/>
      <c r="V40" s="57"/>
      <c r="W40" s="57"/>
      <c r="X40" s="57"/>
      <c r="Y40" s="57"/>
      <c r="Z40" s="57"/>
      <c r="AA40" s="57"/>
      <c r="AB40" s="57"/>
      <c r="AC40" s="57"/>
      <c r="AD40" s="57"/>
      <c r="AE40" s="57"/>
      <c r="AF40" s="57"/>
      <c r="AG40" s="57"/>
      <c r="AH40" s="57"/>
      <c r="AI40" s="57"/>
      <c r="AJ40" s="57"/>
      <c r="AK40" s="57"/>
      <c r="AL40" s="57"/>
      <c r="AM40" s="57"/>
      <c r="AN40" s="57"/>
      <c r="AO40" s="57"/>
      <c r="AP40" s="57"/>
      <c r="AQ40" s="57"/>
      <c r="AR40" s="57"/>
      <c r="AS40" s="58"/>
      <c r="AT40" s="57"/>
      <c r="AU40" s="61"/>
      <c r="AV40" s="61"/>
      <c r="AW40" s="57">
        <v>22.5</v>
      </c>
      <c r="AX40" s="57"/>
      <c r="AY40" s="57"/>
      <c r="AZ40" s="57"/>
      <c r="BA40" s="57"/>
      <c r="BB40" s="61"/>
      <c r="BC40" s="61"/>
      <c r="BD40" s="61"/>
      <c r="BE40" s="61"/>
      <c r="BF40" s="61"/>
      <c r="BG40" s="61"/>
      <c r="BH40" s="57"/>
      <c r="BI40" s="61"/>
      <c r="BJ40" s="61"/>
      <c r="BK40" s="57"/>
      <c r="BL40" s="61"/>
      <c r="BM40" s="57"/>
      <c r="BN40" s="61"/>
      <c r="BO40" s="57"/>
      <c r="BP40" s="58"/>
      <c r="BQ40" s="61"/>
      <c r="BR40" s="61"/>
      <c r="BS40" s="61"/>
      <c r="BT40" s="61"/>
      <c r="BU40" s="61"/>
      <c r="BV40" s="61"/>
      <c r="BW40" s="61"/>
      <c r="BX40" s="61"/>
      <c r="BY40" s="61"/>
      <c r="BZ40" s="61"/>
      <c r="CA40" s="61"/>
      <c r="CB40" s="57"/>
      <c r="CC40" s="61"/>
      <c r="CD40" s="61"/>
      <c r="CE40" s="61"/>
      <c r="CF40" s="57"/>
      <c r="CG40" s="61"/>
      <c r="CH40" s="61"/>
      <c r="CI40" s="61"/>
      <c r="CJ40" s="57"/>
      <c r="CK40" s="61"/>
      <c r="CL40" s="61"/>
      <c r="CM40" s="61"/>
      <c r="CN40" s="61"/>
      <c r="CO40" s="61"/>
      <c r="CP40" s="61"/>
      <c r="CQ40" s="61"/>
      <c r="CR40" s="61"/>
      <c r="CS40" s="61"/>
      <c r="CT40" s="61"/>
      <c r="CU40" s="61"/>
      <c r="CV40" s="61"/>
      <c r="CW40" s="61"/>
      <c r="CX40" s="61"/>
      <c r="CY40" s="61"/>
      <c r="CZ40" s="61"/>
      <c r="DA40" s="61"/>
      <c r="DB40" s="61"/>
      <c r="DC40" s="61"/>
      <c r="DD40" s="61"/>
      <c r="DE40" s="61"/>
      <c r="DF40" s="61"/>
      <c r="DG40" s="61"/>
      <c r="DH40" s="61"/>
      <c r="DI40" s="61"/>
      <c r="DJ40" s="61"/>
      <c r="DK40" s="61"/>
      <c r="DL40" s="61"/>
      <c r="DM40" s="61"/>
      <c r="DN40" s="61"/>
      <c r="DO40" s="61"/>
      <c r="DP40" s="61"/>
      <c r="DQ40" s="156"/>
      <c r="DR40" s="156"/>
      <c r="DS40" s="156"/>
      <c r="DT40" s="156"/>
      <c r="DU40" s="156"/>
      <c r="DV40" s="156"/>
      <c r="DW40" s="156"/>
      <c r="DX40" s="156"/>
      <c r="DY40" s="156"/>
      <c r="DZ40" s="65"/>
      <c r="EA40" s="65"/>
      <c r="EB40" s="65"/>
      <c r="EC40" s="65"/>
      <c r="ED40" s="65"/>
      <c r="EE40" s="65"/>
      <c r="EF40" s="65"/>
      <c r="EG40" s="65"/>
      <c r="EH40" s="10"/>
    </row>
    <row r="41" spans="1:138" s="5" customFormat="1" ht="15.9" customHeight="1" outlineLevel="1" x14ac:dyDescent="0.3">
      <c r="A41" s="6" t="s">
        <v>22</v>
      </c>
      <c r="B41" s="6" t="s">
        <v>23</v>
      </c>
      <c r="C41" s="50" t="s">
        <v>44</v>
      </c>
      <c r="D41" s="147">
        <v>70.349999999999994</v>
      </c>
      <c r="E41" s="6" t="s">
        <v>91</v>
      </c>
      <c r="F41" s="6" t="s">
        <v>106</v>
      </c>
      <c r="G41" s="11" t="s">
        <v>107</v>
      </c>
      <c r="H41" s="11"/>
      <c r="I41" s="205" cm="1">
        <f t="array" ref="I41">IFERROR(LOOKUP(2,1/(N41:GR41&lt;&gt;""),N$4:DRA$4),"")</f>
        <v>45185</v>
      </c>
      <c r="J41" s="170" cm="1">
        <f t="array" ref="J41">IFERROR(_xlfn.XLOOKUP(TRUE,N41:EH41&lt;&gt;"",N41:EH41,,,-1)," ")</f>
        <v>23.5</v>
      </c>
      <c r="K41" s="49">
        <v>25</v>
      </c>
      <c r="L41" s="49">
        <v>25</v>
      </c>
      <c r="M41" s="284" t="s">
        <v>28</v>
      </c>
      <c r="N41" s="62"/>
      <c r="O41" s="62"/>
      <c r="P41" s="62"/>
      <c r="Q41" s="62"/>
      <c r="R41" s="62"/>
      <c r="S41" s="62"/>
      <c r="T41" s="62"/>
      <c r="U41" s="62"/>
      <c r="V41" s="62"/>
      <c r="W41" s="62"/>
      <c r="X41" s="62"/>
      <c r="Y41" s="62"/>
      <c r="Z41" s="62"/>
      <c r="AA41" s="62">
        <v>16</v>
      </c>
      <c r="AB41" s="62"/>
      <c r="AC41" s="62"/>
      <c r="AD41" s="62"/>
      <c r="AE41" s="62"/>
      <c r="AF41" s="62"/>
      <c r="AG41" s="62"/>
      <c r="AH41" s="62"/>
      <c r="AI41" s="62"/>
      <c r="AJ41" s="62"/>
      <c r="AK41" s="62"/>
      <c r="AL41" s="62"/>
      <c r="AM41" s="62"/>
      <c r="AN41" s="62"/>
      <c r="AO41" s="62"/>
      <c r="AP41" s="62"/>
      <c r="AQ41" s="62"/>
      <c r="AR41" s="62"/>
      <c r="AS41" s="62"/>
      <c r="AT41" s="62"/>
      <c r="AU41" s="63"/>
      <c r="AV41" s="63"/>
      <c r="AW41" s="62"/>
      <c r="AX41" s="64"/>
      <c r="AY41" s="62"/>
      <c r="AZ41" s="62"/>
      <c r="BA41" s="62"/>
      <c r="BB41" s="63"/>
      <c r="BC41" s="63"/>
      <c r="BD41" s="62"/>
      <c r="BE41" s="62"/>
      <c r="BF41" s="63"/>
      <c r="BG41" s="62"/>
      <c r="BH41" s="62"/>
      <c r="BI41" s="63"/>
      <c r="BJ41" s="63"/>
      <c r="BK41" s="62"/>
      <c r="BL41" s="159">
        <v>23.5</v>
      </c>
      <c r="BM41" s="62"/>
      <c r="BN41" s="63"/>
      <c r="BO41" s="62"/>
      <c r="BP41" s="64"/>
      <c r="BQ41" s="63"/>
      <c r="BR41" s="63"/>
      <c r="BS41" s="63"/>
      <c r="BT41" s="63"/>
      <c r="BU41" s="63"/>
      <c r="BV41" s="63"/>
      <c r="BW41" s="63"/>
      <c r="BX41" s="63"/>
      <c r="BY41" s="63"/>
      <c r="BZ41" s="63"/>
      <c r="CA41" s="63"/>
      <c r="CB41" s="62"/>
      <c r="CC41" s="63"/>
      <c r="CD41" s="63"/>
      <c r="CE41" s="63"/>
      <c r="CF41" s="62"/>
      <c r="CG41" s="63"/>
      <c r="CH41" s="63"/>
      <c r="CI41" s="63"/>
      <c r="CJ41" s="62"/>
      <c r="CK41" s="63"/>
      <c r="CL41" s="63"/>
      <c r="CM41" s="63"/>
      <c r="CN41" s="63"/>
      <c r="CO41" s="63"/>
      <c r="CP41" s="63"/>
      <c r="CQ41" s="63"/>
      <c r="CR41" s="63"/>
      <c r="CS41" s="63"/>
      <c r="CT41" s="63"/>
      <c r="CU41" s="63"/>
      <c r="CV41" s="63"/>
      <c r="CW41" s="63"/>
      <c r="CX41" s="63"/>
      <c r="CY41" s="63"/>
      <c r="CZ41" s="63"/>
      <c r="DA41" s="63"/>
      <c r="DB41" s="63"/>
      <c r="DC41" s="63"/>
      <c r="DD41" s="63"/>
      <c r="DE41" s="63"/>
      <c r="DF41" s="63"/>
      <c r="DG41" s="63"/>
      <c r="DH41" s="63"/>
      <c r="DI41" s="63"/>
      <c r="DJ41" s="63"/>
      <c r="DK41" s="63"/>
      <c r="DL41" s="63"/>
      <c r="DM41" s="63"/>
      <c r="DN41" s="63"/>
      <c r="DO41" s="63"/>
      <c r="DP41" s="63"/>
      <c r="DQ41" s="158"/>
      <c r="DR41" s="158"/>
      <c r="DS41" s="158"/>
      <c r="DT41" s="158"/>
      <c r="DU41" s="158"/>
      <c r="DV41" s="158"/>
      <c r="DW41" s="158"/>
      <c r="DX41" s="158"/>
      <c r="DY41" s="158"/>
      <c r="DZ41" s="59"/>
      <c r="EA41" s="59"/>
      <c r="EB41" s="59"/>
      <c r="EC41" s="59"/>
      <c r="ED41" s="59"/>
      <c r="EE41" s="59"/>
      <c r="EF41" s="59"/>
      <c r="EG41" s="59"/>
    </row>
    <row r="42" spans="1:138" s="5" customFormat="1" ht="15.9" customHeight="1" outlineLevel="1" x14ac:dyDescent="0.3">
      <c r="A42" s="6" t="s">
        <v>22</v>
      </c>
      <c r="B42" s="6" t="s">
        <v>23</v>
      </c>
      <c r="C42" s="50" t="s">
        <v>44</v>
      </c>
      <c r="D42" s="147"/>
      <c r="E42" s="6" t="s">
        <v>91</v>
      </c>
      <c r="F42" s="6" t="s">
        <v>106</v>
      </c>
      <c r="G42" s="11" t="s">
        <v>108</v>
      </c>
      <c r="H42" s="11"/>
      <c r="I42" s="205" cm="1">
        <f t="array" ref="I42">IFERROR(LOOKUP(2,1/(N42:GR42&lt;&gt;""),N$4:DRA$4),"")</f>
        <v>45154</v>
      </c>
      <c r="J42" s="170" cm="1">
        <f t="array" ref="J42">IFERROR(_xlfn.XLOOKUP(TRUE,N42:EH42&lt;&gt;"",N42:EH42,,,-1)," ")</f>
        <v>17.399999999999999</v>
      </c>
      <c r="K42" s="49">
        <v>25</v>
      </c>
      <c r="L42" s="49">
        <v>25</v>
      </c>
      <c r="M42" s="284" t="s">
        <v>28</v>
      </c>
      <c r="N42" s="62"/>
      <c r="O42" s="62"/>
      <c r="P42" s="62"/>
      <c r="Q42" s="62"/>
      <c r="R42" s="62"/>
      <c r="S42" s="62"/>
      <c r="T42" s="62"/>
      <c r="U42" s="62"/>
      <c r="V42" s="62"/>
      <c r="W42" s="62"/>
      <c r="X42" s="62"/>
      <c r="Y42" s="62"/>
      <c r="Z42" s="62"/>
      <c r="AA42" s="62"/>
      <c r="AB42" s="62"/>
      <c r="AC42" s="62"/>
      <c r="AD42" s="62"/>
      <c r="AE42" s="62"/>
      <c r="AF42" s="62"/>
      <c r="AG42" s="62">
        <v>17.399999999999999</v>
      </c>
      <c r="AH42" s="62"/>
      <c r="AI42" s="62"/>
      <c r="AJ42" s="62"/>
      <c r="AK42" s="62"/>
      <c r="AL42" s="62"/>
      <c r="AM42" s="62"/>
      <c r="AN42" s="62"/>
      <c r="AO42" s="62"/>
      <c r="AP42" s="62"/>
      <c r="AQ42" s="62"/>
      <c r="AR42" s="62"/>
      <c r="AS42" s="62"/>
      <c r="AT42" s="62"/>
      <c r="AU42" s="63"/>
      <c r="AV42" s="63"/>
      <c r="AW42" s="62"/>
      <c r="AX42" s="62"/>
      <c r="AY42" s="62"/>
      <c r="AZ42" s="62"/>
      <c r="BA42" s="62"/>
      <c r="BB42" s="63"/>
      <c r="BC42" s="63"/>
      <c r="BD42" s="62"/>
      <c r="BE42" s="62"/>
      <c r="BF42" s="63"/>
      <c r="BG42" s="62"/>
      <c r="BH42" s="62"/>
      <c r="BI42" s="63"/>
      <c r="BJ42" s="63"/>
      <c r="BK42" s="62"/>
      <c r="BL42" s="159"/>
      <c r="BM42" s="62"/>
      <c r="BN42" s="63"/>
      <c r="BO42" s="62"/>
      <c r="BP42" s="64"/>
      <c r="BQ42" s="63"/>
      <c r="BR42" s="63"/>
      <c r="BS42" s="63"/>
      <c r="BT42" s="63"/>
      <c r="BU42" s="63"/>
      <c r="BV42" s="63"/>
      <c r="BW42" s="63"/>
      <c r="BX42" s="63"/>
      <c r="BY42" s="63"/>
      <c r="BZ42" s="63"/>
      <c r="CA42" s="63"/>
      <c r="CB42" s="62"/>
      <c r="CC42" s="63"/>
      <c r="CD42" s="63"/>
      <c r="CE42" s="63"/>
      <c r="CF42" s="62"/>
      <c r="CG42" s="63"/>
      <c r="CH42" s="63"/>
      <c r="CI42" s="63"/>
      <c r="CJ42" s="62"/>
      <c r="CK42" s="63"/>
      <c r="CL42" s="63"/>
      <c r="CM42" s="63"/>
      <c r="CN42" s="63"/>
      <c r="CO42" s="63"/>
      <c r="CP42" s="63"/>
      <c r="CQ42" s="63"/>
      <c r="CR42" s="63"/>
      <c r="CS42" s="63"/>
      <c r="CT42" s="63"/>
      <c r="CU42" s="63"/>
      <c r="CV42" s="63"/>
      <c r="CW42" s="63"/>
      <c r="CX42" s="63"/>
      <c r="CY42" s="63"/>
      <c r="CZ42" s="63"/>
      <c r="DA42" s="63"/>
      <c r="DB42" s="63"/>
      <c r="DC42" s="63"/>
      <c r="DD42" s="63"/>
      <c r="DE42" s="63"/>
      <c r="DF42" s="63"/>
      <c r="DG42" s="63"/>
      <c r="DH42" s="63"/>
      <c r="DI42" s="63"/>
      <c r="DJ42" s="63"/>
      <c r="DK42" s="63"/>
      <c r="DL42" s="63"/>
      <c r="DM42" s="63"/>
      <c r="DN42" s="63"/>
      <c r="DO42" s="63"/>
      <c r="DP42" s="63"/>
      <c r="DQ42" s="158"/>
      <c r="DR42" s="158"/>
      <c r="DS42" s="158"/>
      <c r="DT42" s="158"/>
      <c r="DU42" s="158"/>
      <c r="DV42" s="158"/>
      <c r="DW42" s="158"/>
      <c r="DX42" s="158"/>
      <c r="DY42" s="158"/>
      <c r="DZ42" s="59"/>
      <c r="EA42" s="59"/>
      <c r="EB42" s="59"/>
      <c r="EC42" s="59"/>
      <c r="ED42" s="59"/>
      <c r="EE42" s="59"/>
      <c r="EF42" s="59"/>
      <c r="EG42" s="59"/>
    </row>
    <row r="43" spans="1:138" s="10" customFormat="1" ht="15.9" customHeight="1" outlineLevel="1" x14ac:dyDescent="0.3">
      <c r="A43" s="6" t="s">
        <v>22</v>
      </c>
      <c r="B43" s="6" t="s">
        <v>23</v>
      </c>
      <c r="C43" s="50" t="s">
        <v>44</v>
      </c>
      <c r="D43" s="147"/>
      <c r="E43" s="6" t="s">
        <v>91</v>
      </c>
      <c r="F43" s="6" t="s">
        <v>106</v>
      </c>
      <c r="G43" s="11" t="s">
        <v>109</v>
      </c>
      <c r="H43" s="11"/>
      <c r="I43" s="205" cm="1">
        <f t="array" ref="I43">IFERROR(LOOKUP(2,1/(N43:GR43&lt;&gt;""),N$4:DRA$4),"")</f>
        <v>45182</v>
      </c>
      <c r="J43" s="170" cm="1">
        <f t="array" ref="J43">IFERROR(_xlfn.XLOOKUP(TRUE,N43:EH43&lt;&gt;"",N43:EH43,,,-1)," ")</f>
        <v>23.3</v>
      </c>
      <c r="K43" s="49">
        <v>25</v>
      </c>
      <c r="L43" s="49">
        <v>25</v>
      </c>
      <c r="M43" s="284" t="s">
        <v>28</v>
      </c>
      <c r="N43" s="62"/>
      <c r="O43" s="62"/>
      <c r="P43" s="62"/>
      <c r="Q43" s="62"/>
      <c r="R43" s="62"/>
      <c r="S43" s="62"/>
      <c r="T43" s="62"/>
      <c r="U43" s="62"/>
      <c r="V43" s="62"/>
      <c r="W43" s="62"/>
      <c r="X43" s="62"/>
      <c r="Y43" s="62"/>
      <c r="Z43" s="62"/>
      <c r="AA43" s="62"/>
      <c r="AB43" s="62"/>
      <c r="AC43" s="62"/>
      <c r="AD43" s="62"/>
      <c r="AE43" s="62"/>
      <c r="AF43" s="62"/>
      <c r="AG43" s="62">
        <v>18.600000000000001</v>
      </c>
      <c r="AH43" s="62"/>
      <c r="AI43" s="62"/>
      <c r="AJ43" s="62"/>
      <c r="AK43" s="62"/>
      <c r="AL43" s="62"/>
      <c r="AM43" s="62"/>
      <c r="AN43" s="62"/>
      <c r="AO43" s="62">
        <v>19</v>
      </c>
      <c r="AP43" s="62"/>
      <c r="AQ43" s="62"/>
      <c r="AR43" s="62"/>
      <c r="AS43" s="62"/>
      <c r="AT43" s="62"/>
      <c r="AU43" s="63">
        <v>21</v>
      </c>
      <c r="AV43" s="63"/>
      <c r="AW43" s="62"/>
      <c r="AX43" s="62"/>
      <c r="AY43" s="62"/>
      <c r="AZ43" s="62"/>
      <c r="BA43" s="62"/>
      <c r="BB43" s="63">
        <v>21.7</v>
      </c>
      <c r="BC43" s="63"/>
      <c r="BD43" s="62"/>
      <c r="BE43" s="62"/>
      <c r="BF43" s="63"/>
      <c r="BG43" s="62"/>
      <c r="BH43" s="62"/>
      <c r="BI43" s="63">
        <v>23.3</v>
      </c>
      <c r="BJ43" s="63"/>
      <c r="BK43" s="62"/>
      <c r="BL43" s="63"/>
      <c r="BM43" s="62"/>
      <c r="BN43" s="63"/>
      <c r="BO43" s="62"/>
      <c r="BP43" s="64"/>
      <c r="BQ43" s="63"/>
      <c r="BR43" s="63"/>
      <c r="BS43" s="63"/>
      <c r="BT43" s="63"/>
      <c r="BU43" s="63"/>
      <c r="BV43" s="63"/>
      <c r="BW43" s="63"/>
      <c r="BX43" s="63"/>
      <c r="BY43" s="63"/>
      <c r="BZ43" s="63"/>
      <c r="CA43" s="63"/>
      <c r="CB43" s="62"/>
      <c r="CC43" s="63"/>
      <c r="CD43" s="63"/>
      <c r="CE43" s="63"/>
      <c r="CF43" s="62"/>
      <c r="CG43" s="63"/>
      <c r="CH43" s="63"/>
      <c r="CI43" s="63"/>
      <c r="CJ43" s="62"/>
      <c r="CK43" s="63"/>
      <c r="CL43" s="63"/>
      <c r="CM43" s="63"/>
      <c r="CN43" s="63"/>
      <c r="CO43" s="63"/>
      <c r="CP43" s="63"/>
      <c r="CQ43" s="63"/>
      <c r="CR43" s="63"/>
      <c r="CS43" s="63"/>
      <c r="CT43" s="63"/>
      <c r="CU43" s="63"/>
      <c r="CV43" s="63"/>
      <c r="CW43" s="63"/>
      <c r="CX43" s="63"/>
      <c r="CY43" s="63"/>
      <c r="CZ43" s="63"/>
      <c r="DA43" s="63"/>
      <c r="DB43" s="63"/>
      <c r="DC43" s="63"/>
      <c r="DD43" s="63"/>
      <c r="DE43" s="63"/>
      <c r="DF43" s="63"/>
      <c r="DG43" s="63"/>
      <c r="DH43" s="63"/>
      <c r="DI43" s="63"/>
      <c r="DJ43" s="63"/>
      <c r="DK43" s="63"/>
      <c r="DL43" s="63"/>
      <c r="DM43" s="63"/>
      <c r="DN43" s="63"/>
      <c r="DO43" s="63"/>
      <c r="DP43" s="63"/>
      <c r="DQ43" s="158"/>
      <c r="DR43" s="158"/>
      <c r="DS43" s="158"/>
      <c r="DT43" s="158"/>
      <c r="DU43" s="158"/>
      <c r="DV43" s="158"/>
      <c r="DW43" s="158"/>
      <c r="DX43" s="158"/>
      <c r="DY43" s="158"/>
      <c r="DZ43" s="59"/>
      <c r="EA43" s="59"/>
      <c r="EB43" s="59"/>
      <c r="EC43" s="59"/>
      <c r="ED43" s="59"/>
      <c r="EE43" s="59"/>
      <c r="EF43" s="59"/>
      <c r="EG43" s="59"/>
      <c r="EH43" s="5"/>
    </row>
    <row r="44" spans="1:138" s="5" customFormat="1" ht="15.9" customHeight="1" outlineLevel="1" x14ac:dyDescent="0.3">
      <c r="A44" s="6" t="s">
        <v>22</v>
      </c>
      <c r="B44" s="6" t="s">
        <v>23</v>
      </c>
      <c r="C44" s="50" t="s">
        <v>44</v>
      </c>
      <c r="D44" s="147"/>
      <c r="E44" s="6" t="s">
        <v>91</v>
      </c>
      <c r="F44" s="6" t="s">
        <v>106</v>
      </c>
      <c r="G44" s="11" t="s">
        <v>110</v>
      </c>
      <c r="H44" s="11"/>
      <c r="I44" s="205" cm="1">
        <f t="array" ref="I44">IFERROR(LOOKUP(2,1/(N44:GR44&lt;&gt;""),N$4:DRA$4),"")</f>
        <v>45182</v>
      </c>
      <c r="J44" s="170" cm="1">
        <f t="array" ref="J44">IFERROR(_xlfn.XLOOKUP(TRUE,N44:EH44&lt;&gt;"",N44:EH44,,,-1)," ")</f>
        <v>23.3</v>
      </c>
      <c r="K44" s="49">
        <v>25</v>
      </c>
      <c r="L44" s="49">
        <v>25</v>
      </c>
      <c r="M44" s="284" t="s">
        <v>28</v>
      </c>
      <c r="N44" s="62"/>
      <c r="O44" s="62"/>
      <c r="P44" s="62"/>
      <c r="Q44" s="62"/>
      <c r="R44" s="62"/>
      <c r="S44" s="62"/>
      <c r="T44" s="62"/>
      <c r="U44" s="62"/>
      <c r="V44" s="62"/>
      <c r="W44" s="62"/>
      <c r="X44" s="62"/>
      <c r="Y44" s="62"/>
      <c r="Z44" s="62"/>
      <c r="AA44" s="62"/>
      <c r="AB44" s="62"/>
      <c r="AC44" s="62"/>
      <c r="AD44" s="62"/>
      <c r="AE44" s="62"/>
      <c r="AF44" s="62"/>
      <c r="AG44" s="62">
        <v>18.600000000000001</v>
      </c>
      <c r="AH44" s="62"/>
      <c r="AI44" s="62"/>
      <c r="AJ44" s="62"/>
      <c r="AK44" s="62"/>
      <c r="AL44" s="62"/>
      <c r="AM44" s="62"/>
      <c r="AN44" s="62"/>
      <c r="AO44" s="62">
        <v>19.8</v>
      </c>
      <c r="AP44" s="62"/>
      <c r="AQ44" s="62"/>
      <c r="AR44" s="62"/>
      <c r="AS44" s="62"/>
      <c r="AT44" s="62"/>
      <c r="AU44" s="63">
        <v>21.8</v>
      </c>
      <c r="AV44" s="63"/>
      <c r="AW44" s="62"/>
      <c r="AX44" s="62"/>
      <c r="AY44" s="62"/>
      <c r="AZ44" s="62"/>
      <c r="BA44" s="62"/>
      <c r="BB44" s="63">
        <v>21.6</v>
      </c>
      <c r="BC44" s="63"/>
      <c r="BD44" s="62"/>
      <c r="BE44" s="62"/>
      <c r="BF44" s="63"/>
      <c r="BG44" s="62"/>
      <c r="BH44" s="62"/>
      <c r="BI44" s="63">
        <v>23.3</v>
      </c>
      <c r="BJ44" s="63"/>
      <c r="BK44" s="62"/>
      <c r="BL44" s="63"/>
      <c r="BM44" s="62"/>
      <c r="BN44" s="63"/>
      <c r="BO44" s="62"/>
      <c r="BP44" s="64"/>
      <c r="BQ44" s="63"/>
      <c r="BR44" s="63"/>
      <c r="BS44" s="63"/>
      <c r="BT44" s="63"/>
      <c r="BU44" s="63"/>
      <c r="BV44" s="63"/>
      <c r="BW44" s="63"/>
      <c r="BX44" s="63"/>
      <c r="BY44" s="63"/>
      <c r="BZ44" s="63"/>
      <c r="CA44" s="63"/>
      <c r="CB44" s="62"/>
      <c r="CC44" s="63"/>
      <c r="CD44" s="63"/>
      <c r="CE44" s="63"/>
      <c r="CF44" s="62"/>
      <c r="CG44" s="63"/>
      <c r="CH44" s="63"/>
      <c r="CI44" s="63"/>
      <c r="CJ44" s="62"/>
      <c r="CK44" s="63"/>
      <c r="CL44" s="63"/>
      <c r="CM44" s="63"/>
      <c r="CN44" s="63"/>
      <c r="CO44" s="63"/>
      <c r="CP44" s="63"/>
      <c r="CQ44" s="63"/>
      <c r="CR44" s="63"/>
      <c r="CS44" s="63"/>
      <c r="CT44" s="63"/>
      <c r="CU44" s="63"/>
      <c r="CV44" s="63"/>
      <c r="CW44" s="63"/>
      <c r="CX44" s="63"/>
      <c r="CY44" s="63"/>
      <c r="CZ44" s="63"/>
      <c r="DA44" s="63"/>
      <c r="DB44" s="63"/>
      <c r="DC44" s="63"/>
      <c r="DD44" s="63"/>
      <c r="DE44" s="63"/>
      <c r="DF44" s="63"/>
      <c r="DG44" s="63"/>
      <c r="DH44" s="63"/>
      <c r="DI44" s="63"/>
      <c r="DJ44" s="63"/>
      <c r="DK44" s="63"/>
      <c r="DL44" s="63"/>
      <c r="DM44" s="63"/>
      <c r="DN44" s="63"/>
      <c r="DO44" s="63"/>
      <c r="DP44" s="63"/>
      <c r="DQ44" s="158"/>
      <c r="DR44" s="158"/>
      <c r="DS44" s="158"/>
      <c r="DT44" s="158"/>
      <c r="DU44" s="158"/>
      <c r="DV44" s="158"/>
      <c r="DW44" s="158"/>
      <c r="DX44" s="158"/>
      <c r="DY44" s="158"/>
      <c r="DZ44" s="65"/>
      <c r="EA44" s="65"/>
      <c r="EB44" s="65"/>
      <c r="EC44" s="65"/>
      <c r="ED44" s="65"/>
      <c r="EE44" s="65"/>
      <c r="EF44" s="65"/>
      <c r="EG44" s="65"/>
    </row>
    <row r="45" spans="1:138" s="10" customFormat="1" ht="15.9" customHeight="1" outlineLevel="1" x14ac:dyDescent="0.3">
      <c r="A45" s="53" t="s">
        <v>23</v>
      </c>
      <c r="B45" s="53"/>
      <c r="C45" s="54" t="s">
        <v>44</v>
      </c>
      <c r="D45" s="148">
        <v>60.57</v>
      </c>
      <c r="E45" s="53" t="s">
        <v>91</v>
      </c>
      <c r="F45" s="53" t="s">
        <v>111</v>
      </c>
      <c r="G45" s="52" t="s">
        <v>112</v>
      </c>
      <c r="H45" s="52"/>
      <c r="I45" s="204" cm="1">
        <f t="array" ref="I45">IFERROR(LOOKUP(2,1/(N45:GR45&lt;&gt;""),N$4:DRA$4),"")</f>
        <v>45168</v>
      </c>
      <c r="J45" s="218" t="str" cm="1">
        <f t="array" ref="J45">IFERROR(_xlfn.XLOOKUP(TRUE,N45:EH45&lt;&gt;"",N45:EH45,,,-1)," ")</f>
        <v>23.1*</v>
      </c>
      <c r="K45" s="45">
        <v>23</v>
      </c>
      <c r="L45" s="45"/>
      <c r="M45" s="282" t="s">
        <v>34</v>
      </c>
      <c r="N45" s="57"/>
      <c r="O45" s="57"/>
      <c r="P45" s="57"/>
      <c r="Q45" s="57"/>
      <c r="R45" s="57"/>
      <c r="S45" s="57"/>
      <c r="T45" s="57"/>
      <c r="U45" s="57">
        <v>15</v>
      </c>
      <c r="V45" s="57"/>
      <c r="W45" s="57"/>
      <c r="X45" s="57"/>
      <c r="Y45" s="57"/>
      <c r="Z45" s="57"/>
      <c r="AA45" s="57"/>
      <c r="AB45" s="57"/>
      <c r="AC45" s="57"/>
      <c r="AD45" s="57"/>
      <c r="AE45" s="57">
        <v>18.899999999999999</v>
      </c>
      <c r="AF45" s="57"/>
      <c r="AG45" s="57"/>
      <c r="AH45" s="57"/>
      <c r="AI45" s="57"/>
      <c r="AJ45" s="57"/>
      <c r="AK45" s="57"/>
      <c r="AL45" s="57"/>
      <c r="AM45" s="57"/>
      <c r="AN45" s="57"/>
      <c r="AO45" s="57"/>
      <c r="AP45" s="57"/>
      <c r="AQ45" s="57"/>
      <c r="AR45" s="57"/>
      <c r="AS45" s="57"/>
      <c r="AT45" s="57"/>
      <c r="AU45" s="61" t="s">
        <v>113</v>
      </c>
      <c r="AV45" s="61"/>
      <c r="AW45" s="57"/>
      <c r="AX45" s="57"/>
      <c r="AY45" s="57"/>
      <c r="AZ45" s="57"/>
      <c r="BA45" s="57"/>
      <c r="BB45" s="61"/>
      <c r="BC45" s="61"/>
      <c r="BD45" s="57"/>
      <c r="BE45" s="57"/>
      <c r="BF45" s="61"/>
      <c r="BG45" s="57"/>
      <c r="BH45" s="57"/>
      <c r="BI45" s="61"/>
      <c r="BJ45" s="61"/>
      <c r="BK45" s="57"/>
      <c r="BL45" s="61"/>
      <c r="BM45" s="57"/>
      <c r="BN45" s="61"/>
      <c r="BO45" s="57"/>
      <c r="BP45" s="58"/>
      <c r="BQ45" s="61"/>
      <c r="BR45" s="61"/>
      <c r="BS45" s="61"/>
      <c r="BT45" s="61"/>
      <c r="BU45" s="61"/>
      <c r="BV45" s="61"/>
      <c r="BW45" s="61"/>
      <c r="BX45" s="61"/>
      <c r="BY45" s="61"/>
      <c r="BZ45" s="61"/>
      <c r="CA45" s="61"/>
      <c r="CB45" s="57"/>
      <c r="CC45" s="61"/>
      <c r="CD45" s="61"/>
      <c r="CE45" s="61"/>
      <c r="CF45" s="57"/>
      <c r="CG45" s="61"/>
      <c r="CH45" s="61"/>
      <c r="CI45" s="61"/>
      <c r="CJ45" s="57"/>
      <c r="CK45" s="61"/>
      <c r="CL45" s="61"/>
      <c r="CM45" s="61"/>
      <c r="CN45" s="61"/>
      <c r="CO45" s="61"/>
      <c r="CP45" s="61"/>
      <c r="CQ45" s="61"/>
      <c r="CR45" s="61"/>
      <c r="CS45" s="61"/>
      <c r="CT45" s="61"/>
      <c r="CU45" s="61"/>
      <c r="CV45" s="61"/>
      <c r="CW45" s="61"/>
      <c r="CX45" s="61"/>
      <c r="CY45" s="61"/>
      <c r="CZ45" s="61"/>
      <c r="DA45" s="61"/>
      <c r="DB45" s="61"/>
      <c r="DC45" s="61"/>
      <c r="DD45" s="61"/>
      <c r="DE45" s="61"/>
      <c r="DF45" s="61"/>
      <c r="DG45" s="61"/>
      <c r="DH45" s="61"/>
      <c r="DI45" s="61"/>
      <c r="DJ45" s="61"/>
      <c r="DK45" s="61"/>
      <c r="DL45" s="61"/>
      <c r="DM45" s="61"/>
      <c r="DN45" s="61"/>
      <c r="DO45" s="61"/>
      <c r="DP45" s="61"/>
      <c r="DQ45" s="156"/>
      <c r="DR45" s="156"/>
      <c r="DS45" s="156"/>
      <c r="DT45" s="156"/>
      <c r="DU45" s="156"/>
      <c r="DV45" s="156"/>
      <c r="DW45" s="156"/>
      <c r="DX45" s="156"/>
      <c r="DY45" s="156"/>
      <c r="DZ45" s="59"/>
      <c r="EA45" s="59"/>
      <c r="EB45" s="59"/>
      <c r="EC45" s="59"/>
      <c r="ED45" s="59"/>
      <c r="EE45" s="59"/>
      <c r="EF45" s="59"/>
      <c r="EG45" s="59"/>
    </row>
    <row r="46" spans="1:138" s="1" customFormat="1" ht="15.9" customHeight="1" outlineLevel="1" x14ac:dyDescent="0.3">
      <c r="A46" s="6" t="s">
        <v>23</v>
      </c>
      <c r="B46" s="6" t="s">
        <v>23</v>
      </c>
      <c r="C46" s="50" t="s">
        <v>44</v>
      </c>
      <c r="D46" s="147">
        <v>32.03</v>
      </c>
      <c r="E46" s="6" t="s">
        <v>91</v>
      </c>
      <c r="F46" s="6" t="s">
        <v>114</v>
      </c>
      <c r="G46" s="11" t="s">
        <v>115</v>
      </c>
      <c r="H46" s="11"/>
      <c r="I46" s="205" cm="1">
        <f t="array" ref="I46">IFERROR(LOOKUP(2,1/(N46:GR46&lt;&gt;""),N$4:DRA$4),"")</f>
        <v>45181</v>
      </c>
      <c r="J46" s="227" cm="1">
        <f t="array" ref="J46">IFERROR(_xlfn.XLOOKUP(TRUE,N46:EH46&lt;&gt;"",N46:EH46,,,-1)," ")</f>
        <v>24.6</v>
      </c>
      <c r="K46" s="49">
        <v>23</v>
      </c>
      <c r="L46" s="49">
        <v>23.8</v>
      </c>
      <c r="M46" s="284" t="s">
        <v>28</v>
      </c>
      <c r="N46" s="62"/>
      <c r="O46" s="62"/>
      <c r="P46" s="62"/>
      <c r="Q46" s="62"/>
      <c r="R46" s="62"/>
      <c r="S46" s="62"/>
      <c r="T46" s="62"/>
      <c r="U46" s="62">
        <v>14.6</v>
      </c>
      <c r="V46" s="62"/>
      <c r="W46" s="62"/>
      <c r="X46" s="62"/>
      <c r="Y46" s="62"/>
      <c r="Z46" s="62"/>
      <c r="AA46" s="62">
        <v>16.600000000000001</v>
      </c>
      <c r="AB46" s="62"/>
      <c r="AC46" s="62"/>
      <c r="AD46" s="62"/>
      <c r="AE46" s="62"/>
      <c r="AF46" s="62"/>
      <c r="AG46" s="62">
        <v>18.100000000000001</v>
      </c>
      <c r="AH46" s="62"/>
      <c r="AI46" s="62"/>
      <c r="AJ46" s="62"/>
      <c r="AK46" s="62"/>
      <c r="AL46" s="62"/>
      <c r="AM46" s="62"/>
      <c r="AN46" s="62"/>
      <c r="AO46" s="62"/>
      <c r="AP46" s="62"/>
      <c r="AQ46" s="62">
        <v>20.3</v>
      </c>
      <c r="AR46" s="62"/>
      <c r="AS46" s="64"/>
      <c r="AT46" s="62"/>
      <c r="AU46" s="63"/>
      <c r="AV46" s="63"/>
      <c r="AW46" s="64">
        <v>22.1</v>
      </c>
      <c r="AX46" s="62"/>
      <c r="AY46" s="62"/>
      <c r="AZ46" s="62"/>
      <c r="BA46" s="62"/>
      <c r="BB46" s="63"/>
      <c r="BC46" s="63"/>
      <c r="BD46" s="62"/>
      <c r="BE46" s="62"/>
      <c r="BF46" s="63"/>
      <c r="BG46" s="62"/>
      <c r="BH46" s="64">
        <v>24.6</v>
      </c>
      <c r="BI46" s="63"/>
      <c r="BJ46" s="63"/>
      <c r="BK46" s="62"/>
      <c r="BL46" s="63"/>
      <c r="BM46" s="62"/>
      <c r="BN46" s="63"/>
      <c r="BO46" s="62"/>
      <c r="BP46" s="64"/>
      <c r="BQ46" s="63"/>
      <c r="BR46" s="63"/>
      <c r="BS46" s="63"/>
      <c r="BT46" s="63"/>
      <c r="BU46" s="63"/>
      <c r="BV46" s="63"/>
      <c r="BW46" s="63"/>
      <c r="BX46" s="63"/>
      <c r="BY46" s="63"/>
      <c r="BZ46" s="63"/>
      <c r="CA46" s="63"/>
      <c r="CB46" s="62"/>
      <c r="CC46" s="63"/>
      <c r="CD46" s="63"/>
      <c r="CE46" s="63"/>
      <c r="CF46" s="62"/>
      <c r="CG46" s="63"/>
      <c r="CH46" s="63"/>
      <c r="CI46" s="63"/>
      <c r="CJ46" s="62"/>
      <c r="CK46" s="63"/>
      <c r="CL46" s="63"/>
      <c r="CM46" s="63"/>
      <c r="CN46" s="63"/>
      <c r="CO46" s="63"/>
      <c r="CP46" s="63"/>
      <c r="CQ46" s="63"/>
      <c r="CR46" s="63"/>
      <c r="CS46" s="63"/>
      <c r="CT46" s="63"/>
      <c r="CU46" s="63"/>
      <c r="CV46" s="63"/>
      <c r="CW46" s="63"/>
      <c r="CX46" s="63"/>
      <c r="CY46" s="63"/>
      <c r="CZ46" s="63"/>
      <c r="DA46" s="63"/>
      <c r="DB46" s="63"/>
      <c r="DC46" s="63"/>
      <c r="DD46" s="63"/>
      <c r="DE46" s="63"/>
      <c r="DF46" s="63"/>
      <c r="DG46" s="63"/>
      <c r="DH46" s="63"/>
      <c r="DI46" s="63"/>
      <c r="DJ46" s="63"/>
      <c r="DK46" s="63"/>
      <c r="DL46" s="63"/>
      <c r="DM46" s="63"/>
      <c r="DN46" s="63"/>
      <c r="DO46" s="63"/>
      <c r="DP46" s="63"/>
      <c r="DQ46" s="158"/>
      <c r="DR46" s="158"/>
      <c r="DS46" s="158"/>
      <c r="DT46" s="158"/>
      <c r="DU46" s="158"/>
      <c r="DV46" s="158"/>
      <c r="DW46" s="158"/>
      <c r="DX46" s="158"/>
      <c r="DY46" s="158"/>
      <c r="DZ46" s="59"/>
      <c r="EA46" s="59"/>
      <c r="EB46" s="59"/>
      <c r="EC46" s="59"/>
      <c r="ED46" s="59"/>
      <c r="EE46" s="59"/>
      <c r="EF46" s="59"/>
      <c r="EG46" s="59"/>
      <c r="EH46" s="5"/>
    </row>
    <row r="47" spans="1:138" s="10" customFormat="1" ht="15.9" customHeight="1" outlineLevel="1" x14ac:dyDescent="0.3">
      <c r="A47" s="7" t="s">
        <v>23</v>
      </c>
      <c r="B47" s="7" t="s">
        <v>23</v>
      </c>
      <c r="C47" s="8" t="s">
        <v>24</v>
      </c>
      <c r="D47" s="146">
        <v>10.07</v>
      </c>
      <c r="E47" s="7" t="s">
        <v>91</v>
      </c>
      <c r="F47" s="7" t="s">
        <v>116</v>
      </c>
      <c r="G47" s="9" t="s">
        <v>117</v>
      </c>
      <c r="H47" s="9"/>
      <c r="I47" s="204" cm="1">
        <f t="array" ref="I47">IFERROR(LOOKUP(2,1/(N47:GR47&lt;&gt;""),N$4:DRA$4),"")</f>
        <v>45171</v>
      </c>
      <c r="J47" s="227" cm="1">
        <f t="array" ref="J47">IFERROR(_xlfn.XLOOKUP(TRUE,N47:EH47&lt;&gt;"",N47:EH47,,,-1)," ")</f>
        <v>23</v>
      </c>
      <c r="K47" s="45">
        <v>23</v>
      </c>
      <c r="L47" s="45">
        <v>23.8</v>
      </c>
      <c r="M47" s="282" t="s">
        <v>28</v>
      </c>
      <c r="N47" s="57"/>
      <c r="O47" s="57"/>
      <c r="P47" s="57"/>
      <c r="Q47" s="57"/>
      <c r="R47" s="57"/>
      <c r="S47" s="57"/>
      <c r="T47" s="57"/>
      <c r="U47" s="57"/>
      <c r="V47" s="57"/>
      <c r="W47" s="57"/>
      <c r="X47" s="57"/>
      <c r="Y47" s="57"/>
      <c r="Z47" s="57">
        <v>17.100000000000001</v>
      </c>
      <c r="AA47" s="57"/>
      <c r="AB47" s="57"/>
      <c r="AC47" s="57"/>
      <c r="AD47" s="57"/>
      <c r="AE47" s="57"/>
      <c r="AF47" s="57">
        <v>18.899999999999999</v>
      </c>
      <c r="AG47" s="57"/>
      <c r="AH47" s="57"/>
      <c r="AI47" s="57"/>
      <c r="AJ47" s="57"/>
      <c r="AK47" s="57"/>
      <c r="AL47" s="57"/>
      <c r="AM47" s="57"/>
      <c r="AN47" s="57"/>
      <c r="AO47" s="57">
        <v>20.6</v>
      </c>
      <c r="AP47" s="57"/>
      <c r="AQ47" s="57"/>
      <c r="AR47" s="57"/>
      <c r="AS47" s="58"/>
      <c r="AT47" s="58"/>
      <c r="AU47" s="61">
        <v>22.7</v>
      </c>
      <c r="AV47" s="61"/>
      <c r="AW47" s="57"/>
      <c r="AX47" s="58">
        <v>23</v>
      </c>
      <c r="AY47" s="57"/>
      <c r="AZ47" s="57"/>
      <c r="BA47" s="57"/>
      <c r="BB47" s="61"/>
      <c r="BC47" s="61"/>
      <c r="BD47" s="61"/>
      <c r="BE47" s="61"/>
      <c r="BF47" s="61"/>
      <c r="BG47" s="61"/>
      <c r="BH47" s="57"/>
      <c r="BI47" s="61"/>
      <c r="BJ47" s="61"/>
      <c r="BK47" s="57"/>
      <c r="BL47" s="61"/>
      <c r="BM47" s="57"/>
      <c r="BN47" s="61"/>
      <c r="BO47" s="57"/>
      <c r="BP47" s="58"/>
      <c r="BQ47" s="61"/>
      <c r="BR47" s="61"/>
      <c r="BS47" s="61"/>
      <c r="BT47" s="61"/>
      <c r="BU47" s="61"/>
      <c r="BV47" s="61"/>
      <c r="BW47" s="61"/>
      <c r="BX47" s="61"/>
      <c r="BY47" s="61"/>
      <c r="BZ47" s="61"/>
      <c r="CA47" s="61"/>
      <c r="CB47" s="57"/>
      <c r="CC47" s="61"/>
      <c r="CD47" s="61"/>
      <c r="CE47" s="61"/>
      <c r="CF47" s="57"/>
      <c r="CG47" s="61"/>
      <c r="CH47" s="61"/>
      <c r="CI47" s="61"/>
      <c r="CJ47" s="57"/>
      <c r="CK47" s="61"/>
      <c r="CL47" s="61"/>
      <c r="CM47" s="61"/>
      <c r="CN47" s="61"/>
      <c r="CO47" s="61"/>
      <c r="CP47" s="61"/>
      <c r="CQ47" s="61"/>
      <c r="CR47" s="61"/>
      <c r="CS47" s="61"/>
      <c r="CT47" s="61"/>
      <c r="CU47" s="61"/>
      <c r="CV47" s="61"/>
      <c r="CW47" s="61"/>
      <c r="CX47" s="61"/>
      <c r="CY47" s="61"/>
      <c r="CZ47" s="61"/>
      <c r="DA47" s="61"/>
      <c r="DB47" s="61"/>
      <c r="DC47" s="61"/>
      <c r="DD47" s="61"/>
      <c r="DE47" s="61"/>
      <c r="DF47" s="61"/>
      <c r="DG47" s="61"/>
      <c r="DH47" s="61"/>
      <c r="DI47" s="61"/>
      <c r="DJ47" s="61"/>
      <c r="DK47" s="61"/>
      <c r="DL47" s="61"/>
      <c r="DM47" s="61"/>
      <c r="DN47" s="61"/>
      <c r="DO47" s="61"/>
      <c r="DP47" s="61"/>
      <c r="DQ47" s="156"/>
      <c r="DR47" s="156"/>
      <c r="DS47" s="156"/>
      <c r="DT47" s="156"/>
      <c r="DU47" s="156"/>
      <c r="DV47" s="156"/>
      <c r="DW47" s="156"/>
      <c r="DX47" s="156"/>
      <c r="DY47" s="156"/>
      <c r="DZ47" s="65"/>
      <c r="EA47" s="65"/>
      <c r="EB47" s="65"/>
      <c r="EC47" s="65"/>
      <c r="ED47" s="65"/>
      <c r="EE47" s="65"/>
      <c r="EF47" s="65"/>
      <c r="EG47" s="65"/>
    </row>
    <row r="48" spans="1:138" s="5" customFormat="1" ht="15.9" customHeight="1" outlineLevel="1" x14ac:dyDescent="0.3">
      <c r="A48" s="6" t="s">
        <v>22</v>
      </c>
      <c r="B48" s="6"/>
      <c r="C48" s="50" t="s">
        <v>31</v>
      </c>
      <c r="D48" s="147">
        <v>16.77</v>
      </c>
      <c r="E48" s="6" t="s">
        <v>91</v>
      </c>
      <c r="F48" s="6" t="s">
        <v>118</v>
      </c>
      <c r="G48" s="11" t="s">
        <v>119</v>
      </c>
      <c r="H48" s="11"/>
      <c r="I48" s="205" cm="1">
        <f t="array" ref="I48">IFERROR(LOOKUP(2,1/(N48:GR48&lt;&gt;""),N$4:DRA$4),"")</f>
        <v>45146</v>
      </c>
      <c r="J48" s="170" cm="1">
        <f t="array" ref="J48">IFERROR(_xlfn.XLOOKUP(TRUE,N48:EH48&lt;&gt;"",N48:EH48,,,-1)," ")</f>
        <v>14.4</v>
      </c>
      <c r="K48" s="49">
        <v>23</v>
      </c>
      <c r="L48" s="49"/>
      <c r="M48" s="284" t="s">
        <v>120</v>
      </c>
      <c r="N48" s="62"/>
      <c r="O48" s="62"/>
      <c r="P48" s="62"/>
      <c r="Q48" s="62"/>
      <c r="R48" s="62"/>
      <c r="S48" s="62"/>
      <c r="T48" s="62"/>
      <c r="U48" s="62"/>
      <c r="V48" s="62"/>
      <c r="W48" s="62"/>
      <c r="X48" s="62"/>
      <c r="Y48" s="62">
        <v>14.4</v>
      </c>
      <c r="Z48" s="62"/>
      <c r="AA48" s="62"/>
      <c r="AB48" s="62"/>
      <c r="AC48" s="62"/>
      <c r="AD48" s="62"/>
      <c r="AE48" s="62"/>
      <c r="AF48" s="62"/>
      <c r="AG48" s="62"/>
      <c r="AH48" s="62"/>
      <c r="AI48" s="62"/>
      <c r="AJ48" s="62"/>
      <c r="AK48" s="62"/>
      <c r="AL48" s="62"/>
      <c r="AM48" s="62"/>
      <c r="AN48" s="62"/>
      <c r="AO48" s="62"/>
      <c r="AP48" s="62"/>
      <c r="AQ48" s="62"/>
      <c r="AR48" s="62"/>
      <c r="AS48" s="62"/>
      <c r="AT48" s="62"/>
      <c r="AU48" s="63"/>
      <c r="AV48" s="63"/>
      <c r="AW48" s="62"/>
      <c r="AX48" s="62"/>
      <c r="AY48" s="62"/>
      <c r="AZ48" s="62"/>
      <c r="BA48" s="62"/>
      <c r="BB48" s="63"/>
      <c r="BC48" s="63"/>
      <c r="BD48" s="62"/>
      <c r="BE48" s="62"/>
      <c r="BF48" s="63"/>
      <c r="BG48" s="62"/>
      <c r="BH48" s="62"/>
      <c r="BI48" s="63"/>
      <c r="BJ48" s="63"/>
      <c r="BK48" s="62"/>
      <c r="BL48" s="62"/>
      <c r="BM48" s="62"/>
      <c r="BN48" s="63"/>
      <c r="BO48" s="62"/>
      <c r="BP48" s="64"/>
      <c r="BQ48" s="63"/>
      <c r="BR48" s="62"/>
      <c r="BS48" s="62"/>
      <c r="BT48" s="62"/>
      <c r="BU48" s="62"/>
      <c r="BV48" s="62"/>
      <c r="BW48" s="62"/>
      <c r="BX48" s="62"/>
      <c r="BY48" s="62"/>
      <c r="BZ48" s="62"/>
      <c r="CA48" s="62"/>
      <c r="CB48" s="62"/>
      <c r="CC48" s="63"/>
      <c r="CD48" s="63"/>
      <c r="CE48" s="63"/>
      <c r="CF48" s="62"/>
      <c r="CG48" s="63"/>
      <c r="CH48" s="63"/>
      <c r="CI48" s="63"/>
      <c r="CJ48" s="62"/>
      <c r="CK48" s="63"/>
      <c r="CL48" s="63"/>
      <c r="CM48" s="63"/>
      <c r="CN48" s="63"/>
      <c r="CO48" s="63"/>
      <c r="CP48" s="63"/>
      <c r="CQ48" s="63"/>
      <c r="CR48" s="63"/>
      <c r="CS48" s="63"/>
      <c r="CT48" s="63"/>
      <c r="CU48" s="63"/>
      <c r="CV48" s="63"/>
      <c r="CW48" s="63"/>
      <c r="CX48" s="63"/>
      <c r="CY48" s="63"/>
      <c r="CZ48" s="63"/>
      <c r="DA48" s="63"/>
      <c r="DB48" s="63"/>
      <c r="DC48" s="63"/>
      <c r="DD48" s="63"/>
      <c r="DE48" s="63"/>
      <c r="DF48" s="63"/>
      <c r="DG48" s="63"/>
      <c r="DH48" s="63"/>
      <c r="DI48" s="63"/>
      <c r="DJ48" s="63"/>
      <c r="DK48" s="63"/>
      <c r="DL48" s="63"/>
      <c r="DM48" s="63"/>
      <c r="DN48" s="63"/>
      <c r="DO48" s="63"/>
      <c r="DP48" s="63"/>
      <c r="DQ48" s="158"/>
      <c r="DR48" s="158"/>
      <c r="DS48" s="158"/>
      <c r="DT48" s="158"/>
      <c r="DU48" s="158"/>
      <c r="DV48" s="158"/>
      <c r="DW48" s="158"/>
      <c r="DX48" s="158"/>
      <c r="DY48" s="158"/>
      <c r="DZ48" s="59"/>
      <c r="EA48" s="59"/>
      <c r="EB48" s="59"/>
      <c r="EC48" s="59"/>
      <c r="ED48" s="59"/>
      <c r="EE48" s="59"/>
      <c r="EF48" s="59"/>
      <c r="EG48" s="59"/>
    </row>
    <row r="49" spans="1:138" s="10" customFormat="1" ht="15.9" customHeight="1" outlineLevel="1" x14ac:dyDescent="0.3">
      <c r="A49" s="7" t="s">
        <v>22</v>
      </c>
      <c r="B49" s="7"/>
      <c r="C49" s="8" t="s">
        <v>31</v>
      </c>
      <c r="D49" s="146">
        <v>35.08</v>
      </c>
      <c r="E49" s="7" t="s">
        <v>91</v>
      </c>
      <c r="F49" s="7" t="s">
        <v>121</v>
      </c>
      <c r="G49" s="9" t="s">
        <v>122</v>
      </c>
      <c r="H49" s="9"/>
      <c r="I49" s="204" cm="1">
        <f t="array" ref="I49">IFERROR(LOOKUP(2,1/(N49:GR49&lt;&gt;""),N$4:DRA$4),"")</f>
        <v>45162</v>
      </c>
      <c r="J49" s="169" cm="1">
        <f t="array" ref="J49">IFERROR(_xlfn.XLOOKUP(TRUE,N49:EH49&lt;&gt;"",N49:EH49,,,-1)," ")</f>
        <v>19.100000000000001</v>
      </c>
      <c r="K49" s="45">
        <v>23</v>
      </c>
      <c r="L49" s="45"/>
      <c r="M49" s="45" t="s">
        <v>120</v>
      </c>
      <c r="N49" s="57"/>
      <c r="O49" s="57"/>
      <c r="P49" s="57"/>
      <c r="Q49" s="57"/>
      <c r="R49" s="57"/>
      <c r="S49" s="57"/>
      <c r="T49" s="57"/>
      <c r="U49" s="57"/>
      <c r="V49" s="57"/>
      <c r="W49" s="57"/>
      <c r="X49" s="57"/>
      <c r="Y49" s="57">
        <v>14.8</v>
      </c>
      <c r="Z49" s="57"/>
      <c r="AA49" s="57"/>
      <c r="AB49" s="57"/>
      <c r="AC49" s="57"/>
      <c r="AD49" s="57"/>
      <c r="AE49" s="57"/>
      <c r="AF49" s="57"/>
      <c r="AG49" s="57"/>
      <c r="AH49" s="57"/>
      <c r="AI49" s="57"/>
      <c r="AJ49" s="57"/>
      <c r="AK49" s="57"/>
      <c r="AL49" s="57"/>
      <c r="AM49" s="57"/>
      <c r="AN49" s="57"/>
      <c r="AO49" s="57">
        <v>19.100000000000001</v>
      </c>
      <c r="AP49" s="57"/>
      <c r="AQ49" s="57"/>
      <c r="AR49" s="57"/>
      <c r="AS49" s="57"/>
      <c r="AT49" s="57"/>
      <c r="AU49" s="61"/>
      <c r="AV49" s="61"/>
      <c r="AW49" s="57"/>
      <c r="AX49" s="57"/>
      <c r="AY49" s="57"/>
      <c r="AZ49" s="57"/>
      <c r="BA49" s="57"/>
      <c r="BB49" s="61"/>
      <c r="BC49" s="61"/>
      <c r="BD49" s="57"/>
      <c r="BE49" s="57"/>
      <c r="BF49" s="61"/>
      <c r="BG49" s="57"/>
      <c r="BH49" s="57"/>
      <c r="BI49" s="61"/>
      <c r="BJ49" s="61"/>
      <c r="BK49" s="57"/>
      <c r="BL49" s="57"/>
      <c r="BM49" s="57"/>
      <c r="BN49" s="61"/>
      <c r="BO49" s="57"/>
      <c r="BP49" s="58"/>
      <c r="BQ49" s="61"/>
      <c r="BR49" s="57"/>
      <c r="BS49" s="57"/>
      <c r="BT49" s="57"/>
      <c r="BU49" s="57"/>
      <c r="BV49" s="57"/>
      <c r="BW49" s="57"/>
      <c r="BX49" s="57"/>
      <c r="BY49" s="57"/>
      <c r="BZ49" s="57"/>
      <c r="CA49" s="57"/>
      <c r="CB49" s="57"/>
      <c r="CC49" s="61"/>
      <c r="CD49" s="61"/>
      <c r="CE49" s="61"/>
      <c r="CF49" s="57"/>
      <c r="CG49" s="61"/>
      <c r="CH49" s="61"/>
      <c r="CI49" s="61"/>
      <c r="CJ49" s="57"/>
      <c r="CK49" s="61"/>
      <c r="CL49" s="61"/>
      <c r="CM49" s="61"/>
      <c r="CN49" s="61"/>
      <c r="CO49" s="61"/>
      <c r="CP49" s="61"/>
      <c r="CQ49" s="61"/>
      <c r="CR49" s="61"/>
      <c r="CS49" s="61"/>
      <c r="CT49" s="61"/>
      <c r="CU49" s="61"/>
      <c r="CV49" s="61"/>
      <c r="CW49" s="61"/>
      <c r="CX49" s="61"/>
      <c r="CY49" s="61"/>
      <c r="CZ49" s="61"/>
      <c r="DA49" s="61"/>
      <c r="DB49" s="61"/>
      <c r="DC49" s="61"/>
      <c r="DD49" s="61"/>
      <c r="DE49" s="61"/>
      <c r="DF49" s="61"/>
      <c r="DG49" s="61"/>
      <c r="DH49" s="61"/>
      <c r="DI49" s="61"/>
      <c r="DJ49" s="61"/>
      <c r="DK49" s="61"/>
      <c r="DL49" s="61"/>
      <c r="DM49" s="61"/>
      <c r="DN49" s="61"/>
      <c r="DO49" s="61"/>
      <c r="DP49" s="61"/>
      <c r="DQ49" s="156"/>
      <c r="DR49" s="156"/>
      <c r="DS49" s="156"/>
      <c r="DT49" s="156"/>
      <c r="DU49" s="156"/>
      <c r="DV49" s="156"/>
      <c r="DW49" s="156"/>
      <c r="DX49" s="156"/>
      <c r="DY49" s="156"/>
      <c r="DZ49" s="65"/>
      <c r="EA49" s="65"/>
      <c r="EB49" s="65"/>
      <c r="EC49" s="65"/>
      <c r="ED49" s="65"/>
      <c r="EE49" s="65"/>
      <c r="EF49" s="65"/>
      <c r="EG49" s="65"/>
    </row>
    <row r="50" spans="1:138" s="5" customFormat="1" ht="15.9" customHeight="1" outlineLevel="1" x14ac:dyDescent="0.3">
      <c r="A50" s="6" t="s">
        <v>22</v>
      </c>
      <c r="B50" s="6"/>
      <c r="C50" s="50" t="s">
        <v>31</v>
      </c>
      <c r="D50" s="147">
        <v>15.95</v>
      </c>
      <c r="E50" s="6" t="s">
        <v>91</v>
      </c>
      <c r="F50" s="6" t="s">
        <v>123</v>
      </c>
      <c r="G50" s="11" t="s">
        <v>124</v>
      </c>
      <c r="H50" s="11"/>
      <c r="I50" s="205" t="str" cm="1">
        <f t="array" ref="I50">IFERROR(LOOKUP(2,1/(N50:GR50&lt;&gt;""),N$4:DRA$4),"")</f>
        <v/>
      </c>
      <c r="J50" s="170" t="str" cm="1">
        <f t="array" ref="J50">IFERROR(_xlfn.XLOOKUP(TRUE,N50:EH50&lt;&gt;"",N50:EH50,,,-1)," ")</f>
        <v xml:space="preserve"> </v>
      </c>
      <c r="K50" s="49">
        <v>23</v>
      </c>
      <c r="L50" s="49"/>
      <c r="M50" s="49" t="s">
        <v>120</v>
      </c>
      <c r="N50" s="62"/>
      <c r="O50" s="62"/>
      <c r="P50" s="62"/>
      <c r="Q50" s="62"/>
      <c r="R50" s="62"/>
      <c r="S50" s="62"/>
      <c r="T50" s="62"/>
      <c r="U50" s="62"/>
      <c r="V50" s="62"/>
      <c r="W50" s="62"/>
      <c r="X50" s="62"/>
      <c r="Y50" s="62"/>
      <c r="Z50" s="62"/>
      <c r="AA50" s="62"/>
      <c r="AB50" s="62"/>
      <c r="AC50" s="62"/>
      <c r="AD50" s="62"/>
      <c r="AE50" s="62"/>
      <c r="AF50" s="62"/>
      <c r="AG50" s="62"/>
      <c r="AH50" s="62"/>
      <c r="AI50" s="62"/>
      <c r="AJ50" s="62"/>
      <c r="AK50" s="62"/>
      <c r="AL50" s="62"/>
      <c r="AM50" s="62"/>
      <c r="AN50" s="62"/>
      <c r="AO50" s="62"/>
      <c r="AP50" s="62"/>
      <c r="AQ50" s="62"/>
      <c r="AR50" s="62"/>
      <c r="AS50" s="62"/>
      <c r="AT50" s="62"/>
      <c r="AU50" s="63"/>
      <c r="AV50" s="63"/>
      <c r="AW50" s="62"/>
      <c r="AX50" s="62"/>
      <c r="AY50" s="62"/>
      <c r="AZ50" s="62"/>
      <c r="BA50" s="62"/>
      <c r="BB50" s="63"/>
      <c r="BC50" s="63"/>
      <c r="BD50" s="62"/>
      <c r="BE50" s="62"/>
      <c r="BF50" s="63"/>
      <c r="BG50" s="62"/>
      <c r="BH50" s="62"/>
      <c r="BI50" s="63"/>
      <c r="BJ50" s="63"/>
      <c r="BK50" s="62"/>
      <c r="BL50" s="62"/>
      <c r="BM50" s="62"/>
      <c r="BN50" s="63"/>
      <c r="BO50" s="62"/>
      <c r="BP50" s="64"/>
      <c r="BQ50" s="63"/>
      <c r="BR50" s="62"/>
      <c r="BS50" s="62"/>
      <c r="BT50" s="62"/>
      <c r="BU50" s="62"/>
      <c r="BV50" s="62"/>
      <c r="BW50" s="62"/>
      <c r="BX50" s="62"/>
      <c r="BY50" s="62"/>
      <c r="BZ50" s="62"/>
      <c r="CA50" s="62"/>
      <c r="CB50" s="62"/>
      <c r="CC50" s="63"/>
      <c r="CD50" s="63"/>
      <c r="CE50" s="63"/>
      <c r="CF50" s="62"/>
      <c r="CG50" s="63"/>
      <c r="CH50" s="63"/>
      <c r="CI50" s="63"/>
      <c r="CJ50" s="62"/>
      <c r="CK50" s="63"/>
      <c r="CL50" s="63"/>
      <c r="CM50" s="63"/>
      <c r="CN50" s="63"/>
      <c r="CO50" s="63"/>
      <c r="CP50" s="63"/>
      <c r="CQ50" s="63"/>
      <c r="CR50" s="63"/>
      <c r="CS50" s="63"/>
      <c r="CT50" s="63"/>
      <c r="CU50" s="63"/>
      <c r="CV50" s="63"/>
      <c r="CW50" s="63"/>
      <c r="CX50" s="63"/>
      <c r="CY50" s="63"/>
      <c r="CZ50" s="63"/>
      <c r="DA50" s="63"/>
      <c r="DB50" s="63"/>
      <c r="DC50" s="63"/>
      <c r="DD50" s="63"/>
      <c r="DE50" s="63"/>
      <c r="DF50" s="63"/>
      <c r="DG50" s="63"/>
      <c r="DH50" s="63"/>
      <c r="DI50" s="63"/>
      <c r="DJ50" s="63"/>
      <c r="DK50" s="63"/>
      <c r="DL50" s="63"/>
      <c r="DM50" s="63"/>
      <c r="DN50" s="63"/>
      <c r="DO50" s="63"/>
      <c r="DP50" s="63"/>
      <c r="DQ50" s="158"/>
      <c r="DR50" s="158"/>
      <c r="DS50" s="158"/>
      <c r="DT50" s="158"/>
      <c r="DU50" s="158"/>
      <c r="DV50" s="158"/>
      <c r="DW50" s="158"/>
      <c r="DX50" s="158"/>
      <c r="DY50" s="158"/>
      <c r="DZ50" s="65"/>
      <c r="EA50" s="65"/>
      <c r="EB50" s="65"/>
      <c r="EC50" s="65"/>
      <c r="ED50" s="65"/>
      <c r="EE50" s="65"/>
      <c r="EF50" s="65"/>
      <c r="EG50" s="65"/>
    </row>
    <row r="51" spans="1:138" s="10" customFormat="1" ht="15.9" customHeight="1" outlineLevel="1" x14ac:dyDescent="0.3">
      <c r="A51" s="7" t="s">
        <v>22</v>
      </c>
      <c r="B51" s="7"/>
      <c r="C51" s="8" t="s">
        <v>31</v>
      </c>
      <c r="D51" s="146">
        <v>24.82</v>
      </c>
      <c r="E51" s="7" t="s">
        <v>91</v>
      </c>
      <c r="F51" s="7" t="s">
        <v>125</v>
      </c>
      <c r="G51" s="9" t="s">
        <v>126</v>
      </c>
      <c r="H51" s="9"/>
      <c r="I51" s="204" cm="1">
        <f t="array" ref="I51">IFERROR(LOOKUP(2,1/(N51:GR51&lt;&gt;""),N$4:DRA$4),"")</f>
        <v>45170</v>
      </c>
      <c r="J51" s="169" cm="1">
        <f t="array" ref="J51">IFERROR(_xlfn.XLOOKUP(TRUE,N51:EH51&lt;&gt;"",N51:EH51,,,-1)," ")</f>
        <v>21.9</v>
      </c>
      <c r="K51" s="45">
        <v>23</v>
      </c>
      <c r="L51" s="45"/>
      <c r="M51" s="45" t="s">
        <v>120</v>
      </c>
      <c r="N51" s="57"/>
      <c r="O51" s="57"/>
      <c r="P51" s="57"/>
      <c r="Q51" s="57"/>
      <c r="R51" s="57"/>
      <c r="S51" s="57"/>
      <c r="T51" s="57"/>
      <c r="U51" s="57"/>
      <c r="V51" s="57"/>
      <c r="W51" s="57"/>
      <c r="X51" s="57"/>
      <c r="Y51" s="57"/>
      <c r="Z51" s="57"/>
      <c r="AA51" s="57"/>
      <c r="AB51" s="57"/>
      <c r="AC51" s="57"/>
      <c r="AD51" s="57"/>
      <c r="AE51" s="57"/>
      <c r="AF51" s="57"/>
      <c r="AG51" s="57"/>
      <c r="AH51" s="57"/>
      <c r="AI51" s="57"/>
      <c r="AJ51" s="57"/>
      <c r="AK51" s="57"/>
      <c r="AL51" s="57"/>
      <c r="AM51" s="57"/>
      <c r="AN51" s="57"/>
      <c r="AO51" s="57">
        <v>19.600000000000001</v>
      </c>
      <c r="AP51" s="57"/>
      <c r="AQ51" s="57"/>
      <c r="AR51" s="57"/>
      <c r="AS51" s="57"/>
      <c r="AT51" s="57"/>
      <c r="AU51" s="61"/>
      <c r="AV51" s="61"/>
      <c r="AW51" s="57">
        <v>21.9</v>
      </c>
      <c r="AX51" s="57"/>
      <c r="AY51" s="57"/>
      <c r="AZ51" s="57"/>
      <c r="BA51" s="57"/>
      <c r="BB51" s="61"/>
      <c r="BC51" s="61"/>
      <c r="BD51" s="57"/>
      <c r="BE51" s="57"/>
      <c r="BF51" s="61"/>
      <c r="BG51" s="61"/>
      <c r="BH51" s="57"/>
      <c r="BI51" s="61"/>
      <c r="BJ51" s="61"/>
      <c r="BK51" s="57"/>
      <c r="BL51" s="61"/>
      <c r="BM51" s="57"/>
      <c r="BN51" s="61"/>
      <c r="BO51" s="57"/>
      <c r="BP51" s="58"/>
      <c r="BQ51" s="61"/>
      <c r="BR51" s="61"/>
      <c r="BS51" s="61"/>
      <c r="BT51" s="61"/>
      <c r="BU51" s="61"/>
      <c r="BV51" s="61"/>
      <c r="BW51" s="61"/>
      <c r="BX51" s="61"/>
      <c r="BY51" s="61"/>
      <c r="BZ51" s="61"/>
      <c r="CA51" s="61"/>
      <c r="CB51" s="57"/>
      <c r="CC51" s="61"/>
      <c r="CD51" s="61"/>
      <c r="CE51" s="61"/>
      <c r="CF51" s="57"/>
      <c r="CG51" s="61"/>
      <c r="CH51" s="61"/>
      <c r="CI51" s="61"/>
      <c r="CJ51" s="57"/>
      <c r="CK51" s="61"/>
      <c r="CL51" s="61"/>
      <c r="CM51" s="61"/>
      <c r="CN51" s="61"/>
      <c r="CO51" s="61"/>
      <c r="CP51" s="61"/>
      <c r="CQ51" s="61"/>
      <c r="CR51" s="61"/>
      <c r="CS51" s="61"/>
      <c r="CT51" s="61"/>
      <c r="CU51" s="61"/>
      <c r="CV51" s="61"/>
      <c r="CW51" s="61"/>
      <c r="CX51" s="61"/>
      <c r="CY51" s="61"/>
      <c r="CZ51" s="61"/>
      <c r="DA51" s="61"/>
      <c r="DB51" s="61"/>
      <c r="DC51" s="61"/>
      <c r="DD51" s="61"/>
      <c r="DE51" s="61"/>
      <c r="DF51" s="61"/>
      <c r="DG51" s="61"/>
      <c r="DH51" s="61"/>
      <c r="DI51" s="61"/>
      <c r="DJ51" s="61"/>
      <c r="DK51" s="61"/>
      <c r="DL51" s="61"/>
      <c r="DM51" s="61"/>
      <c r="DN51" s="61"/>
      <c r="DO51" s="61"/>
      <c r="DP51" s="61"/>
      <c r="DQ51" s="156"/>
      <c r="DR51" s="156"/>
      <c r="DS51" s="156"/>
      <c r="DT51" s="156"/>
      <c r="DU51" s="156"/>
      <c r="DV51" s="156"/>
      <c r="DW51" s="156"/>
      <c r="DX51" s="156"/>
      <c r="DY51" s="156"/>
      <c r="DZ51" s="59"/>
      <c r="EA51" s="59"/>
      <c r="EB51" s="59"/>
      <c r="EC51" s="59"/>
      <c r="ED51" s="59"/>
      <c r="EE51" s="59"/>
      <c r="EF51" s="59"/>
      <c r="EG51" s="59"/>
    </row>
    <row r="52" spans="1:138" s="5" customFormat="1" ht="15.9" customHeight="1" outlineLevel="1" x14ac:dyDescent="0.3">
      <c r="A52" s="6" t="s">
        <v>22</v>
      </c>
      <c r="B52" s="6"/>
      <c r="C52" s="50" t="s">
        <v>31</v>
      </c>
      <c r="D52" s="147">
        <v>23.84</v>
      </c>
      <c r="E52" s="6" t="s">
        <v>91</v>
      </c>
      <c r="F52" s="6" t="s">
        <v>127</v>
      </c>
      <c r="G52" s="11" t="s">
        <v>128</v>
      </c>
      <c r="H52" s="11"/>
      <c r="I52" s="205" cm="1">
        <f t="array" ref="I52">IFERROR(LOOKUP(2,1/(N52:GR52&lt;&gt;""),N$4:DRA$4),"")</f>
        <v>45170</v>
      </c>
      <c r="J52" s="170" cm="1">
        <f t="array" ref="J52">IFERROR(_xlfn.XLOOKUP(TRUE,N52:EH52&lt;&gt;"",N52:EH52,,,-1)," ")</f>
        <v>21.7</v>
      </c>
      <c r="K52" s="49">
        <v>23</v>
      </c>
      <c r="L52" s="49"/>
      <c r="M52" s="49" t="s">
        <v>120</v>
      </c>
      <c r="N52" s="62"/>
      <c r="O52" s="62"/>
      <c r="P52" s="62"/>
      <c r="Q52" s="62"/>
      <c r="R52" s="62"/>
      <c r="S52" s="62"/>
      <c r="T52" s="62"/>
      <c r="U52" s="62"/>
      <c r="V52" s="62"/>
      <c r="W52" s="62"/>
      <c r="X52" s="62"/>
      <c r="Y52" s="62">
        <v>15.7</v>
      </c>
      <c r="Z52" s="62"/>
      <c r="AA52" s="62"/>
      <c r="AB52" s="62"/>
      <c r="AC52" s="62"/>
      <c r="AD52" s="62"/>
      <c r="AE52" s="62"/>
      <c r="AF52" s="62"/>
      <c r="AG52" s="62"/>
      <c r="AH52" s="62"/>
      <c r="AI52" s="62"/>
      <c r="AJ52" s="62"/>
      <c r="AK52" s="62"/>
      <c r="AL52" s="62"/>
      <c r="AM52" s="62"/>
      <c r="AN52" s="62"/>
      <c r="AO52" s="62">
        <v>20</v>
      </c>
      <c r="AP52" s="62"/>
      <c r="AQ52" s="62"/>
      <c r="AR52" s="62"/>
      <c r="AS52" s="62"/>
      <c r="AT52" s="62"/>
      <c r="AU52" s="63"/>
      <c r="AV52" s="63"/>
      <c r="AW52" s="62">
        <v>21.7</v>
      </c>
      <c r="AX52" s="62"/>
      <c r="AY52" s="62"/>
      <c r="AZ52" s="62"/>
      <c r="BA52" s="62"/>
      <c r="BB52" s="63"/>
      <c r="BC52" s="63"/>
      <c r="BD52" s="62"/>
      <c r="BE52" s="62"/>
      <c r="BF52" s="63"/>
      <c r="BG52" s="62"/>
      <c r="BH52" s="62"/>
      <c r="BI52" s="63"/>
      <c r="BJ52" s="63"/>
      <c r="BK52" s="62"/>
      <c r="BL52" s="63"/>
      <c r="BM52" s="62"/>
      <c r="BN52" s="63"/>
      <c r="BO52" s="62"/>
      <c r="BP52" s="64"/>
      <c r="BQ52" s="63"/>
      <c r="BR52" s="63"/>
      <c r="BS52" s="63"/>
      <c r="BT52" s="63"/>
      <c r="BU52" s="63"/>
      <c r="BV52" s="63"/>
      <c r="BW52" s="63"/>
      <c r="BX52" s="63"/>
      <c r="BY52" s="63"/>
      <c r="BZ52" s="63"/>
      <c r="CA52" s="63"/>
      <c r="CB52" s="62"/>
      <c r="CC52" s="63"/>
      <c r="CD52" s="63"/>
      <c r="CE52" s="63"/>
      <c r="CF52" s="62"/>
      <c r="CG52" s="63"/>
      <c r="CH52" s="63"/>
      <c r="CI52" s="63"/>
      <c r="CJ52" s="62"/>
      <c r="CK52" s="63"/>
      <c r="CL52" s="63"/>
      <c r="CM52" s="63"/>
      <c r="CN52" s="63"/>
      <c r="CO52" s="63"/>
      <c r="CP52" s="63"/>
      <c r="CQ52" s="63"/>
      <c r="CR52" s="63"/>
      <c r="CS52" s="63"/>
      <c r="CT52" s="63"/>
      <c r="CU52" s="63"/>
      <c r="CV52" s="63"/>
      <c r="CW52" s="63"/>
      <c r="CX52" s="63"/>
      <c r="CY52" s="63"/>
      <c r="CZ52" s="63"/>
      <c r="DA52" s="63"/>
      <c r="DB52" s="63"/>
      <c r="DC52" s="63"/>
      <c r="DD52" s="63"/>
      <c r="DE52" s="63"/>
      <c r="DF52" s="63"/>
      <c r="DG52" s="63"/>
      <c r="DH52" s="63"/>
      <c r="DI52" s="63"/>
      <c r="DJ52" s="63"/>
      <c r="DK52" s="63"/>
      <c r="DL52" s="63"/>
      <c r="DM52" s="63"/>
      <c r="DN52" s="63"/>
      <c r="DO52" s="63"/>
      <c r="DP52" s="63"/>
      <c r="DQ52" s="158"/>
      <c r="DR52" s="158"/>
      <c r="DS52" s="158"/>
      <c r="DT52" s="158"/>
      <c r="DU52" s="158"/>
      <c r="DV52" s="158"/>
      <c r="DW52" s="158"/>
      <c r="DX52" s="158"/>
      <c r="DY52" s="158"/>
      <c r="DZ52" s="59"/>
      <c r="EA52" s="59"/>
      <c r="EB52" s="59"/>
      <c r="EC52" s="59"/>
      <c r="ED52" s="59"/>
      <c r="EE52" s="59"/>
      <c r="EF52" s="59"/>
      <c r="EG52" s="59"/>
    </row>
    <row r="53" spans="1:138" s="10" customFormat="1" ht="15.9" customHeight="1" outlineLevel="1" x14ac:dyDescent="0.3">
      <c r="A53" s="7" t="s">
        <v>22</v>
      </c>
      <c r="B53" s="7" t="s">
        <v>23</v>
      </c>
      <c r="C53" s="8" t="s">
        <v>24</v>
      </c>
      <c r="D53" s="146">
        <v>34.200000000000003</v>
      </c>
      <c r="E53" s="7" t="s">
        <v>91</v>
      </c>
      <c r="F53" s="7" t="s">
        <v>129</v>
      </c>
      <c r="G53" s="9" t="s">
        <v>130</v>
      </c>
      <c r="H53" s="9"/>
      <c r="I53" s="204" cm="1">
        <f t="array" ref="I53">IFERROR(LOOKUP(2,1/(N53:GR53&lt;&gt;""),N$4:DRA$4),"")</f>
        <v>45187</v>
      </c>
      <c r="J53" s="169" t="str" cm="1">
        <f t="array" ref="J53">IFERROR(_xlfn.XLOOKUP(TRUE,N53:EH53&lt;&gt;"",N53:EH53,,,-1)," ")</f>
        <v>23.4*</v>
      </c>
      <c r="K53" s="45">
        <v>23</v>
      </c>
      <c r="L53" s="45"/>
      <c r="M53" s="282" t="s">
        <v>131</v>
      </c>
      <c r="N53" s="57"/>
      <c r="O53" s="57"/>
      <c r="P53" s="57"/>
      <c r="Q53" s="57"/>
      <c r="R53" s="57"/>
      <c r="S53" s="57">
        <v>12.2</v>
      </c>
      <c r="T53" s="57"/>
      <c r="U53" s="57"/>
      <c r="V53" s="57"/>
      <c r="W53" s="57"/>
      <c r="X53" s="57"/>
      <c r="Y53" s="57"/>
      <c r="Z53" s="57"/>
      <c r="AA53" s="57"/>
      <c r="AB53" s="57"/>
      <c r="AC53" s="57"/>
      <c r="AD53" s="57"/>
      <c r="AE53" s="57"/>
      <c r="AF53" s="57"/>
      <c r="AG53" s="57">
        <v>17.600000000000001</v>
      </c>
      <c r="AH53" s="57"/>
      <c r="AI53" s="57"/>
      <c r="AJ53" s="57"/>
      <c r="AK53" s="57"/>
      <c r="AL53" s="57"/>
      <c r="AM53" s="57"/>
      <c r="AN53" s="57"/>
      <c r="AO53" s="57"/>
      <c r="AP53" s="57">
        <v>19.8</v>
      </c>
      <c r="AQ53" s="57"/>
      <c r="AR53" s="57"/>
      <c r="AS53" s="57"/>
      <c r="AT53" s="57"/>
      <c r="AU53" s="164"/>
      <c r="AV53" s="61"/>
      <c r="AW53" s="57"/>
      <c r="AX53" s="57"/>
      <c r="AY53" s="57"/>
      <c r="AZ53" s="57">
        <v>21</v>
      </c>
      <c r="BA53" s="57"/>
      <c r="BB53" s="61"/>
      <c r="BC53" s="61"/>
      <c r="BD53" s="57"/>
      <c r="BE53" s="57"/>
      <c r="BF53" s="61"/>
      <c r="BG53" s="57"/>
      <c r="BH53" s="57">
        <v>23.2</v>
      </c>
      <c r="BI53" s="61"/>
      <c r="BJ53" s="61"/>
      <c r="BK53" s="57"/>
      <c r="BL53" s="61"/>
      <c r="BM53" s="57"/>
      <c r="BN53" s="61" t="s">
        <v>132</v>
      </c>
      <c r="BO53" s="57"/>
      <c r="BP53" s="58"/>
      <c r="BQ53" s="61"/>
      <c r="BR53" s="61"/>
      <c r="BS53" s="61"/>
      <c r="BT53" s="61"/>
      <c r="BU53" s="61"/>
      <c r="BV53" s="61"/>
      <c r="BW53" s="61"/>
      <c r="BX53" s="61"/>
      <c r="BY53" s="61"/>
      <c r="BZ53" s="61"/>
      <c r="CA53" s="61"/>
      <c r="CB53" s="57"/>
      <c r="CC53" s="61"/>
      <c r="CD53" s="61"/>
      <c r="CE53" s="61"/>
      <c r="CF53" s="57"/>
      <c r="CG53" s="61"/>
      <c r="CH53" s="61"/>
      <c r="CI53" s="61"/>
      <c r="CJ53" s="57"/>
      <c r="CK53" s="61"/>
      <c r="CL53" s="61"/>
      <c r="CM53" s="61"/>
      <c r="CN53" s="61"/>
      <c r="CO53" s="61"/>
      <c r="CP53" s="61"/>
      <c r="CQ53" s="61"/>
      <c r="CR53" s="61"/>
      <c r="CS53" s="61"/>
      <c r="CT53" s="61"/>
      <c r="CU53" s="61"/>
      <c r="CV53" s="61"/>
      <c r="CW53" s="61"/>
      <c r="CX53" s="61"/>
      <c r="CY53" s="61"/>
      <c r="CZ53" s="61"/>
      <c r="DA53" s="61"/>
      <c r="DB53" s="61"/>
      <c r="DC53" s="61"/>
      <c r="DD53" s="61"/>
      <c r="DE53" s="61"/>
      <c r="DF53" s="61"/>
      <c r="DG53" s="61"/>
      <c r="DH53" s="61"/>
      <c r="DI53" s="61"/>
      <c r="DJ53" s="61"/>
      <c r="DK53" s="61"/>
      <c r="DL53" s="61"/>
      <c r="DM53" s="61"/>
      <c r="DN53" s="61"/>
      <c r="DO53" s="61"/>
      <c r="DP53" s="61"/>
      <c r="DQ53" s="156"/>
      <c r="DR53" s="156"/>
      <c r="DS53" s="156"/>
      <c r="DT53" s="156"/>
      <c r="DU53" s="156"/>
      <c r="DV53" s="156"/>
      <c r="DW53" s="156"/>
      <c r="DX53" s="156"/>
      <c r="DY53" s="156"/>
      <c r="DZ53" s="59"/>
      <c r="EA53" s="59"/>
      <c r="EB53" s="59"/>
      <c r="EC53" s="59"/>
      <c r="ED53" s="59"/>
      <c r="EE53" s="59"/>
      <c r="EF53" s="59"/>
      <c r="EG53" s="59"/>
    </row>
    <row r="54" spans="1:138" s="5" customFormat="1" ht="15.9" customHeight="1" outlineLevel="1" x14ac:dyDescent="0.3">
      <c r="A54" s="6" t="s">
        <v>23</v>
      </c>
      <c r="B54" s="6"/>
      <c r="C54" s="50" t="s">
        <v>24</v>
      </c>
      <c r="D54" s="147"/>
      <c r="E54" s="6" t="s">
        <v>91</v>
      </c>
      <c r="F54" s="6" t="s">
        <v>133</v>
      </c>
      <c r="G54" s="11" t="s">
        <v>134</v>
      </c>
      <c r="H54" s="11"/>
      <c r="I54" s="205" cm="1">
        <f t="array" ref="I54">IFERROR(LOOKUP(2,1/(N54:GR54&lt;&gt;""),N$4:DRA$4),"")</f>
        <v>45189</v>
      </c>
      <c r="J54" s="271" cm="1">
        <f t="array" ref="J54">IFERROR(_xlfn.XLOOKUP(TRUE,N54:EH54&lt;&gt;"",N54:EH54,,,-1)," ")</f>
        <v>23.1</v>
      </c>
      <c r="K54" s="49">
        <v>23</v>
      </c>
      <c r="L54" s="49"/>
      <c r="M54" s="284" t="s">
        <v>28</v>
      </c>
      <c r="N54" s="62"/>
      <c r="O54" s="62"/>
      <c r="P54" s="62"/>
      <c r="Q54" s="62"/>
      <c r="R54" s="62"/>
      <c r="S54" s="62"/>
      <c r="T54" s="62"/>
      <c r="U54" s="62"/>
      <c r="V54" s="62"/>
      <c r="W54" s="62"/>
      <c r="X54" s="62"/>
      <c r="Y54" s="62"/>
      <c r="Z54" s="62"/>
      <c r="AA54" s="62"/>
      <c r="AB54" s="62"/>
      <c r="AC54" s="62"/>
      <c r="AD54" s="62"/>
      <c r="AE54" s="62"/>
      <c r="AF54" s="64"/>
      <c r="AG54" s="62"/>
      <c r="AH54" s="62"/>
      <c r="AI54" s="62"/>
      <c r="AJ54" s="62"/>
      <c r="AK54" s="62"/>
      <c r="AL54" s="62">
        <v>18</v>
      </c>
      <c r="AM54" s="62"/>
      <c r="AN54" s="113"/>
      <c r="AO54" s="62"/>
      <c r="AP54" s="62">
        <v>18.399999999999999</v>
      </c>
      <c r="AQ54" s="62"/>
      <c r="AR54" s="62"/>
      <c r="AS54" s="62"/>
      <c r="AT54" s="64"/>
      <c r="AU54" s="63"/>
      <c r="AV54" s="63"/>
      <c r="AW54" s="64"/>
      <c r="AX54" s="62"/>
      <c r="AY54" s="62">
        <v>20.6</v>
      </c>
      <c r="AZ54" s="62"/>
      <c r="BA54" s="62"/>
      <c r="BB54" s="63"/>
      <c r="BC54" s="63"/>
      <c r="BD54" s="63"/>
      <c r="BE54" s="63"/>
      <c r="BF54" s="63"/>
      <c r="BG54" s="63"/>
      <c r="BH54" s="62">
        <v>22</v>
      </c>
      <c r="BI54" s="63"/>
      <c r="BJ54" s="63"/>
      <c r="BK54" s="62"/>
      <c r="BL54" s="63"/>
      <c r="BM54" s="62"/>
      <c r="BN54" s="159">
        <v>22.6</v>
      </c>
      <c r="BO54" s="62"/>
      <c r="BP54" s="64">
        <v>23.1</v>
      </c>
      <c r="BQ54" s="63"/>
      <c r="BR54" s="63"/>
      <c r="BS54" s="63"/>
      <c r="BT54" s="63"/>
      <c r="BU54" s="63"/>
      <c r="BV54" s="63"/>
      <c r="BW54" s="63"/>
      <c r="BX54" s="63"/>
      <c r="BY54" s="63"/>
      <c r="BZ54" s="63"/>
      <c r="CA54" s="63"/>
      <c r="CB54" s="62"/>
      <c r="CC54" s="63"/>
      <c r="CD54" s="63"/>
      <c r="CE54" s="63"/>
      <c r="CF54" s="62"/>
      <c r="CG54" s="63"/>
      <c r="CH54" s="63"/>
      <c r="CI54" s="63"/>
      <c r="CJ54" s="62"/>
      <c r="CK54" s="63"/>
      <c r="CL54" s="63"/>
      <c r="CM54" s="63"/>
      <c r="CN54" s="63"/>
      <c r="CO54" s="63"/>
      <c r="CP54" s="63"/>
      <c r="CQ54" s="63"/>
      <c r="CR54" s="63"/>
      <c r="CS54" s="63"/>
      <c r="CT54" s="63"/>
      <c r="CU54" s="63"/>
      <c r="CV54" s="63"/>
      <c r="CW54" s="63"/>
      <c r="CX54" s="63"/>
      <c r="CY54" s="63"/>
      <c r="CZ54" s="63"/>
      <c r="DA54" s="63"/>
      <c r="DB54" s="63"/>
      <c r="DC54" s="63"/>
      <c r="DD54" s="63"/>
      <c r="DE54" s="63"/>
      <c r="DF54" s="63"/>
      <c r="DG54" s="63"/>
      <c r="DH54" s="63"/>
      <c r="DI54" s="63"/>
      <c r="DJ54" s="63"/>
      <c r="DK54" s="63"/>
      <c r="DL54" s="63"/>
      <c r="DM54" s="63"/>
      <c r="DN54" s="63"/>
      <c r="DO54" s="63"/>
      <c r="DP54" s="63"/>
      <c r="DQ54" s="158"/>
      <c r="DR54" s="158"/>
      <c r="DS54" s="158"/>
      <c r="DT54" s="158"/>
      <c r="DU54" s="158"/>
      <c r="DV54" s="158"/>
      <c r="DW54" s="158"/>
      <c r="DX54" s="158"/>
      <c r="DY54" s="158"/>
      <c r="DZ54" s="59"/>
      <c r="EA54" s="59"/>
      <c r="EB54" s="59"/>
      <c r="EC54" s="59"/>
      <c r="ED54" s="59"/>
      <c r="EE54" s="59"/>
      <c r="EF54" s="59"/>
      <c r="EG54" s="59"/>
    </row>
    <row r="55" spans="1:138" s="1" customFormat="1" ht="15.9" customHeight="1" outlineLevel="1" x14ac:dyDescent="0.3">
      <c r="A55" s="7" t="s">
        <v>23</v>
      </c>
      <c r="B55" s="7"/>
      <c r="C55" s="8" t="s">
        <v>24</v>
      </c>
      <c r="D55" s="146">
        <v>18.48</v>
      </c>
      <c r="E55" s="7" t="s">
        <v>91</v>
      </c>
      <c r="F55" s="7" t="s">
        <v>135</v>
      </c>
      <c r="G55" s="9" t="s">
        <v>136</v>
      </c>
      <c r="H55" s="9"/>
      <c r="I55" s="204" cm="1">
        <f t="array" ref="I55">IFERROR(LOOKUP(2,1/(N55:GR55&lt;&gt;""),N$4:DRA$4),"")</f>
        <v>45188</v>
      </c>
      <c r="J55" s="218" cm="1">
        <f t="array" ref="J55">IFERROR(_xlfn.XLOOKUP(TRUE,N55:EH55&lt;&gt;"",N55:EH55,,,-1)," ")</f>
        <v>24</v>
      </c>
      <c r="K55" s="45">
        <v>23</v>
      </c>
      <c r="L55" s="45">
        <v>23.8</v>
      </c>
      <c r="M55" s="282" t="s">
        <v>28</v>
      </c>
      <c r="N55" s="57"/>
      <c r="O55" s="57"/>
      <c r="P55" s="57"/>
      <c r="Q55" s="57"/>
      <c r="R55" s="57"/>
      <c r="S55" s="57"/>
      <c r="T55" s="57"/>
      <c r="U55" s="57"/>
      <c r="V55" s="57"/>
      <c r="W55" s="57"/>
      <c r="X55" s="57"/>
      <c r="Y55" s="57"/>
      <c r="Z55" s="57">
        <v>15.6</v>
      </c>
      <c r="AA55" s="57"/>
      <c r="AB55" s="57"/>
      <c r="AC55" s="57"/>
      <c r="AD55" s="57"/>
      <c r="AE55" s="57"/>
      <c r="AF55" s="57"/>
      <c r="AG55" s="57"/>
      <c r="AH55" s="57">
        <v>17.5</v>
      </c>
      <c r="AI55" s="57"/>
      <c r="AJ55" s="57"/>
      <c r="AK55" s="57"/>
      <c r="AL55" s="57"/>
      <c r="AM55" s="57"/>
      <c r="AN55" s="57"/>
      <c r="AO55" s="57"/>
      <c r="AP55" s="57">
        <v>20.2</v>
      </c>
      <c r="AQ55" s="57"/>
      <c r="AR55" s="57"/>
      <c r="AS55" s="57"/>
      <c r="AT55" s="57"/>
      <c r="AU55" s="61"/>
      <c r="AV55" s="160">
        <v>20.6</v>
      </c>
      <c r="AW55" s="57"/>
      <c r="AX55" s="57"/>
      <c r="AY55" s="57"/>
      <c r="AZ55" s="57"/>
      <c r="BA55" s="57">
        <v>21.1</v>
      </c>
      <c r="BB55" s="61"/>
      <c r="BC55" s="61"/>
      <c r="BD55" s="61"/>
      <c r="BE55" s="61"/>
      <c r="BF55" s="61"/>
      <c r="BG55" s="61"/>
      <c r="BH55" s="57">
        <v>22.7</v>
      </c>
      <c r="BI55" s="61"/>
      <c r="BJ55" s="61"/>
      <c r="BK55" s="57"/>
      <c r="BL55" s="61"/>
      <c r="BM55" s="57"/>
      <c r="BN55" s="61"/>
      <c r="BO55" s="57">
        <v>24</v>
      </c>
      <c r="BP55" s="58"/>
      <c r="BQ55" s="61"/>
      <c r="BR55" s="61"/>
      <c r="BS55" s="61"/>
      <c r="BT55" s="61"/>
      <c r="BU55" s="61"/>
      <c r="BV55" s="61"/>
      <c r="BW55" s="61"/>
      <c r="BX55" s="61"/>
      <c r="BY55" s="61"/>
      <c r="BZ55" s="61"/>
      <c r="CA55" s="61"/>
      <c r="CB55" s="57"/>
      <c r="CC55" s="61"/>
      <c r="CD55" s="61"/>
      <c r="CE55" s="61"/>
      <c r="CF55" s="57"/>
      <c r="CG55" s="61"/>
      <c r="CH55" s="61"/>
      <c r="CI55" s="61"/>
      <c r="CJ55" s="57"/>
      <c r="CK55" s="61"/>
      <c r="CL55" s="61"/>
      <c r="CM55" s="61"/>
      <c r="CN55" s="61"/>
      <c r="CO55" s="61"/>
      <c r="CP55" s="61"/>
      <c r="CQ55" s="61"/>
      <c r="CR55" s="61"/>
      <c r="CS55" s="61"/>
      <c r="CT55" s="61"/>
      <c r="CU55" s="61"/>
      <c r="CV55" s="61"/>
      <c r="CW55" s="61"/>
      <c r="CX55" s="61"/>
      <c r="CY55" s="61"/>
      <c r="CZ55" s="61"/>
      <c r="DA55" s="61"/>
      <c r="DB55" s="61"/>
      <c r="DC55" s="61"/>
      <c r="DD55" s="61"/>
      <c r="DE55" s="61"/>
      <c r="DF55" s="61"/>
      <c r="DG55" s="61"/>
      <c r="DH55" s="61"/>
      <c r="DI55" s="61"/>
      <c r="DJ55" s="61"/>
      <c r="DK55" s="61"/>
      <c r="DL55" s="61"/>
      <c r="DM55" s="61"/>
      <c r="DN55" s="61"/>
      <c r="DO55" s="61"/>
      <c r="DP55" s="61"/>
      <c r="DQ55" s="156"/>
      <c r="DR55" s="156"/>
      <c r="DS55" s="156"/>
      <c r="DT55" s="156"/>
      <c r="DU55" s="156"/>
      <c r="DV55" s="156"/>
      <c r="DW55" s="156"/>
      <c r="DX55" s="156"/>
      <c r="DY55" s="156"/>
      <c r="DZ55" s="65"/>
      <c r="EA55" s="65"/>
      <c r="EB55" s="65"/>
      <c r="EC55" s="65"/>
      <c r="ED55" s="65"/>
      <c r="EE55" s="65"/>
      <c r="EF55" s="65"/>
      <c r="EG55" s="65"/>
      <c r="EH55" s="10"/>
    </row>
    <row r="56" spans="1:138" s="10" customFormat="1" ht="15.9" customHeight="1" outlineLevel="1" x14ac:dyDescent="0.3">
      <c r="A56" s="7" t="s">
        <v>23</v>
      </c>
      <c r="B56" s="7"/>
      <c r="C56" s="8" t="s">
        <v>24</v>
      </c>
      <c r="D56" s="146"/>
      <c r="E56" s="7" t="s">
        <v>91</v>
      </c>
      <c r="F56" s="7" t="s">
        <v>137</v>
      </c>
      <c r="G56" s="9" t="s">
        <v>138</v>
      </c>
      <c r="H56" s="9"/>
      <c r="I56" s="204" cm="1">
        <f t="array" ref="I56">IFERROR(LOOKUP(2,1/(N56:GR56&lt;&gt;""),N$4:DRA$4),"")</f>
        <v>45149</v>
      </c>
      <c r="J56" s="169" cm="1">
        <f t="array" ref="J56">IFERROR(_xlfn.XLOOKUP(TRUE,N56:EH56&lt;&gt;"",N56:EH56,,,-1)," ")</f>
        <v>17.7</v>
      </c>
      <c r="K56" s="48">
        <v>18.5</v>
      </c>
      <c r="L56" s="48">
        <v>18</v>
      </c>
      <c r="M56" s="7" t="s">
        <v>28</v>
      </c>
      <c r="N56" s="57"/>
      <c r="O56" s="57"/>
      <c r="P56" s="57"/>
      <c r="Q56" s="57"/>
      <c r="R56" s="57"/>
      <c r="S56" s="57"/>
      <c r="T56" s="57"/>
      <c r="U56" s="57"/>
      <c r="V56" s="57"/>
      <c r="W56" s="57"/>
      <c r="X56" s="57"/>
      <c r="Y56" s="57"/>
      <c r="Z56" s="57">
        <v>18.2</v>
      </c>
      <c r="AA56" s="57">
        <v>17.3</v>
      </c>
      <c r="AB56" s="57">
        <v>17.7</v>
      </c>
      <c r="AC56" s="57"/>
      <c r="AD56" s="57"/>
      <c r="AE56" s="57"/>
      <c r="AF56" s="57"/>
      <c r="AG56" s="57"/>
      <c r="AH56" s="57"/>
      <c r="AI56" s="58"/>
      <c r="AJ56" s="58"/>
      <c r="AK56" s="57"/>
      <c r="AL56" s="57"/>
      <c r="AM56" s="57"/>
      <c r="AN56" s="57"/>
      <c r="AO56" s="57"/>
      <c r="AP56" s="57"/>
      <c r="AQ56" s="57"/>
      <c r="AR56" s="57"/>
      <c r="AS56" s="57"/>
      <c r="AT56" s="57"/>
      <c r="AU56" s="61"/>
      <c r="AV56" s="61"/>
      <c r="AW56" s="57"/>
      <c r="AX56" s="57"/>
      <c r="AY56" s="57"/>
      <c r="AZ56" s="57"/>
      <c r="BA56" s="57"/>
      <c r="BB56" s="61"/>
      <c r="BC56" s="61"/>
      <c r="BD56" s="61"/>
      <c r="BE56" s="61"/>
      <c r="BF56" s="61"/>
      <c r="BG56" s="61"/>
      <c r="BH56" s="57"/>
      <c r="BI56" s="61"/>
      <c r="BJ56" s="61"/>
      <c r="BK56" s="57"/>
      <c r="BL56" s="61"/>
      <c r="BM56" s="57"/>
      <c r="BN56" s="61"/>
      <c r="BO56" s="57"/>
      <c r="BP56" s="58"/>
      <c r="BQ56" s="61"/>
      <c r="BR56" s="61"/>
      <c r="BS56" s="61"/>
      <c r="BT56" s="61"/>
      <c r="BU56" s="61"/>
      <c r="BV56" s="61"/>
      <c r="BW56" s="61"/>
      <c r="BX56" s="61"/>
      <c r="BY56" s="61"/>
      <c r="BZ56" s="61"/>
      <c r="CA56" s="61"/>
      <c r="CB56" s="57"/>
      <c r="CC56" s="61"/>
      <c r="CD56" s="61"/>
      <c r="CE56" s="61"/>
      <c r="CF56" s="57"/>
      <c r="CG56" s="61"/>
      <c r="CH56" s="61"/>
      <c r="CI56" s="61"/>
      <c r="CJ56" s="57"/>
      <c r="CK56" s="61"/>
      <c r="CL56" s="61"/>
      <c r="CM56" s="61"/>
      <c r="CN56" s="61"/>
      <c r="CO56" s="61"/>
      <c r="CP56" s="61"/>
      <c r="CQ56" s="61"/>
      <c r="CR56" s="61"/>
      <c r="CS56" s="61"/>
      <c r="CT56" s="61"/>
      <c r="CU56" s="61"/>
      <c r="CV56" s="61"/>
      <c r="CW56" s="61"/>
      <c r="CX56" s="61"/>
      <c r="CY56" s="61"/>
      <c r="CZ56" s="61"/>
      <c r="DA56" s="61"/>
      <c r="DB56" s="61"/>
      <c r="DC56" s="61"/>
      <c r="DD56" s="61"/>
      <c r="DE56" s="61"/>
      <c r="DF56" s="61"/>
      <c r="DG56" s="61"/>
      <c r="DH56" s="61"/>
      <c r="DI56" s="61"/>
      <c r="DJ56" s="61"/>
      <c r="DK56" s="61"/>
      <c r="DL56" s="61"/>
      <c r="DM56" s="61"/>
      <c r="DN56" s="61"/>
      <c r="DO56" s="61"/>
      <c r="DP56" s="61"/>
      <c r="DQ56" s="156"/>
      <c r="DR56" s="156"/>
      <c r="DS56" s="156"/>
      <c r="DT56" s="156"/>
      <c r="DU56" s="156"/>
      <c r="DV56" s="156"/>
      <c r="DW56" s="156"/>
      <c r="DX56" s="156"/>
      <c r="DY56" s="156"/>
      <c r="DZ56" s="59"/>
      <c r="EA56" s="59"/>
      <c r="EB56" s="59"/>
      <c r="EC56" s="59"/>
      <c r="ED56" s="59"/>
      <c r="EE56" s="59"/>
      <c r="EF56" s="59"/>
      <c r="EG56" s="59"/>
    </row>
    <row r="57" spans="1:138" s="10" customFormat="1" ht="15.9" customHeight="1" outlineLevel="1" x14ac:dyDescent="0.3">
      <c r="A57" s="7" t="s">
        <v>23</v>
      </c>
      <c r="B57" s="7"/>
      <c r="C57" s="8" t="s">
        <v>24</v>
      </c>
      <c r="D57" s="146"/>
      <c r="E57" s="7" t="s">
        <v>91</v>
      </c>
      <c r="F57" s="7" t="s">
        <v>137</v>
      </c>
      <c r="G57" s="9" t="s">
        <v>139</v>
      </c>
      <c r="H57" s="9"/>
      <c r="I57" s="204" cm="1">
        <f t="array" ref="I57">IFERROR(LOOKUP(2,1/(N57:GR57&lt;&gt;""),N$4:DRA$4),"")</f>
        <v>45149</v>
      </c>
      <c r="J57" s="169" cm="1">
        <f t="array" ref="J57">IFERROR(_xlfn.XLOOKUP(TRUE,N57:EH57&lt;&gt;"",N57:EH57,,,-1)," ")</f>
        <v>18.899999999999999</v>
      </c>
      <c r="K57" s="48">
        <v>18.5</v>
      </c>
      <c r="L57" s="48">
        <v>18</v>
      </c>
      <c r="M57" s="7" t="s">
        <v>28</v>
      </c>
      <c r="N57" s="57"/>
      <c r="O57" s="57"/>
      <c r="P57" s="57"/>
      <c r="Q57" s="57"/>
      <c r="R57" s="57"/>
      <c r="S57" s="57">
        <v>15.8</v>
      </c>
      <c r="T57" s="57"/>
      <c r="U57" s="57"/>
      <c r="V57" s="57"/>
      <c r="W57" s="57"/>
      <c r="X57" s="57"/>
      <c r="Y57" s="57"/>
      <c r="Z57" s="57">
        <v>18.2</v>
      </c>
      <c r="AA57" s="57">
        <v>18</v>
      </c>
      <c r="AB57" s="57">
        <v>18.899999999999999</v>
      </c>
      <c r="AC57" s="57"/>
      <c r="AD57" s="57"/>
      <c r="AE57" s="57"/>
      <c r="AF57" s="57"/>
      <c r="AG57" s="57"/>
      <c r="AH57" s="57"/>
      <c r="AI57" s="58"/>
      <c r="AJ57" s="58"/>
      <c r="AK57" s="57"/>
      <c r="AL57" s="57"/>
      <c r="AM57" s="57"/>
      <c r="AN57" s="57"/>
      <c r="AO57" s="57"/>
      <c r="AP57" s="57"/>
      <c r="AQ57" s="57"/>
      <c r="AR57" s="57"/>
      <c r="AS57" s="57"/>
      <c r="AT57" s="57"/>
      <c r="AU57" s="61"/>
      <c r="AV57" s="61"/>
      <c r="AW57" s="57"/>
      <c r="AX57" s="57"/>
      <c r="AY57" s="57"/>
      <c r="AZ57" s="57"/>
      <c r="BA57" s="57"/>
      <c r="BB57" s="61"/>
      <c r="BC57" s="61"/>
      <c r="BD57" s="61"/>
      <c r="BE57" s="61"/>
      <c r="BF57" s="61"/>
      <c r="BG57" s="61"/>
      <c r="BH57" s="57"/>
      <c r="BI57" s="61"/>
      <c r="BJ57" s="61"/>
      <c r="BK57" s="57"/>
      <c r="BL57" s="61"/>
      <c r="BM57" s="57"/>
      <c r="BN57" s="61"/>
      <c r="BO57" s="57"/>
      <c r="BP57" s="58"/>
      <c r="BQ57" s="61"/>
      <c r="BR57" s="61"/>
      <c r="BS57" s="61"/>
      <c r="BT57" s="61"/>
      <c r="BU57" s="61"/>
      <c r="BV57" s="61"/>
      <c r="BW57" s="61"/>
      <c r="BX57" s="61"/>
      <c r="BY57" s="61"/>
      <c r="BZ57" s="61"/>
      <c r="CA57" s="61"/>
      <c r="CB57" s="57"/>
      <c r="CC57" s="61"/>
      <c r="CD57" s="61"/>
      <c r="CE57" s="61"/>
      <c r="CF57" s="57"/>
      <c r="CG57" s="61"/>
      <c r="CH57" s="61"/>
      <c r="CI57" s="61"/>
      <c r="CJ57" s="57"/>
      <c r="CK57" s="61"/>
      <c r="CL57" s="61"/>
      <c r="CM57" s="61"/>
      <c r="CN57" s="61"/>
      <c r="CO57" s="61"/>
      <c r="CP57" s="61"/>
      <c r="CQ57" s="61"/>
      <c r="CR57" s="61"/>
      <c r="CS57" s="61"/>
      <c r="CT57" s="61"/>
      <c r="CU57" s="61"/>
      <c r="CV57" s="61"/>
      <c r="CW57" s="61"/>
      <c r="CX57" s="61"/>
      <c r="CY57" s="61"/>
      <c r="CZ57" s="61"/>
      <c r="DA57" s="61"/>
      <c r="DB57" s="61"/>
      <c r="DC57" s="61"/>
      <c r="DD57" s="61"/>
      <c r="DE57" s="61"/>
      <c r="DF57" s="61"/>
      <c r="DG57" s="61"/>
      <c r="DH57" s="61"/>
      <c r="DI57" s="61"/>
      <c r="DJ57" s="61"/>
      <c r="DK57" s="61"/>
      <c r="DL57" s="61"/>
      <c r="DM57" s="61"/>
      <c r="DN57" s="61"/>
      <c r="DO57" s="61"/>
      <c r="DP57" s="61"/>
      <c r="DQ57" s="156"/>
      <c r="DR57" s="156"/>
      <c r="DS57" s="156"/>
      <c r="DT57" s="156"/>
      <c r="DU57" s="156"/>
      <c r="DV57" s="156"/>
      <c r="DW57" s="156"/>
      <c r="DX57" s="156"/>
      <c r="DY57" s="156"/>
      <c r="DZ57" s="59"/>
      <c r="EA57" s="59"/>
      <c r="EB57" s="59"/>
      <c r="EC57" s="59"/>
      <c r="ED57" s="59"/>
      <c r="EE57" s="59"/>
      <c r="EF57" s="59"/>
      <c r="EG57" s="59"/>
    </row>
    <row r="58" spans="1:138" s="5" customFormat="1" ht="15.9" customHeight="1" outlineLevel="1" x14ac:dyDescent="0.3">
      <c r="A58" s="6" t="s">
        <v>23</v>
      </c>
      <c r="B58" s="6"/>
      <c r="C58" s="129" t="s">
        <v>24</v>
      </c>
      <c r="D58" s="149">
        <v>37.340000000000003</v>
      </c>
      <c r="E58" s="130" t="s">
        <v>91</v>
      </c>
      <c r="F58" s="130" t="s">
        <v>140</v>
      </c>
      <c r="G58" s="131" t="s">
        <v>141</v>
      </c>
      <c r="H58" s="131"/>
      <c r="I58" s="205" cm="1">
        <f t="array" ref="I58">IFERROR(LOOKUP(2,1/(N58:GR58&lt;&gt;""),N$4:DRA$4),"")</f>
        <v>45180</v>
      </c>
      <c r="J58" s="227" cm="1">
        <f t="array" ref="J58">IFERROR(_xlfn.XLOOKUP(TRUE,N58:EH58&lt;&gt;"",N58:EH58,,,-1)," ")</f>
        <v>24.9</v>
      </c>
      <c r="K58" s="49">
        <v>22</v>
      </c>
      <c r="L58" s="49"/>
      <c r="M58" s="284" t="s">
        <v>28</v>
      </c>
      <c r="N58" s="62"/>
      <c r="O58" s="108"/>
      <c r="P58" s="62"/>
      <c r="Q58" s="62"/>
      <c r="R58" s="62"/>
      <c r="S58" s="62"/>
      <c r="T58" s="62"/>
      <c r="U58" s="62"/>
      <c r="V58" s="62"/>
      <c r="W58" s="108"/>
      <c r="X58" s="62"/>
      <c r="Y58" s="62"/>
      <c r="Z58" s="62">
        <v>18.3</v>
      </c>
      <c r="AA58" s="62"/>
      <c r="AB58" s="108"/>
      <c r="AC58" s="62"/>
      <c r="AD58" s="62"/>
      <c r="AE58" s="62"/>
      <c r="AF58" s="62">
        <v>19.899999999999999</v>
      </c>
      <c r="AG58" s="62"/>
      <c r="AH58" s="62"/>
      <c r="AI58" s="64">
        <v>20.6</v>
      </c>
      <c r="AJ58" s="62"/>
      <c r="AK58" s="62"/>
      <c r="AL58" s="62"/>
      <c r="AM58" s="64">
        <v>20.8</v>
      </c>
      <c r="AN58" s="62"/>
      <c r="AO58" s="62"/>
      <c r="AP58" s="62"/>
      <c r="AQ58" s="62"/>
      <c r="AR58" s="62"/>
      <c r="AS58" s="270">
        <v>22.2</v>
      </c>
      <c r="AT58" s="62"/>
      <c r="AU58" s="63"/>
      <c r="AV58" s="63"/>
      <c r="AW58" s="62">
        <v>23.4</v>
      </c>
      <c r="AX58" s="62"/>
      <c r="AY58" s="62"/>
      <c r="AZ58" s="62" t="s">
        <v>142</v>
      </c>
      <c r="BA58" s="62"/>
      <c r="BB58" s="63"/>
      <c r="BC58" s="63"/>
      <c r="BD58" s="62"/>
      <c r="BE58" s="62"/>
      <c r="BF58" s="63"/>
      <c r="BG58" s="64">
        <v>24.9</v>
      </c>
      <c r="BH58" s="62"/>
      <c r="BI58" s="63"/>
      <c r="BJ58" s="63"/>
      <c r="BK58" s="62"/>
      <c r="BL58" s="63"/>
      <c r="BM58" s="62"/>
      <c r="BN58" s="63"/>
      <c r="BO58" s="62"/>
      <c r="BP58" s="64"/>
      <c r="BQ58" s="63"/>
      <c r="BR58" s="63"/>
      <c r="BS58" s="63"/>
      <c r="BT58" s="63"/>
      <c r="BU58" s="63"/>
      <c r="BV58" s="63"/>
      <c r="BW58" s="63"/>
      <c r="BX58" s="63"/>
      <c r="BY58" s="63"/>
      <c r="BZ58" s="63"/>
      <c r="CA58" s="63"/>
      <c r="CB58" s="62"/>
      <c r="CC58" s="63"/>
      <c r="CD58" s="63"/>
      <c r="CE58" s="63"/>
      <c r="CF58" s="62"/>
      <c r="CG58" s="63"/>
      <c r="CH58" s="63"/>
      <c r="CI58" s="63"/>
      <c r="CJ58" s="62"/>
      <c r="CK58" s="63"/>
      <c r="CL58" s="63"/>
      <c r="CM58" s="63"/>
      <c r="CN58" s="63"/>
      <c r="CO58" s="63"/>
      <c r="CP58" s="63"/>
      <c r="CQ58" s="63"/>
      <c r="CR58" s="63"/>
      <c r="CS58" s="63"/>
      <c r="CT58" s="63"/>
      <c r="CU58" s="63"/>
      <c r="CV58" s="63"/>
      <c r="CW58" s="63"/>
      <c r="CX58" s="63"/>
      <c r="CY58" s="63"/>
      <c r="CZ58" s="63"/>
      <c r="DA58" s="63"/>
      <c r="DB58" s="63"/>
      <c r="DC58" s="63"/>
      <c r="DD58" s="63"/>
      <c r="DE58" s="63"/>
      <c r="DF58" s="63"/>
      <c r="DG58" s="63"/>
      <c r="DH58" s="63"/>
      <c r="DI58" s="63"/>
      <c r="DJ58" s="63"/>
      <c r="DK58" s="63"/>
      <c r="DL58" s="63"/>
      <c r="DM58" s="63"/>
      <c r="DN58" s="63"/>
      <c r="DO58" s="63"/>
      <c r="DP58" s="63"/>
      <c r="DQ58" s="158"/>
      <c r="DR58" s="158"/>
      <c r="DS58" s="158"/>
      <c r="DT58" s="158"/>
      <c r="DU58" s="158"/>
      <c r="DV58" s="158"/>
      <c r="DW58" s="158"/>
      <c r="DX58" s="158"/>
      <c r="DY58" s="158"/>
      <c r="DZ58" s="65"/>
      <c r="EA58" s="65"/>
      <c r="EB58" s="65"/>
      <c r="EC58" s="65"/>
      <c r="ED58" s="65"/>
      <c r="EE58" s="65"/>
      <c r="EF58" s="65"/>
      <c r="EG58" s="65"/>
    </row>
    <row r="59" spans="1:138" s="10" customFormat="1" ht="15.9" customHeight="1" outlineLevel="1" x14ac:dyDescent="0.3">
      <c r="A59" s="7" t="s">
        <v>23</v>
      </c>
      <c r="B59" s="7" t="s">
        <v>23</v>
      </c>
      <c r="C59" s="8" t="s">
        <v>24</v>
      </c>
      <c r="D59" s="146">
        <v>18.41</v>
      </c>
      <c r="E59" s="7" t="s">
        <v>91</v>
      </c>
      <c r="F59" s="7" t="s">
        <v>143</v>
      </c>
      <c r="G59" s="9" t="s">
        <v>144</v>
      </c>
      <c r="H59" s="9"/>
      <c r="I59" s="204" cm="1">
        <f t="array" ref="I59">IFERROR(LOOKUP(2,1/(N59:GR59&lt;&gt;""),N$4:DRA$4),"")</f>
        <v>45183</v>
      </c>
      <c r="J59" s="266" cm="1">
        <f t="array" ref="J59">IFERROR(_xlfn.XLOOKUP(TRUE,N59:EH59&lt;&gt;"",N59:EH59,,,-1)," ")</f>
        <v>24</v>
      </c>
      <c r="K59" s="45"/>
      <c r="L59" s="45">
        <v>23.8</v>
      </c>
      <c r="M59" s="282" t="s">
        <v>28</v>
      </c>
      <c r="N59" s="57"/>
      <c r="O59" s="57"/>
      <c r="P59" s="57"/>
      <c r="Q59" s="57"/>
      <c r="R59" s="57"/>
      <c r="S59" s="57"/>
      <c r="T59" s="57"/>
      <c r="U59" s="57">
        <v>14.5</v>
      </c>
      <c r="V59" s="57"/>
      <c r="W59" s="57"/>
      <c r="X59" s="57"/>
      <c r="Y59" s="57"/>
      <c r="Z59" s="57">
        <v>16.5</v>
      </c>
      <c r="AA59" s="57"/>
      <c r="AB59" s="57"/>
      <c r="AC59" s="57"/>
      <c r="AD59" s="57"/>
      <c r="AE59" s="57"/>
      <c r="AF59" s="57">
        <v>18</v>
      </c>
      <c r="AG59" s="57"/>
      <c r="AH59" s="57"/>
      <c r="AI59" s="57"/>
      <c r="AJ59" s="57"/>
      <c r="AK59" s="57"/>
      <c r="AL59" s="57"/>
      <c r="AM59" s="57"/>
      <c r="AN59" s="57"/>
      <c r="AO59" s="57">
        <v>19.2</v>
      </c>
      <c r="AP59" s="57"/>
      <c r="AQ59" s="57"/>
      <c r="AR59" s="57"/>
      <c r="AS59" s="58"/>
      <c r="AT59" s="57"/>
      <c r="AU59" s="61">
        <v>21.8</v>
      </c>
      <c r="AV59" s="61"/>
      <c r="AW59" s="57"/>
      <c r="AX59" s="57"/>
      <c r="AY59" s="57"/>
      <c r="AZ59" s="57"/>
      <c r="BA59" s="57"/>
      <c r="BB59" s="61"/>
      <c r="BC59" s="160">
        <v>22.3</v>
      </c>
      <c r="BD59" s="61"/>
      <c r="BE59" s="61"/>
      <c r="BF59" s="61"/>
      <c r="BG59" s="61"/>
      <c r="BH59" s="57"/>
      <c r="BI59" s="61"/>
      <c r="BJ59" s="160">
        <v>24</v>
      </c>
      <c r="BK59" s="57"/>
      <c r="BL59" s="61"/>
      <c r="BM59" s="57"/>
      <c r="BN59" s="61"/>
      <c r="BO59" s="57"/>
      <c r="BP59" s="58"/>
      <c r="BQ59" s="61"/>
      <c r="BR59" s="61"/>
      <c r="BS59" s="61"/>
      <c r="BT59" s="61"/>
      <c r="BU59" s="61"/>
      <c r="BV59" s="61"/>
      <c r="BW59" s="61"/>
      <c r="BX59" s="61"/>
      <c r="BY59" s="61"/>
      <c r="BZ59" s="61"/>
      <c r="CA59" s="61"/>
      <c r="CB59" s="57"/>
      <c r="CC59" s="61"/>
      <c r="CD59" s="61"/>
      <c r="CE59" s="61"/>
      <c r="CF59" s="57"/>
      <c r="CG59" s="61"/>
      <c r="CH59" s="61"/>
      <c r="CI59" s="61"/>
      <c r="CJ59" s="57"/>
      <c r="CK59" s="61"/>
      <c r="CL59" s="61"/>
      <c r="CM59" s="61"/>
      <c r="CN59" s="61"/>
      <c r="CO59" s="61"/>
      <c r="CP59" s="61"/>
      <c r="CQ59" s="61"/>
      <c r="CR59" s="61"/>
      <c r="CS59" s="61"/>
      <c r="CT59" s="61"/>
      <c r="CU59" s="61"/>
      <c r="CV59" s="61"/>
      <c r="CW59" s="61"/>
      <c r="CX59" s="61"/>
      <c r="CY59" s="61"/>
      <c r="CZ59" s="61"/>
      <c r="DA59" s="61"/>
      <c r="DB59" s="61"/>
      <c r="DC59" s="61"/>
      <c r="DD59" s="61"/>
      <c r="DE59" s="61"/>
      <c r="DF59" s="61"/>
      <c r="DG59" s="61"/>
      <c r="DH59" s="61"/>
      <c r="DI59" s="61"/>
      <c r="DJ59" s="61"/>
      <c r="DK59" s="61"/>
      <c r="DL59" s="61"/>
      <c r="DM59" s="61"/>
      <c r="DN59" s="61"/>
      <c r="DO59" s="61"/>
      <c r="DP59" s="61"/>
      <c r="DQ59" s="156"/>
      <c r="DR59" s="156"/>
      <c r="DS59" s="156"/>
      <c r="DT59" s="156"/>
      <c r="DU59" s="156"/>
      <c r="DV59" s="156"/>
      <c r="DW59" s="156"/>
      <c r="DX59" s="156"/>
      <c r="DY59" s="156"/>
      <c r="DZ59" s="59"/>
      <c r="EA59" s="59"/>
      <c r="EB59" s="59"/>
      <c r="EC59" s="59"/>
      <c r="ED59" s="59"/>
      <c r="EE59" s="59"/>
      <c r="EF59" s="59"/>
      <c r="EG59" s="59"/>
    </row>
    <row r="60" spans="1:138" s="5" customFormat="1" ht="15.9" customHeight="1" outlineLevel="1" x14ac:dyDescent="0.3">
      <c r="A60" s="6" t="s">
        <v>22</v>
      </c>
      <c r="B60" s="6" t="s">
        <v>23</v>
      </c>
      <c r="C60" s="50" t="s">
        <v>31</v>
      </c>
      <c r="D60" s="147">
        <v>66.53</v>
      </c>
      <c r="E60" s="6" t="s">
        <v>91</v>
      </c>
      <c r="F60" s="6" t="s">
        <v>145</v>
      </c>
      <c r="G60" s="11" t="s">
        <v>146</v>
      </c>
      <c r="H60" s="11"/>
      <c r="I60" s="205" cm="1">
        <f t="array" ref="I60">IFERROR(LOOKUP(2,1/(N60:GR60&lt;&gt;""),N$4:DRA$4),"")</f>
        <v>45202</v>
      </c>
      <c r="J60" s="271" cm="1">
        <f t="array" ref="J60">IFERROR(_xlfn.XLOOKUP(TRUE,N60:EH60&lt;&gt;"",N60:EH60,,,-1)," ")</f>
        <v>22.9</v>
      </c>
      <c r="K60" s="49"/>
      <c r="L60" s="49">
        <v>23.8</v>
      </c>
      <c r="M60" s="284" t="s">
        <v>28</v>
      </c>
      <c r="N60" s="62"/>
      <c r="O60" s="62"/>
      <c r="P60" s="62"/>
      <c r="Q60" s="62"/>
      <c r="R60" s="62"/>
      <c r="S60" s="62"/>
      <c r="T60" s="62">
        <v>10.6</v>
      </c>
      <c r="U60" s="62"/>
      <c r="V60" s="62"/>
      <c r="W60" s="62"/>
      <c r="X60" s="62"/>
      <c r="Y60" s="62"/>
      <c r="Z60" s="62"/>
      <c r="AA60" s="62"/>
      <c r="AB60" s="62"/>
      <c r="AC60" s="62">
        <v>13.2</v>
      </c>
      <c r="AD60" s="62"/>
      <c r="AE60" s="62"/>
      <c r="AF60" s="62"/>
      <c r="AG60" s="62"/>
      <c r="AH60" s="62">
        <v>15.6</v>
      </c>
      <c r="AI60" s="62"/>
      <c r="AJ60" s="62"/>
      <c r="AK60" s="62"/>
      <c r="AL60" s="62"/>
      <c r="AM60" s="55" t="s">
        <v>147</v>
      </c>
      <c r="AN60" s="62"/>
      <c r="AO60" s="62"/>
      <c r="AP60" s="62"/>
      <c r="AQ60" s="62"/>
      <c r="AR60" s="62"/>
      <c r="AS60" s="62"/>
      <c r="AT60" s="62"/>
      <c r="AU60" s="63"/>
      <c r="AV60" s="63"/>
      <c r="AW60" s="62">
        <v>19</v>
      </c>
      <c r="AX60" s="62"/>
      <c r="AY60" s="62"/>
      <c r="AZ60" s="62"/>
      <c r="BA60" s="62"/>
      <c r="BB60" s="63"/>
      <c r="BC60" s="63" t="s">
        <v>148</v>
      </c>
      <c r="BD60" s="62"/>
      <c r="BE60" s="62"/>
      <c r="BF60" s="63"/>
      <c r="BG60" s="62"/>
      <c r="BH60" s="62"/>
      <c r="BI60" s="63">
        <v>21.4</v>
      </c>
      <c r="BJ60" s="63"/>
      <c r="BK60" s="62"/>
      <c r="BL60" s="63"/>
      <c r="BM60" s="62"/>
      <c r="BN60" s="63"/>
      <c r="BO60" s="62">
        <v>22.4</v>
      </c>
      <c r="BP60" s="64"/>
      <c r="BQ60" s="63"/>
      <c r="BR60" s="63"/>
      <c r="BS60" s="63"/>
      <c r="BT60" s="63"/>
      <c r="BU60" s="159">
        <v>21.9</v>
      </c>
      <c r="BV60" s="63"/>
      <c r="BW60" s="63"/>
      <c r="BX60" s="63"/>
      <c r="BY60" s="63"/>
      <c r="BZ60" s="63"/>
      <c r="CA60" s="63"/>
      <c r="CB60" s="62"/>
      <c r="CC60" s="403">
        <v>22.9</v>
      </c>
      <c r="CD60" s="63"/>
      <c r="CE60" s="63"/>
      <c r="CF60" s="62"/>
      <c r="CG60" s="63"/>
      <c r="CH60" s="63"/>
      <c r="CI60" s="63"/>
      <c r="CJ60" s="62"/>
      <c r="CK60" s="63"/>
      <c r="CL60" s="63"/>
      <c r="CM60" s="63"/>
      <c r="CN60" s="63"/>
      <c r="CO60" s="63"/>
      <c r="CP60" s="63"/>
      <c r="CQ60" s="63"/>
      <c r="CR60" s="63"/>
      <c r="CS60" s="63"/>
      <c r="CT60" s="63"/>
      <c r="CU60" s="63"/>
      <c r="CV60" s="63"/>
      <c r="CW60" s="63"/>
      <c r="CX60" s="63"/>
      <c r="CY60" s="63"/>
      <c r="CZ60" s="63"/>
      <c r="DA60" s="63"/>
      <c r="DB60" s="63"/>
      <c r="DC60" s="63"/>
      <c r="DD60" s="63"/>
      <c r="DE60" s="63"/>
      <c r="DF60" s="63"/>
      <c r="DG60" s="63"/>
      <c r="DH60" s="63"/>
      <c r="DI60" s="63"/>
      <c r="DJ60" s="63"/>
      <c r="DK60" s="63"/>
      <c r="DL60" s="63"/>
      <c r="DM60" s="63"/>
      <c r="DN60" s="63"/>
      <c r="DO60" s="63"/>
      <c r="DP60" s="63"/>
      <c r="DQ60" s="158"/>
      <c r="DR60" s="158"/>
      <c r="DS60" s="158"/>
      <c r="DT60" s="158"/>
      <c r="DU60" s="158"/>
      <c r="DV60" s="158"/>
      <c r="DW60" s="158"/>
      <c r="DX60" s="158"/>
      <c r="DY60" s="158"/>
      <c r="DZ60" s="59"/>
      <c r="EA60" s="59"/>
      <c r="EB60" s="59"/>
      <c r="EC60" s="59"/>
      <c r="ED60" s="59"/>
      <c r="EE60" s="59"/>
      <c r="EF60" s="59"/>
      <c r="EG60" s="59"/>
    </row>
    <row r="61" spans="1:138" s="10" customFormat="1" ht="15.9" customHeight="1" outlineLevel="1" x14ac:dyDescent="0.3">
      <c r="A61" s="7" t="s">
        <v>23</v>
      </c>
      <c r="B61" s="7" t="s">
        <v>23</v>
      </c>
      <c r="C61" s="8" t="s">
        <v>24</v>
      </c>
      <c r="D61" s="146">
        <v>37.82</v>
      </c>
      <c r="E61" s="7" t="s">
        <v>91</v>
      </c>
      <c r="F61" s="7" t="s">
        <v>149</v>
      </c>
      <c r="G61" s="9" t="s">
        <v>150</v>
      </c>
      <c r="H61" s="9"/>
      <c r="I61" s="204" cm="1">
        <f t="array" ref="I61">IFERROR(LOOKUP(2,1/(N61:GR61&lt;&gt;""),N$4:DRA$4),"")</f>
        <v>45145</v>
      </c>
      <c r="J61" s="218" cm="1">
        <f t="array" ref="J61">IFERROR(_xlfn.XLOOKUP(TRUE,N61:EH61&lt;&gt;"",N61:EH61,,,-1)," ")</f>
        <v>15.7</v>
      </c>
      <c r="K61" s="48">
        <v>17</v>
      </c>
      <c r="L61" s="48"/>
      <c r="M61" s="7" t="s">
        <v>151</v>
      </c>
      <c r="N61" s="57">
        <v>13</v>
      </c>
      <c r="O61" s="57"/>
      <c r="P61" s="57"/>
      <c r="Q61" s="57"/>
      <c r="R61" s="57"/>
      <c r="S61" s="57">
        <v>15.4</v>
      </c>
      <c r="T61" s="57"/>
      <c r="U61" s="57"/>
      <c r="V61" s="57"/>
      <c r="W61" s="57"/>
      <c r="X61" s="58">
        <v>15.7</v>
      </c>
      <c r="Y61" s="57"/>
      <c r="Z61" s="57"/>
      <c r="AA61" s="57"/>
      <c r="AB61" s="57"/>
      <c r="AC61" s="57"/>
      <c r="AD61" s="57"/>
      <c r="AE61" s="57"/>
      <c r="AF61" s="57"/>
      <c r="AG61" s="58"/>
      <c r="AH61" s="57"/>
      <c r="AI61" s="57"/>
      <c r="AJ61" s="57"/>
      <c r="AK61" s="57"/>
      <c r="AL61" s="57"/>
      <c r="AM61" s="57"/>
      <c r="AN61" s="57"/>
      <c r="AO61" s="57"/>
      <c r="AP61" s="57"/>
      <c r="AQ61" s="57"/>
      <c r="AR61" s="57"/>
      <c r="AS61" s="58"/>
      <c r="AT61" s="57"/>
      <c r="AU61" s="61"/>
      <c r="AV61" s="61"/>
      <c r="AW61" s="57"/>
      <c r="AX61" s="57"/>
      <c r="AY61" s="57"/>
      <c r="AZ61" s="57"/>
      <c r="BA61" s="57"/>
      <c r="BB61" s="61"/>
      <c r="BC61" s="61"/>
      <c r="BD61" s="61"/>
      <c r="BE61" s="61"/>
      <c r="BF61" s="61"/>
      <c r="BG61" s="61"/>
      <c r="BH61" s="57"/>
      <c r="BI61" s="61"/>
      <c r="BJ61" s="61"/>
      <c r="BK61" s="57"/>
      <c r="BL61" s="61"/>
      <c r="BM61" s="57"/>
      <c r="BN61" s="61"/>
      <c r="BO61" s="57"/>
      <c r="BP61" s="58"/>
      <c r="BQ61" s="61"/>
      <c r="BR61" s="61"/>
      <c r="BS61" s="61"/>
      <c r="BT61" s="61"/>
      <c r="BU61" s="61"/>
      <c r="BV61" s="61"/>
      <c r="BW61" s="61"/>
      <c r="BX61" s="61"/>
      <c r="BY61" s="61"/>
      <c r="BZ61" s="61"/>
      <c r="CA61" s="61"/>
      <c r="CB61" s="57"/>
      <c r="CC61" s="61"/>
      <c r="CD61" s="61"/>
      <c r="CE61" s="61"/>
      <c r="CF61" s="57"/>
      <c r="CG61" s="61"/>
      <c r="CH61" s="61"/>
      <c r="CI61" s="61"/>
      <c r="CJ61" s="57"/>
      <c r="CK61" s="61"/>
      <c r="CL61" s="61"/>
      <c r="CM61" s="61"/>
      <c r="CN61" s="61"/>
      <c r="CO61" s="61"/>
      <c r="CP61" s="61"/>
      <c r="CQ61" s="61"/>
      <c r="CR61" s="61"/>
      <c r="CS61" s="61"/>
      <c r="CT61" s="61"/>
      <c r="CU61" s="61"/>
      <c r="CV61" s="61"/>
      <c r="CW61" s="61"/>
      <c r="CX61" s="61"/>
      <c r="CY61" s="61"/>
      <c r="CZ61" s="61"/>
      <c r="DA61" s="61"/>
      <c r="DB61" s="61"/>
      <c r="DC61" s="61"/>
      <c r="DD61" s="61"/>
      <c r="DE61" s="61"/>
      <c r="DF61" s="61"/>
      <c r="DG61" s="61"/>
      <c r="DH61" s="61"/>
      <c r="DI61" s="61"/>
      <c r="DJ61" s="61"/>
      <c r="DK61" s="61"/>
      <c r="DL61" s="61"/>
      <c r="DM61" s="61"/>
      <c r="DN61" s="61"/>
      <c r="DO61" s="61"/>
      <c r="DP61" s="61"/>
      <c r="DQ61" s="156"/>
      <c r="DR61" s="156"/>
      <c r="DS61" s="156"/>
      <c r="DT61" s="156"/>
      <c r="DU61" s="156"/>
      <c r="DV61" s="156"/>
      <c r="DW61" s="156"/>
      <c r="DX61" s="156"/>
      <c r="DY61" s="156"/>
      <c r="DZ61" s="59"/>
      <c r="EA61" s="59"/>
      <c r="EB61" s="59"/>
      <c r="EC61" s="59"/>
      <c r="ED61" s="59"/>
      <c r="EE61" s="59"/>
      <c r="EF61" s="59"/>
      <c r="EG61" s="59"/>
    </row>
    <row r="62" spans="1:138" s="10" customFormat="1" ht="15.9" customHeight="1" outlineLevel="1" x14ac:dyDescent="0.3">
      <c r="A62" s="7" t="s">
        <v>23</v>
      </c>
      <c r="B62" s="7" t="s">
        <v>23</v>
      </c>
      <c r="C62" s="8" t="s">
        <v>24</v>
      </c>
      <c r="D62" s="146">
        <v>37.82</v>
      </c>
      <c r="E62" s="7" t="s">
        <v>91</v>
      </c>
      <c r="F62" s="7" t="s">
        <v>149</v>
      </c>
      <c r="G62" s="9" t="s">
        <v>152</v>
      </c>
      <c r="H62" s="9"/>
      <c r="I62" s="204" cm="1">
        <f t="array" ref="I62">IFERROR(LOOKUP(2,1/(N62:GR62&lt;&gt;""),N$4:DRA$4),"")</f>
        <v>45147</v>
      </c>
      <c r="J62" s="218" cm="1">
        <f t="array" ref="J62">IFERROR(_xlfn.XLOOKUP(TRUE,N62:EH62&lt;&gt;"",N62:EH62,,,-1)," ")</f>
        <v>17.100000000000001</v>
      </c>
      <c r="K62" s="48">
        <v>17</v>
      </c>
      <c r="L62" s="48"/>
      <c r="M62" s="7" t="s">
        <v>151</v>
      </c>
      <c r="N62" s="57"/>
      <c r="O62" s="57"/>
      <c r="P62" s="57"/>
      <c r="Q62" s="57"/>
      <c r="R62" s="57"/>
      <c r="S62" s="57"/>
      <c r="T62" s="57"/>
      <c r="U62" s="57"/>
      <c r="V62" s="57"/>
      <c r="W62" s="57"/>
      <c r="X62" s="58"/>
      <c r="Y62" s="57"/>
      <c r="Z62" s="57">
        <v>17.100000000000001</v>
      </c>
      <c r="AA62" s="57"/>
      <c r="AB62" s="57"/>
      <c r="AC62" s="57"/>
      <c r="AD62" s="57"/>
      <c r="AE62" s="57"/>
      <c r="AF62" s="57"/>
      <c r="AG62" s="58"/>
      <c r="AH62" s="57"/>
      <c r="AI62" s="57"/>
      <c r="AJ62" s="57"/>
      <c r="AK62" s="57"/>
      <c r="AL62" s="57"/>
      <c r="AM62" s="57"/>
      <c r="AN62" s="57"/>
      <c r="AO62" s="57"/>
      <c r="AP62" s="57"/>
      <c r="AQ62" s="57"/>
      <c r="AR62" s="57"/>
      <c r="AS62" s="58"/>
      <c r="AT62" s="57"/>
      <c r="AU62" s="61"/>
      <c r="AV62" s="61"/>
      <c r="AW62" s="57"/>
      <c r="AX62" s="57"/>
      <c r="AY62" s="57"/>
      <c r="AZ62" s="57"/>
      <c r="BA62" s="57"/>
      <c r="BB62" s="61"/>
      <c r="BC62" s="61"/>
      <c r="BD62" s="61"/>
      <c r="BE62" s="61"/>
      <c r="BF62" s="61"/>
      <c r="BG62" s="61"/>
      <c r="BH62" s="57"/>
      <c r="BI62" s="61"/>
      <c r="BJ62" s="61"/>
      <c r="BK62" s="57"/>
      <c r="BL62" s="61"/>
      <c r="BM62" s="57"/>
      <c r="BN62" s="61"/>
      <c r="BO62" s="57"/>
      <c r="BP62" s="58"/>
      <c r="BQ62" s="61"/>
      <c r="BR62" s="61"/>
      <c r="BS62" s="61"/>
      <c r="BT62" s="61"/>
      <c r="BU62" s="61"/>
      <c r="BV62" s="61"/>
      <c r="BW62" s="61"/>
      <c r="BX62" s="61"/>
      <c r="BY62" s="61"/>
      <c r="BZ62" s="61"/>
      <c r="CA62" s="61"/>
      <c r="CB62" s="57"/>
      <c r="CC62" s="61"/>
      <c r="CD62" s="61"/>
      <c r="CE62" s="61"/>
      <c r="CF62" s="57"/>
      <c r="CG62" s="61"/>
      <c r="CH62" s="61"/>
      <c r="CI62" s="61"/>
      <c r="CJ62" s="57"/>
      <c r="CK62" s="61"/>
      <c r="CL62" s="61"/>
      <c r="CM62" s="61"/>
      <c r="CN62" s="61"/>
      <c r="CO62" s="61"/>
      <c r="CP62" s="61"/>
      <c r="CQ62" s="61"/>
      <c r="CR62" s="61"/>
      <c r="CS62" s="61"/>
      <c r="CT62" s="61"/>
      <c r="CU62" s="61"/>
      <c r="CV62" s="61"/>
      <c r="CW62" s="61"/>
      <c r="CX62" s="61"/>
      <c r="CY62" s="61"/>
      <c r="CZ62" s="61"/>
      <c r="DA62" s="61"/>
      <c r="DB62" s="61"/>
      <c r="DC62" s="61"/>
      <c r="DD62" s="61"/>
      <c r="DE62" s="61"/>
      <c r="DF62" s="61"/>
      <c r="DG62" s="61"/>
      <c r="DH62" s="61"/>
      <c r="DI62" s="61"/>
      <c r="DJ62" s="61"/>
      <c r="DK62" s="61"/>
      <c r="DL62" s="61"/>
      <c r="DM62" s="61"/>
      <c r="DN62" s="61"/>
      <c r="DO62" s="61"/>
      <c r="DP62" s="61"/>
      <c r="DQ62" s="156"/>
      <c r="DR62" s="156"/>
      <c r="DS62" s="156"/>
      <c r="DT62" s="156"/>
      <c r="DU62" s="156"/>
      <c r="DV62" s="156"/>
      <c r="DW62" s="156"/>
      <c r="DX62" s="156"/>
      <c r="DY62" s="156"/>
      <c r="DZ62" s="59"/>
      <c r="EA62" s="59"/>
      <c r="EB62" s="59"/>
      <c r="EC62" s="59"/>
      <c r="ED62" s="59"/>
      <c r="EE62" s="59"/>
      <c r="EF62" s="59"/>
      <c r="EG62" s="59"/>
    </row>
    <row r="63" spans="1:138" s="10" customFormat="1" ht="15.9" customHeight="1" outlineLevel="1" x14ac:dyDescent="0.3">
      <c r="A63" s="7" t="s">
        <v>23</v>
      </c>
      <c r="B63" s="7" t="s">
        <v>23</v>
      </c>
      <c r="C63" s="8" t="s">
        <v>24</v>
      </c>
      <c r="D63" s="146">
        <v>37.82</v>
      </c>
      <c r="E63" s="7" t="s">
        <v>91</v>
      </c>
      <c r="F63" s="7" t="s">
        <v>149</v>
      </c>
      <c r="G63" s="9" t="s">
        <v>153</v>
      </c>
      <c r="H63" s="9"/>
      <c r="I63" s="204" cm="1">
        <f t="array" ref="I63">IFERROR(LOOKUP(2,1/(N63:GR63&lt;&gt;""),N$4:DRA$4),"")</f>
        <v>45153</v>
      </c>
      <c r="J63" s="218" cm="1">
        <f t="array" ref="J63">IFERROR(_xlfn.XLOOKUP(TRUE,N63:EH63&lt;&gt;"",N63:EH63,,,-1)," ")</f>
        <v>18.899999999999999</v>
      </c>
      <c r="K63" s="48">
        <v>17</v>
      </c>
      <c r="L63" s="48"/>
      <c r="M63" s="7" t="s">
        <v>151</v>
      </c>
      <c r="N63" s="57"/>
      <c r="O63" s="57"/>
      <c r="P63" s="57"/>
      <c r="Q63" s="57"/>
      <c r="R63" s="57"/>
      <c r="S63" s="57"/>
      <c r="T63" s="57"/>
      <c r="U63" s="57"/>
      <c r="V63" s="57"/>
      <c r="W63" s="57"/>
      <c r="X63" s="58"/>
      <c r="Y63" s="57"/>
      <c r="Z63" s="57">
        <v>17</v>
      </c>
      <c r="AA63" s="57"/>
      <c r="AB63" s="57"/>
      <c r="AC63" s="57"/>
      <c r="AD63" s="57"/>
      <c r="AE63" s="57"/>
      <c r="AF63" s="57">
        <v>18.899999999999999</v>
      </c>
      <c r="AG63" s="58"/>
      <c r="AH63" s="57"/>
      <c r="AI63" s="57"/>
      <c r="AJ63" s="57"/>
      <c r="AK63" s="57"/>
      <c r="AL63" s="57"/>
      <c r="AM63" s="57"/>
      <c r="AN63" s="57"/>
      <c r="AO63" s="57"/>
      <c r="AP63" s="57"/>
      <c r="AQ63" s="57"/>
      <c r="AR63" s="57"/>
      <c r="AS63" s="58"/>
      <c r="AT63" s="57"/>
      <c r="AU63" s="61"/>
      <c r="AV63" s="61"/>
      <c r="AW63" s="57"/>
      <c r="AX63" s="57"/>
      <c r="AY63" s="57"/>
      <c r="AZ63" s="57"/>
      <c r="BA63" s="57"/>
      <c r="BB63" s="61"/>
      <c r="BC63" s="61"/>
      <c r="BD63" s="61"/>
      <c r="BE63" s="61"/>
      <c r="BF63" s="61"/>
      <c r="BG63" s="61"/>
      <c r="BH63" s="57"/>
      <c r="BI63" s="61"/>
      <c r="BJ63" s="61"/>
      <c r="BK63" s="57"/>
      <c r="BL63" s="61"/>
      <c r="BM63" s="57"/>
      <c r="BN63" s="61"/>
      <c r="BO63" s="57"/>
      <c r="BP63" s="58"/>
      <c r="BQ63" s="61"/>
      <c r="BR63" s="61"/>
      <c r="BS63" s="61"/>
      <c r="BT63" s="61"/>
      <c r="BU63" s="61"/>
      <c r="BV63" s="61"/>
      <c r="BW63" s="61"/>
      <c r="BX63" s="61"/>
      <c r="BY63" s="61"/>
      <c r="BZ63" s="61"/>
      <c r="CA63" s="61"/>
      <c r="CB63" s="57"/>
      <c r="CC63" s="61"/>
      <c r="CD63" s="61"/>
      <c r="CE63" s="61"/>
      <c r="CF63" s="57"/>
      <c r="CG63" s="61"/>
      <c r="CH63" s="61"/>
      <c r="CI63" s="61"/>
      <c r="CJ63" s="57"/>
      <c r="CK63" s="61"/>
      <c r="CL63" s="61"/>
      <c r="CM63" s="61"/>
      <c r="CN63" s="61"/>
      <c r="CO63" s="61"/>
      <c r="CP63" s="61"/>
      <c r="CQ63" s="61"/>
      <c r="CR63" s="61"/>
      <c r="CS63" s="61"/>
      <c r="CT63" s="61"/>
      <c r="CU63" s="61"/>
      <c r="CV63" s="61"/>
      <c r="CW63" s="61"/>
      <c r="CX63" s="61"/>
      <c r="CY63" s="61"/>
      <c r="CZ63" s="61"/>
      <c r="DA63" s="61"/>
      <c r="DB63" s="61"/>
      <c r="DC63" s="61"/>
      <c r="DD63" s="61"/>
      <c r="DE63" s="61"/>
      <c r="DF63" s="61"/>
      <c r="DG63" s="61"/>
      <c r="DH63" s="61"/>
      <c r="DI63" s="61"/>
      <c r="DJ63" s="61"/>
      <c r="DK63" s="61"/>
      <c r="DL63" s="61"/>
      <c r="DM63" s="61"/>
      <c r="DN63" s="61"/>
      <c r="DO63" s="61"/>
      <c r="DP63" s="61"/>
      <c r="DQ63" s="156"/>
      <c r="DR63" s="156"/>
      <c r="DS63" s="156"/>
      <c r="DT63" s="156"/>
      <c r="DU63" s="156"/>
      <c r="DV63" s="156"/>
      <c r="DW63" s="156"/>
      <c r="DX63" s="156"/>
      <c r="DY63" s="156"/>
      <c r="DZ63" s="59"/>
      <c r="EA63" s="59"/>
      <c r="EB63" s="59"/>
      <c r="EC63" s="59"/>
      <c r="ED63" s="59"/>
      <c r="EE63" s="59"/>
      <c r="EF63" s="59"/>
      <c r="EG63" s="59"/>
    </row>
    <row r="64" spans="1:138" s="10" customFormat="1" ht="15.9" customHeight="1" outlineLevel="1" x14ac:dyDescent="0.3">
      <c r="A64" s="7" t="s">
        <v>23</v>
      </c>
      <c r="B64" s="7" t="s">
        <v>23</v>
      </c>
      <c r="C64" s="8" t="s">
        <v>24</v>
      </c>
      <c r="D64" s="146">
        <v>37.82</v>
      </c>
      <c r="E64" s="7" t="s">
        <v>91</v>
      </c>
      <c r="F64" s="7" t="s">
        <v>149</v>
      </c>
      <c r="G64" s="9" t="s">
        <v>154</v>
      </c>
      <c r="H64" s="9"/>
      <c r="I64" s="204" cm="1">
        <f t="array" ref="I64">IFERROR(LOOKUP(2,1/(N64:GR64&lt;&gt;""),N$4:DRA$4),"")</f>
        <v>45171</v>
      </c>
      <c r="J64" s="169" cm="1">
        <f t="array" ref="J64">IFERROR(_xlfn.XLOOKUP(TRUE,N64:EH64&lt;&gt;"",N64:EH64,,,-1)," ")</f>
        <v>23.2</v>
      </c>
      <c r="K64" s="48">
        <v>17</v>
      </c>
      <c r="L64" s="48"/>
      <c r="M64" s="282" t="s">
        <v>151</v>
      </c>
      <c r="N64" s="57"/>
      <c r="O64" s="57"/>
      <c r="P64" s="57"/>
      <c r="Q64" s="57"/>
      <c r="R64" s="57"/>
      <c r="S64" s="57"/>
      <c r="T64" s="57"/>
      <c r="U64" s="57"/>
      <c r="V64" s="57"/>
      <c r="W64" s="57"/>
      <c r="X64" s="58"/>
      <c r="Y64" s="57"/>
      <c r="Z64" s="57">
        <v>16.399999999999999</v>
      </c>
      <c r="AA64" s="57"/>
      <c r="AB64" s="57"/>
      <c r="AC64" s="57"/>
      <c r="AD64" s="57"/>
      <c r="AE64" s="57"/>
      <c r="AF64" s="57">
        <v>18</v>
      </c>
      <c r="AG64" s="58"/>
      <c r="AH64" s="57"/>
      <c r="AI64" s="57"/>
      <c r="AJ64" s="57"/>
      <c r="AK64" s="57"/>
      <c r="AL64" s="57"/>
      <c r="AM64" s="57"/>
      <c r="AN64" s="57"/>
      <c r="AO64" s="57"/>
      <c r="AP64" s="57"/>
      <c r="AQ64" s="57"/>
      <c r="AR64" s="57"/>
      <c r="AS64" s="57">
        <v>22.2</v>
      </c>
      <c r="AT64" s="57"/>
      <c r="AU64" s="61"/>
      <c r="AV64" s="61"/>
      <c r="AW64" s="57"/>
      <c r="AX64" s="57">
        <v>23.2</v>
      </c>
      <c r="AY64" s="57"/>
      <c r="AZ64" s="57"/>
      <c r="BA64" s="57"/>
      <c r="BB64" s="61"/>
      <c r="BC64" s="61"/>
      <c r="BD64" s="61"/>
      <c r="BE64" s="61"/>
      <c r="BF64" s="61"/>
      <c r="BG64" s="61"/>
      <c r="BH64" s="57"/>
      <c r="BI64" s="61"/>
      <c r="BJ64" s="61"/>
      <c r="BK64" s="57"/>
      <c r="BL64" s="61"/>
      <c r="BM64" s="57"/>
      <c r="BN64" s="61"/>
      <c r="BO64" s="57"/>
      <c r="BP64" s="58"/>
      <c r="BQ64" s="61"/>
      <c r="BR64" s="61"/>
      <c r="BS64" s="61"/>
      <c r="BT64" s="61"/>
      <c r="BU64" s="61"/>
      <c r="BV64" s="61"/>
      <c r="BW64" s="61"/>
      <c r="BX64" s="61"/>
      <c r="BY64" s="61"/>
      <c r="BZ64" s="61"/>
      <c r="CA64" s="61"/>
      <c r="CB64" s="57"/>
      <c r="CC64" s="61"/>
      <c r="CD64" s="61"/>
      <c r="CE64" s="61"/>
      <c r="CF64" s="57"/>
      <c r="CG64" s="61"/>
      <c r="CH64" s="61"/>
      <c r="CI64" s="61"/>
      <c r="CJ64" s="57"/>
      <c r="CK64" s="61"/>
      <c r="CL64" s="61"/>
      <c r="CM64" s="61"/>
      <c r="CN64" s="61"/>
      <c r="CO64" s="61"/>
      <c r="CP64" s="61"/>
      <c r="CQ64" s="61"/>
      <c r="CR64" s="61"/>
      <c r="CS64" s="61"/>
      <c r="CT64" s="61"/>
      <c r="CU64" s="61"/>
      <c r="CV64" s="61"/>
      <c r="CW64" s="61"/>
      <c r="CX64" s="61"/>
      <c r="CY64" s="61"/>
      <c r="CZ64" s="61"/>
      <c r="DA64" s="61"/>
      <c r="DB64" s="61"/>
      <c r="DC64" s="61"/>
      <c r="DD64" s="61"/>
      <c r="DE64" s="61"/>
      <c r="DF64" s="61"/>
      <c r="DG64" s="61"/>
      <c r="DH64" s="61"/>
      <c r="DI64" s="61"/>
      <c r="DJ64" s="61"/>
      <c r="DK64" s="61"/>
      <c r="DL64" s="61"/>
      <c r="DM64" s="61"/>
      <c r="DN64" s="61"/>
      <c r="DO64" s="61"/>
      <c r="DP64" s="61"/>
      <c r="DQ64" s="156"/>
      <c r="DR64" s="156"/>
      <c r="DS64" s="156"/>
      <c r="DT64" s="156"/>
      <c r="DU64" s="156"/>
      <c r="DV64" s="156"/>
      <c r="DW64" s="156"/>
      <c r="DX64" s="156"/>
      <c r="DY64" s="156"/>
      <c r="DZ64" s="59"/>
      <c r="EA64" s="59"/>
      <c r="EB64" s="59"/>
      <c r="EC64" s="59"/>
      <c r="ED64" s="59"/>
      <c r="EE64" s="59"/>
      <c r="EF64" s="59"/>
      <c r="EG64" s="59"/>
    </row>
    <row r="65" spans="1:137" s="10" customFormat="1" ht="15.9" customHeight="1" outlineLevel="1" x14ac:dyDescent="0.3">
      <c r="A65" s="7" t="s">
        <v>23</v>
      </c>
      <c r="B65" s="7" t="s">
        <v>23</v>
      </c>
      <c r="C65" s="8" t="s">
        <v>24</v>
      </c>
      <c r="D65" s="146">
        <v>37.82</v>
      </c>
      <c r="E65" s="7" t="s">
        <v>91</v>
      </c>
      <c r="F65" s="7" t="s">
        <v>149</v>
      </c>
      <c r="G65" s="9" t="s">
        <v>155</v>
      </c>
      <c r="H65" s="9"/>
      <c r="I65" s="204" cm="1">
        <f t="array" ref="I65">IFERROR(LOOKUP(2,1/(N65:GR65&lt;&gt;""),N$4:DRA$4),"")</f>
        <v>45153</v>
      </c>
      <c r="J65" s="218" cm="1">
        <f t="array" ref="J65">IFERROR(_xlfn.XLOOKUP(TRUE,N65:EH65&lt;&gt;"",N65:EH65,,,-1)," ")</f>
        <v>18</v>
      </c>
      <c r="K65" s="48">
        <v>17</v>
      </c>
      <c r="L65" s="48"/>
      <c r="M65" s="7" t="s">
        <v>151</v>
      </c>
      <c r="N65" s="57">
        <v>12.2</v>
      </c>
      <c r="O65" s="57"/>
      <c r="P65" s="57"/>
      <c r="Q65" s="57"/>
      <c r="R65" s="57"/>
      <c r="S65" s="57">
        <v>14.8</v>
      </c>
      <c r="T65" s="57"/>
      <c r="U65" s="57"/>
      <c r="V65" s="57"/>
      <c r="W65" s="57"/>
      <c r="X65" s="58">
        <v>16.600000000000001</v>
      </c>
      <c r="Y65" s="57"/>
      <c r="Z65" s="57">
        <v>17</v>
      </c>
      <c r="AA65" s="57"/>
      <c r="AB65" s="57"/>
      <c r="AC65" s="57"/>
      <c r="AD65" s="57"/>
      <c r="AE65" s="57"/>
      <c r="AF65" s="57">
        <v>18</v>
      </c>
      <c r="AG65" s="58"/>
      <c r="AH65" s="57"/>
      <c r="AI65" s="57"/>
      <c r="AJ65" s="57"/>
      <c r="AK65" s="57"/>
      <c r="AL65" s="57"/>
      <c r="AM65" s="57"/>
      <c r="AN65" s="57"/>
      <c r="AO65" s="57"/>
      <c r="AP65" s="57"/>
      <c r="AQ65" s="57"/>
      <c r="AR65" s="57"/>
      <c r="AS65" s="58"/>
      <c r="AT65" s="57"/>
      <c r="AU65" s="61"/>
      <c r="AV65" s="61"/>
      <c r="AW65" s="57"/>
      <c r="AX65" s="57"/>
      <c r="AY65" s="57"/>
      <c r="AZ65" s="57"/>
      <c r="BA65" s="57"/>
      <c r="BB65" s="61"/>
      <c r="BC65" s="61"/>
      <c r="BD65" s="61"/>
      <c r="BE65" s="61"/>
      <c r="BF65" s="61"/>
      <c r="BG65" s="61"/>
      <c r="BH65" s="57"/>
      <c r="BI65" s="61"/>
      <c r="BJ65" s="61"/>
      <c r="BK65" s="57"/>
      <c r="BL65" s="61"/>
      <c r="BM65" s="57"/>
      <c r="BN65" s="61"/>
      <c r="BO65" s="57"/>
      <c r="BP65" s="58"/>
      <c r="BQ65" s="61"/>
      <c r="BR65" s="61"/>
      <c r="BS65" s="61"/>
      <c r="BT65" s="61"/>
      <c r="BU65" s="61"/>
      <c r="BV65" s="61"/>
      <c r="BW65" s="61"/>
      <c r="BX65" s="61"/>
      <c r="BY65" s="61"/>
      <c r="BZ65" s="61"/>
      <c r="CA65" s="61"/>
      <c r="CB65" s="57"/>
      <c r="CC65" s="61"/>
      <c r="CD65" s="61"/>
      <c r="CE65" s="61"/>
      <c r="CF65" s="57"/>
      <c r="CG65" s="61"/>
      <c r="CH65" s="61"/>
      <c r="CI65" s="61"/>
      <c r="CJ65" s="57"/>
      <c r="CK65" s="61"/>
      <c r="CL65" s="61"/>
      <c r="CM65" s="61"/>
      <c r="CN65" s="61"/>
      <c r="CO65" s="61"/>
      <c r="CP65" s="61"/>
      <c r="CQ65" s="61"/>
      <c r="CR65" s="61"/>
      <c r="CS65" s="61"/>
      <c r="CT65" s="61"/>
      <c r="CU65" s="61"/>
      <c r="CV65" s="61"/>
      <c r="CW65" s="61"/>
      <c r="CX65" s="61"/>
      <c r="CY65" s="61"/>
      <c r="CZ65" s="61"/>
      <c r="DA65" s="61"/>
      <c r="DB65" s="61"/>
      <c r="DC65" s="61"/>
      <c r="DD65" s="61"/>
      <c r="DE65" s="61"/>
      <c r="DF65" s="61"/>
      <c r="DG65" s="61"/>
      <c r="DH65" s="61"/>
      <c r="DI65" s="61"/>
      <c r="DJ65" s="61"/>
      <c r="DK65" s="61"/>
      <c r="DL65" s="61"/>
      <c r="DM65" s="61"/>
      <c r="DN65" s="61"/>
      <c r="DO65" s="61"/>
      <c r="DP65" s="61"/>
      <c r="DQ65" s="156"/>
      <c r="DR65" s="156"/>
      <c r="DS65" s="156"/>
      <c r="DT65" s="156"/>
      <c r="DU65" s="156"/>
      <c r="DV65" s="156"/>
      <c r="DW65" s="156"/>
      <c r="DX65" s="156"/>
      <c r="DY65" s="156"/>
      <c r="DZ65" s="59"/>
      <c r="EA65" s="59"/>
      <c r="EB65" s="59"/>
      <c r="EC65" s="59"/>
      <c r="ED65" s="59"/>
      <c r="EE65" s="59"/>
      <c r="EF65" s="59"/>
      <c r="EG65" s="59"/>
    </row>
    <row r="66" spans="1:137" s="5" customFormat="1" ht="15.9" customHeight="1" outlineLevel="1" x14ac:dyDescent="0.3">
      <c r="A66" s="6" t="s">
        <v>22</v>
      </c>
      <c r="B66" s="6"/>
      <c r="C66" s="50" t="s">
        <v>31</v>
      </c>
      <c r="D66" s="147">
        <v>12.58</v>
      </c>
      <c r="E66" s="6" t="s">
        <v>91</v>
      </c>
      <c r="F66" s="6" t="s">
        <v>156</v>
      </c>
      <c r="G66" s="11" t="s">
        <v>157</v>
      </c>
      <c r="H66" s="11"/>
      <c r="I66" s="205" cm="1">
        <f t="array" ref="I66">IFERROR(LOOKUP(2,1/(N66:GR66&lt;&gt;""),N$4:DRA$4),"")</f>
        <v>45196</v>
      </c>
      <c r="J66" s="170" cm="1">
        <f t="array" ref="J66">IFERROR(_xlfn.XLOOKUP(TRUE,N66:EH66&lt;&gt;"",N66:EH66,,,-1)," ")</f>
        <v>21.9</v>
      </c>
      <c r="K66" s="49">
        <v>23</v>
      </c>
      <c r="L66" s="49"/>
      <c r="M66" s="284" t="s">
        <v>158</v>
      </c>
      <c r="N66" s="62"/>
      <c r="O66" s="62"/>
      <c r="P66" s="62"/>
      <c r="Q66" s="62"/>
      <c r="R66" s="62"/>
      <c r="S66" s="62"/>
      <c r="T66" s="62">
        <v>12</v>
      </c>
      <c r="U66" s="62"/>
      <c r="V66" s="62"/>
      <c r="W66" s="62"/>
      <c r="X66" s="62"/>
      <c r="Y66" s="62"/>
      <c r="Z66" s="62"/>
      <c r="AA66" s="62"/>
      <c r="AB66" s="62"/>
      <c r="AC66" s="62">
        <v>14.6</v>
      </c>
      <c r="AD66" s="62"/>
      <c r="AE66" s="62"/>
      <c r="AF66" s="62"/>
      <c r="AG66" s="62"/>
      <c r="AH66" s="62"/>
      <c r="AI66" s="62"/>
      <c r="AJ66" s="62"/>
      <c r="AK66" s="62"/>
      <c r="AL66" s="62"/>
      <c r="AM66" s="62"/>
      <c r="AN66" s="62">
        <v>16.899999999999999</v>
      </c>
      <c r="AO66" s="62"/>
      <c r="AP66" s="62"/>
      <c r="AQ66" s="62"/>
      <c r="AR66" s="62"/>
      <c r="AS66" s="62"/>
      <c r="AT66" s="62"/>
      <c r="AU66" s="63"/>
      <c r="AV66" s="63">
        <v>19</v>
      </c>
      <c r="AW66" s="62"/>
      <c r="AX66" s="62"/>
      <c r="AY66" s="64"/>
      <c r="AZ66" s="62"/>
      <c r="BA66" s="62"/>
      <c r="BB66" s="63"/>
      <c r="BC66" s="63">
        <v>19.899999999999999</v>
      </c>
      <c r="BD66" s="62"/>
      <c r="BE66" s="62"/>
      <c r="BF66" s="63"/>
      <c r="BG66" s="63"/>
      <c r="BH66" s="62">
        <v>21.2</v>
      </c>
      <c r="BI66" s="63"/>
      <c r="BJ66" s="63"/>
      <c r="BK66" s="62"/>
      <c r="BL66" s="63"/>
      <c r="BM66" s="62"/>
      <c r="BN66" s="63"/>
      <c r="BO66" s="62">
        <v>23.3</v>
      </c>
      <c r="BP66" s="64"/>
      <c r="BQ66" s="63"/>
      <c r="BR66" s="63"/>
      <c r="BS66" s="63"/>
      <c r="BT66" s="63"/>
      <c r="BU66" s="63"/>
      <c r="BV66" s="63"/>
      <c r="BW66" s="63">
        <v>21.9</v>
      </c>
      <c r="BX66" s="63"/>
      <c r="BY66" s="63"/>
      <c r="BZ66" s="63"/>
      <c r="CA66" s="63"/>
      <c r="CB66" s="62"/>
      <c r="CC66" s="51"/>
      <c r="CD66" s="63"/>
      <c r="CE66" s="63"/>
      <c r="CF66" s="62"/>
      <c r="CG66" s="63"/>
      <c r="CH66" s="63"/>
      <c r="CI66" s="63"/>
      <c r="CJ66" s="62"/>
      <c r="CK66" s="63"/>
      <c r="CL66" s="63"/>
      <c r="CM66" s="63"/>
      <c r="CN66" s="63"/>
      <c r="CO66" s="63"/>
      <c r="CP66" s="63"/>
      <c r="CQ66" s="63"/>
      <c r="CR66" s="63"/>
      <c r="CS66" s="63"/>
      <c r="CT66" s="63"/>
      <c r="CU66" s="63"/>
      <c r="CV66" s="63"/>
      <c r="CW66" s="63"/>
      <c r="CX66" s="63"/>
      <c r="CY66" s="63"/>
      <c r="CZ66" s="63"/>
      <c r="DA66" s="63"/>
      <c r="DB66" s="63"/>
      <c r="DC66" s="63"/>
      <c r="DD66" s="63"/>
      <c r="DE66" s="63"/>
      <c r="DF66" s="63"/>
      <c r="DG66" s="63"/>
      <c r="DH66" s="63"/>
      <c r="DI66" s="63"/>
      <c r="DJ66" s="63"/>
      <c r="DK66" s="63"/>
      <c r="DL66" s="63"/>
      <c r="DM66" s="63"/>
      <c r="DN66" s="63"/>
      <c r="DO66" s="63"/>
      <c r="DP66" s="63"/>
      <c r="DQ66" s="158"/>
      <c r="DR66" s="158"/>
      <c r="DS66" s="158"/>
      <c r="DT66" s="158"/>
      <c r="DU66" s="158"/>
      <c r="DV66" s="158"/>
      <c r="DW66" s="158"/>
      <c r="DX66" s="158"/>
      <c r="DY66" s="158"/>
      <c r="DZ66" s="65"/>
      <c r="EA66" s="65"/>
      <c r="EB66" s="65"/>
      <c r="EC66" s="65"/>
      <c r="ED66" s="65"/>
      <c r="EE66" s="65"/>
      <c r="EF66" s="65"/>
      <c r="EG66" s="65"/>
    </row>
    <row r="67" spans="1:137" s="10" customFormat="1" ht="15.9" customHeight="1" outlineLevel="1" x14ac:dyDescent="0.3">
      <c r="A67" s="7" t="s">
        <v>23</v>
      </c>
      <c r="B67" s="7"/>
      <c r="C67" s="8" t="s">
        <v>31</v>
      </c>
      <c r="D67" s="146">
        <v>9.75</v>
      </c>
      <c r="E67" s="7" t="s">
        <v>91</v>
      </c>
      <c r="F67" s="7" t="s">
        <v>159</v>
      </c>
      <c r="G67" s="24" t="s">
        <v>160</v>
      </c>
      <c r="H67" s="9"/>
      <c r="I67" s="204" cm="1">
        <f t="array" ref="I67">IFERROR(LOOKUP(2,1/(N67:GR67&lt;&gt;""),N$4:DRA$4),"")</f>
        <v>45184</v>
      </c>
      <c r="J67" s="169" cm="1">
        <f t="array" ref="J67">IFERROR(_xlfn.XLOOKUP(TRUE,N67:EH67&lt;&gt;"",N67:EH67,,,-1)," ")</f>
        <v>24.4</v>
      </c>
      <c r="K67" s="45">
        <v>23</v>
      </c>
      <c r="L67" s="45"/>
      <c r="M67" s="286" t="s">
        <v>161</v>
      </c>
      <c r="N67" s="57"/>
      <c r="O67" s="57"/>
      <c r="P67" s="57"/>
      <c r="Q67" s="57"/>
      <c r="R67" s="57"/>
      <c r="S67" s="57"/>
      <c r="T67" s="57"/>
      <c r="U67" s="57"/>
      <c r="V67" s="57"/>
      <c r="W67" s="57"/>
      <c r="X67" s="57"/>
      <c r="Y67" s="57"/>
      <c r="Z67" s="57"/>
      <c r="AA67" s="57"/>
      <c r="AB67" s="57"/>
      <c r="AC67" s="57">
        <v>15.2</v>
      </c>
      <c r="AD67" s="57"/>
      <c r="AE67" s="57"/>
      <c r="AF67" s="57"/>
      <c r="AG67" s="57"/>
      <c r="AH67" s="57"/>
      <c r="AI67" s="57"/>
      <c r="AJ67" s="57"/>
      <c r="AK67" s="57"/>
      <c r="AL67" s="57"/>
      <c r="AM67" s="57"/>
      <c r="AN67" s="57">
        <v>18.100000000000001</v>
      </c>
      <c r="AO67" s="57"/>
      <c r="AP67" s="57"/>
      <c r="AQ67" s="57"/>
      <c r="AR67" s="57"/>
      <c r="AS67" s="57"/>
      <c r="AT67" s="57"/>
      <c r="AU67" s="61"/>
      <c r="AV67" s="61">
        <v>20.8</v>
      </c>
      <c r="AW67" s="57"/>
      <c r="AX67" s="57"/>
      <c r="AY67" s="57"/>
      <c r="AZ67" s="57"/>
      <c r="BA67" s="57"/>
      <c r="BB67" s="61"/>
      <c r="BC67" s="61">
        <v>21.1</v>
      </c>
      <c r="BD67" s="57"/>
      <c r="BE67" s="57"/>
      <c r="BF67" s="61"/>
      <c r="BG67" s="61"/>
      <c r="BH67" s="57"/>
      <c r="BI67" s="61"/>
      <c r="BJ67" s="61"/>
      <c r="BK67" s="57">
        <v>24.4</v>
      </c>
      <c r="BL67" s="61"/>
      <c r="BM67" s="57"/>
      <c r="BN67" s="61"/>
      <c r="BO67" s="57"/>
      <c r="BP67" s="58"/>
      <c r="BQ67" s="61"/>
      <c r="BR67" s="61"/>
      <c r="BS67" s="61"/>
      <c r="BT67" s="61"/>
      <c r="BU67" s="61"/>
      <c r="BV67" s="61"/>
      <c r="BW67" s="61"/>
      <c r="BX67" s="61"/>
      <c r="BY67" s="61"/>
      <c r="BZ67" s="61"/>
      <c r="CA67" s="61"/>
      <c r="CB67" s="57"/>
      <c r="CC67" s="27"/>
      <c r="CD67" s="61"/>
      <c r="CE67" s="61"/>
      <c r="CF67" s="57"/>
      <c r="CG67" s="61"/>
      <c r="CH67" s="61"/>
      <c r="CI67" s="61"/>
      <c r="CJ67" s="57"/>
      <c r="CK67" s="61"/>
      <c r="CL67" s="61"/>
      <c r="CM67" s="61"/>
      <c r="CN67" s="61"/>
      <c r="CO67" s="61"/>
      <c r="CP67" s="61"/>
      <c r="CQ67" s="61"/>
      <c r="CR67" s="61"/>
      <c r="CS67" s="61"/>
      <c r="CT67" s="61"/>
      <c r="CU67" s="61"/>
      <c r="CV67" s="61"/>
      <c r="CW67" s="61"/>
      <c r="CX67" s="61"/>
      <c r="CY67" s="61"/>
      <c r="CZ67" s="61"/>
      <c r="DA67" s="61"/>
      <c r="DB67" s="61"/>
      <c r="DC67" s="61"/>
      <c r="DD67" s="61"/>
      <c r="DE67" s="61"/>
      <c r="DF67" s="61"/>
      <c r="DG67" s="61"/>
      <c r="DH67" s="61"/>
      <c r="DI67" s="61"/>
      <c r="DJ67" s="61"/>
      <c r="DK67" s="61"/>
      <c r="DL67" s="61"/>
      <c r="DM67" s="61"/>
      <c r="DN67" s="61"/>
      <c r="DO67" s="61"/>
      <c r="DP67" s="61"/>
      <c r="DQ67" s="156"/>
      <c r="DR67" s="156"/>
      <c r="DS67" s="156"/>
      <c r="DT67" s="156"/>
      <c r="DU67" s="156"/>
      <c r="DV67" s="156"/>
      <c r="DW67" s="156"/>
      <c r="DX67" s="156"/>
      <c r="DY67" s="156"/>
      <c r="DZ67" s="65"/>
      <c r="EA67" s="65"/>
      <c r="EB67" s="65"/>
      <c r="EC67" s="65"/>
      <c r="ED67" s="65"/>
      <c r="EE67" s="65"/>
      <c r="EF67" s="65"/>
      <c r="EG67" s="65"/>
    </row>
    <row r="68" spans="1:137" s="5" customFormat="1" ht="15.9" customHeight="1" outlineLevel="1" x14ac:dyDescent="0.3">
      <c r="A68" s="6" t="s">
        <v>23</v>
      </c>
      <c r="B68" s="6"/>
      <c r="C68" s="50" t="s">
        <v>44</v>
      </c>
      <c r="D68" s="147">
        <v>41.7</v>
      </c>
      <c r="E68" s="6" t="s">
        <v>91</v>
      </c>
      <c r="F68" s="6" t="s">
        <v>162</v>
      </c>
      <c r="G68" s="11" t="s">
        <v>163</v>
      </c>
      <c r="H68" s="11" t="s">
        <v>22</v>
      </c>
      <c r="I68" s="205" cm="1">
        <f t="array" ref="I68">IFERROR(LOOKUP(2,1/(N68:GR68&lt;&gt;""),N$4:DRA$4),"")</f>
        <v>45197</v>
      </c>
      <c r="J68" s="170" cm="1">
        <f t="array" ref="J68">IFERROR(_xlfn.XLOOKUP(TRUE,N68:EH68&lt;&gt;"",N68:EH68,,,-1)," ")</f>
        <v>22</v>
      </c>
      <c r="K68" s="49">
        <v>21.5</v>
      </c>
      <c r="L68" s="49"/>
      <c r="M68" s="284" t="s">
        <v>164</v>
      </c>
      <c r="N68" s="62"/>
      <c r="O68" s="108"/>
      <c r="P68" s="62"/>
      <c r="Q68" s="62"/>
      <c r="R68" s="62"/>
      <c r="S68" s="62"/>
      <c r="T68" s="62"/>
      <c r="U68" s="62">
        <v>10</v>
      </c>
      <c r="V68" s="62"/>
      <c r="W68" s="62"/>
      <c r="X68" s="62"/>
      <c r="Y68" s="108"/>
      <c r="Z68" s="171">
        <v>15.5</v>
      </c>
      <c r="AA68" s="62"/>
      <c r="AB68" s="62"/>
      <c r="AC68" s="62"/>
      <c r="AD68" s="62"/>
      <c r="AE68" s="62"/>
      <c r="AF68" s="62"/>
      <c r="AG68" s="62"/>
      <c r="AH68" s="62"/>
      <c r="AI68" s="62"/>
      <c r="AJ68" s="62"/>
      <c r="AK68" s="109"/>
      <c r="AL68" s="62"/>
      <c r="AM68" s="62"/>
      <c r="AN68" s="62"/>
      <c r="AO68" s="62"/>
      <c r="AP68" s="171">
        <v>16</v>
      </c>
      <c r="AQ68" s="62"/>
      <c r="AR68" s="62"/>
      <c r="AS68" s="62"/>
      <c r="AT68" s="62"/>
      <c r="AU68" s="63"/>
      <c r="AV68" s="63"/>
      <c r="AW68" s="62"/>
      <c r="AX68" s="62"/>
      <c r="AY68" s="62"/>
      <c r="AZ68" s="62"/>
      <c r="BA68" s="171">
        <v>18</v>
      </c>
      <c r="BB68" s="63"/>
      <c r="BC68" s="63"/>
      <c r="BD68" s="62"/>
      <c r="BE68" s="62"/>
      <c r="BF68" s="63"/>
      <c r="BG68" s="318">
        <v>20</v>
      </c>
      <c r="BH68" s="62"/>
      <c r="BI68" s="63">
        <v>19.600000000000001</v>
      </c>
      <c r="BJ68" s="63"/>
      <c r="BK68" s="62"/>
      <c r="BL68" s="63"/>
      <c r="BM68" s="62"/>
      <c r="BN68" s="63"/>
      <c r="BO68" s="62"/>
      <c r="BP68" s="64"/>
      <c r="BQ68" s="63"/>
      <c r="BR68" s="63"/>
      <c r="BS68" s="63"/>
      <c r="BT68" s="63"/>
      <c r="BU68" s="63"/>
      <c r="BV68" s="63"/>
      <c r="BW68" s="63"/>
      <c r="BX68" s="63">
        <v>22</v>
      </c>
      <c r="BY68" s="63"/>
      <c r="BZ68" s="63"/>
      <c r="CA68" s="63"/>
      <c r="CB68" s="62"/>
      <c r="CC68" s="51"/>
      <c r="CD68" s="63"/>
      <c r="CE68" s="63"/>
      <c r="CF68" s="62"/>
      <c r="CG68" s="63"/>
      <c r="CH68" s="63"/>
      <c r="CI68" s="63"/>
      <c r="CJ68" s="62"/>
      <c r="CK68" s="63"/>
      <c r="CL68" s="63"/>
      <c r="CM68" s="63"/>
      <c r="CN68" s="63"/>
      <c r="CO68" s="63"/>
      <c r="CP68" s="63"/>
      <c r="CQ68" s="63"/>
      <c r="CR68" s="63"/>
      <c r="CS68" s="63"/>
      <c r="CT68" s="63"/>
      <c r="CU68" s="63"/>
      <c r="CV68" s="63"/>
      <c r="CW68" s="63"/>
      <c r="CX68" s="63"/>
      <c r="CY68" s="63"/>
      <c r="CZ68" s="63"/>
      <c r="DA68" s="63"/>
      <c r="DB68" s="63"/>
      <c r="DC68" s="63"/>
      <c r="DD68" s="63"/>
      <c r="DE68" s="63"/>
      <c r="DF68" s="63"/>
      <c r="DG68" s="63"/>
      <c r="DH68" s="63"/>
      <c r="DI68" s="63"/>
      <c r="DJ68" s="63"/>
      <c r="DK68" s="63"/>
      <c r="DL68" s="63"/>
      <c r="DM68" s="63"/>
      <c r="DN68" s="63"/>
      <c r="DO68" s="63"/>
      <c r="DP68" s="63"/>
      <c r="DQ68" s="158"/>
      <c r="DR68" s="158"/>
      <c r="DS68" s="158"/>
      <c r="DT68" s="158"/>
      <c r="DU68" s="158"/>
      <c r="DV68" s="158"/>
      <c r="DW68" s="158"/>
      <c r="DX68" s="158"/>
      <c r="DY68" s="158"/>
      <c r="DZ68" s="59"/>
      <c r="EA68" s="59"/>
      <c r="EB68" s="59"/>
      <c r="EC68" s="59"/>
      <c r="ED68" s="59"/>
      <c r="EE68" s="59"/>
      <c r="EF68" s="59"/>
      <c r="EG68" s="59"/>
    </row>
    <row r="69" spans="1:137" s="5" customFormat="1" ht="15.9" customHeight="1" outlineLevel="1" x14ac:dyDescent="0.3">
      <c r="A69" s="6" t="s">
        <v>22</v>
      </c>
      <c r="B69" s="6"/>
      <c r="C69" s="50" t="s">
        <v>44</v>
      </c>
      <c r="D69" s="147"/>
      <c r="E69" s="6" t="s">
        <v>91</v>
      </c>
      <c r="F69" s="6" t="s">
        <v>162</v>
      </c>
      <c r="G69" s="11" t="s">
        <v>165</v>
      </c>
      <c r="H69" s="11"/>
      <c r="I69" s="205" cm="1">
        <f t="array" ref="I69">IFERROR(LOOKUP(2,1/(N69:GR69&lt;&gt;""),N$4:DRA$4),"")</f>
        <v>45162</v>
      </c>
      <c r="J69" s="170" cm="1">
        <f t="array" ref="J69">IFERROR(_xlfn.XLOOKUP(TRUE,N69:EH69&lt;&gt;"",N69:EH69,,,-1)," ")</f>
        <v>15.8</v>
      </c>
      <c r="K69" s="49">
        <v>21.5</v>
      </c>
      <c r="L69" s="49"/>
      <c r="M69" s="284" t="s">
        <v>164</v>
      </c>
      <c r="N69" s="62"/>
      <c r="O69" s="62"/>
      <c r="P69" s="62"/>
      <c r="Q69" s="62"/>
      <c r="R69" s="62"/>
      <c r="S69" s="62"/>
      <c r="T69" s="62"/>
      <c r="U69" s="62"/>
      <c r="V69" s="62"/>
      <c r="W69" s="62"/>
      <c r="X69" s="62"/>
      <c r="Y69" s="62"/>
      <c r="Z69" s="62"/>
      <c r="AA69" s="62"/>
      <c r="AB69" s="62"/>
      <c r="AC69" s="62"/>
      <c r="AD69" s="62"/>
      <c r="AE69" s="62">
        <v>14</v>
      </c>
      <c r="AF69" s="62"/>
      <c r="AG69" s="62"/>
      <c r="AH69" s="62"/>
      <c r="AI69" s="62"/>
      <c r="AJ69" s="62"/>
      <c r="AK69" s="62"/>
      <c r="AL69" s="62"/>
      <c r="AM69" s="62"/>
      <c r="AN69" s="62"/>
      <c r="AO69" s="62">
        <v>15.8</v>
      </c>
      <c r="AP69" s="62"/>
      <c r="AQ69" s="62"/>
      <c r="AR69" s="62"/>
      <c r="AS69" s="62"/>
      <c r="AT69" s="62"/>
      <c r="AU69" s="63"/>
      <c r="AV69" s="63"/>
      <c r="AW69" s="62"/>
      <c r="AX69" s="62"/>
      <c r="AY69" s="62"/>
      <c r="AZ69" s="62"/>
      <c r="BA69" s="62"/>
      <c r="BB69" s="63"/>
      <c r="BC69" s="63"/>
      <c r="BD69" s="62"/>
      <c r="BE69" s="62"/>
      <c r="BF69" s="63"/>
      <c r="BG69" s="63"/>
      <c r="BH69" s="62"/>
      <c r="BI69" s="63"/>
      <c r="BJ69" s="63"/>
      <c r="BK69" s="62"/>
      <c r="BL69" s="63"/>
      <c r="BM69" s="62"/>
      <c r="BN69" s="63"/>
      <c r="BO69" s="62"/>
      <c r="BP69" s="64"/>
      <c r="BQ69" s="63"/>
      <c r="BR69" s="63"/>
      <c r="BS69" s="63"/>
      <c r="BT69" s="63"/>
      <c r="BU69" s="63"/>
      <c r="BV69" s="63"/>
      <c r="BW69" s="63"/>
      <c r="BX69" s="63"/>
      <c r="BY69" s="63"/>
      <c r="BZ69" s="63"/>
      <c r="CA69" s="63"/>
      <c r="CB69" s="62"/>
      <c r="CC69" s="51"/>
      <c r="CD69" s="63"/>
      <c r="CE69" s="63"/>
      <c r="CF69" s="62"/>
      <c r="CG69" s="63"/>
      <c r="CH69" s="63"/>
      <c r="CI69" s="63"/>
      <c r="CJ69" s="62"/>
      <c r="CK69" s="63"/>
      <c r="CL69" s="63"/>
      <c r="CM69" s="63"/>
      <c r="CN69" s="63"/>
      <c r="CO69" s="63"/>
      <c r="CP69" s="63"/>
      <c r="CQ69" s="63"/>
      <c r="CR69" s="63"/>
      <c r="CS69" s="63"/>
      <c r="CT69" s="63"/>
      <c r="CU69" s="63"/>
      <c r="CV69" s="63"/>
      <c r="CW69" s="63"/>
      <c r="CX69" s="63"/>
      <c r="CY69" s="63"/>
      <c r="CZ69" s="63"/>
      <c r="DA69" s="63"/>
      <c r="DB69" s="63"/>
      <c r="DC69" s="63"/>
      <c r="DD69" s="63"/>
      <c r="DE69" s="63"/>
      <c r="DF69" s="63"/>
      <c r="DG69" s="63"/>
      <c r="DH69" s="63"/>
      <c r="DI69" s="63"/>
      <c r="DJ69" s="63"/>
      <c r="DK69" s="63"/>
      <c r="DL69" s="63"/>
      <c r="DM69" s="63"/>
      <c r="DN69" s="63"/>
      <c r="DO69" s="63"/>
      <c r="DP69" s="63"/>
      <c r="DQ69" s="158"/>
      <c r="DR69" s="158"/>
      <c r="DS69" s="158"/>
      <c r="DT69" s="158"/>
      <c r="DU69" s="158"/>
      <c r="DV69" s="158"/>
      <c r="DW69" s="158"/>
      <c r="DX69" s="158"/>
      <c r="DY69" s="158"/>
      <c r="DZ69" s="59"/>
      <c r="EA69" s="59"/>
      <c r="EB69" s="59"/>
      <c r="EC69" s="59"/>
      <c r="ED69" s="59"/>
      <c r="EE69" s="59"/>
      <c r="EF69" s="59"/>
      <c r="EG69" s="59"/>
    </row>
    <row r="70" spans="1:137" s="5" customFormat="1" ht="15.9" customHeight="1" outlineLevel="1" x14ac:dyDescent="0.3">
      <c r="A70" s="6" t="s">
        <v>22</v>
      </c>
      <c r="B70" s="6"/>
      <c r="C70" s="50" t="s">
        <v>44</v>
      </c>
      <c r="D70" s="147"/>
      <c r="E70" s="6" t="s">
        <v>91</v>
      </c>
      <c r="F70" s="6" t="s">
        <v>162</v>
      </c>
      <c r="G70" s="11" t="s">
        <v>166</v>
      </c>
      <c r="H70" s="11"/>
      <c r="I70" s="205" cm="1">
        <f t="array" ref="I70">IFERROR(LOOKUP(2,1/(N70:GR70&lt;&gt;""),N$4:DRA$4),"")</f>
        <v>45162</v>
      </c>
      <c r="J70" s="170" cm="1">
        <f t="array" ref="J70">IFERROR(_xlfn.XLOOKUP(TRUE,N70:EH70&lt;&gt;"",N70:EH70,,,-1)," ")</f>
        <v>15.9</v>
      </c>
      <c r="K70" s="49">
        <v>21.5</v>
      </c>
      <c r="L70" s="49"/>
      <c r="M70" s="284" t="s">
        <v>164</v>
      </c>
      <c r="N70" s="62"/>
      <c r="O70" s="62"/>
      <c r="P70" s="62"/>
      <c r="Q70" s="62"/>
      <c r="R70" s="62"/>
      <c r="S70" s="62"/>
      <c r="T70" s="62"/>
      <c r="U70" s="62"/>
      <c r="V70" s="62"/>
      <c r="W70" s="62"/>
      <c r="X70" s="62"/>
      <c r="Y70" s="62"/>
      <c r="Z70" s="62"/>
      <c r="AA70" s="62"/>
      <c r="AB70" s="62"/>
      <c r="AC70" s="62"/>
      <c r="AD70" s="62"/>
      <c r="AE70" s="62">
        <v>13.8</v>
      </c>
      <c r="AF70" s="62"/>
      <c r="AG70" s="62"/>
      <c r="AH70" s="62"/>
      <c r="AI70" s="62"/>
      <c r="AJ70" s="62"/>
      <c r="AK70" s="62"/>
      <c r="AL70" s="62"/>
      <c r="AM70" s="62"/>
      <c r="AN70" s="62"/>
      <c r="AO70" s="62">
        <v>15.9</v>
      </c>
      <c r="AP70" s="62"/>
      <c r="AQ70" s="62"/>
      <c r="AR70" s="62"/>
      <c r="AS70" s="62"/>
      <c r="AT70" s="62"/>
      <c r="AU70" s="63"/>
      <c r="AV70" s="63"/>
      <c r="AW70" s="62"/>
      <c r="AX70" s="62"/>
      <c r="AY70" s="62"/>
      <c r="AZ70" s="62"/>
      <c r="BA70" s="62"/>
      <c r="BB70" s="63"/>
      <c r="BC70" s="63"/>
      <c r="BD70" s="62"/>
      <c r="BE70" s="62"/>
      <c r="BF70" s="63"/>
      <c r="BG70" s="63"/>
      <c r="BH70" s="62"/>
      <c r="BI70" s="63"/>
      <c r="BJ70" s="63"/>
      <c r="BK70" s="62"/>
      <c r="BL70" s="63"/>
      <c r="BM70" s="62"/>
      <c r="BN70" s="63"/>
      <c r="BO70" s="62"/>
      <c r="BP70" s="64"/>
      <c r="BQ70" s="63"/>
      <c r="BR70" s="63"/>
      <c r="BS70" s="63"/>
      <c r="BT70" s="63"/>
      <c r="BU70" s="63"/>
      <c r="BV70" s="63"/>
      <c r="BW70" s="63"/>
      <c r="BX70" s="63"/>
      <c r="BY70" s="63"/>
      <c r="BZ70" s="63"/>
      <c r="CA70" s="63"/>
      <c r="CB70" s="62"/>
      <c r="CC70" s="51"/>
      <c r="CD70" s="63"/>
      <c r="CE70" s="63"/>
      <c r="CF70" s="62"/>
      <c r="CG70" s="63"/>
      <c r="CH70" s="63"/>
      <c r="CI70" s="63"/>
      <c r="CJ70" s="62"/>
      <c r="CK70" s="63"/>
      <c r="CL70" s="63"/>
      <c r="CM70" s="63"/>
      <c r="CN70" s="63"/>
      <c r="CO70" s="63"/>
      <c r="CP70" s="63"/>
      <c r="CQ70" s="63"/>
      <c r="CR70" s="63"/>
      <c r="CS70" s="63"/>
      <c r="CT70" s="63"/>
      <c r="CU70" s="63"/>
      <c r="CV70" s="63"/>
      <c r="CW70" s="63"/>
      <c r="CX70" s="63"/>
      <c r="CY70" s="63"/>
      <c r="CZ70" s="63"/>
      <c r="DA70" s="63"/>
      <c r="DB70" s="63"/>
      <c r="DC70" s="63"/>
      <c r="DD70" s="63"/>
      <c r="DE70" s="63"/>
      <c r="DF70" s="63"/>
      <c r="DG70" s="63"/>
      <c r="DH70" s="63"/>
      <c r="DI70" s="63"/>
      <c r="DJ70" s="63"/>
      <c r="DK70" s="63"/>
      <c r="DL70" s="63"/>
      <c r="DM70" s="63"/>
      <c r="DN70" s="63"/>
      <c r="DO70" s="63"/>
      <c r="DP70" s="63"/>
      <c r="DQ70" s="158"/>
      <c r="DR70" s="158"/>
      <c r="DS70" s="158"/>
      <c r="DT70" s="158"/>
      <c r="DU70" s="158"/>
      <c r="DV70" s="158"/>
      <c r="DW70" s="158"/>
      <c r="DX70" s="158"/>
      <c r="DY70" s="158"/>
      <c r="DZ70" s="65"/>
      <c r="EA70" s="65"/>
      <c r="EB70" s="65"/>
      <c r="EC70" s="65"/>
      <c r="ED70" s="65"/>
      <c r="EE70" s="65"/>
      <c r="EF70" s="65"/>
      <c r="EG70" s="65"/>
    </row>
    <row r="71" spans="1:137" s="5" customFormat="1" ht="15.9" customHeight="1" outlineLevel="1" x14ac:dyDescent="0.3">
      <c r="A71" s="6" t="s">
        <v>22</v>
      </c>
      <c r="B71" s="6"/>
      <c r="C71" s="50" t="s">
        <v>44</v>
      </c>
      <c r="D71" s="147"/>
      <c r="E71" s="6" t="s">
        <v>91</v>
      </c>
      <c r="F71" s="6" t="s">
        <v>162</v>
      </c>
      <c r="G71" s="11" t="s">
        <v>167</v>
      </c>
      <c r="H71" s="11"/>
      <c r="I71" s="205" t="str" cm="1">
        <f t="array" ref="I71">IFERROR(LOOKUP(2,1/(N71:GR71&lt;&gt;""),N$4:DRA$4),"")</f>
        <v/>
      </c>
      <c r="J71" s="170" t="str" cm="1">
        <f t="array" ref="J71">IFERROR(_xlfn.XLOOKUP(TRUE,N71:EH71&lt;&gt;"",N71:EH71,,,-1)," ")</f>
        <v xml:space="preserve"> </v>
      </c>
      <c r="K71" s="49">
        <v>21.5</v>
      </c>
      <c r="L71" s="49"/>
      <c r="M71" s="284" t="s">
        <v>164</v>
      </c>
      <c r="N71" s="62"/>
      <c r="O71" s="62"/>
      <c r="P71" s="62"/>
      <c r="Q71" s="62"/>
      <c r="R71" s="62"/>
      <c r="S71" s="62"/>
      <c r="T71" s="62"/>
      <c r="U71" s="62"/>
      <c r="V71" s="62"/>
      <c r="W71" s="62"/>
      <c r="X71" s="62"/>
      <c r="Y71" s="62"/>
      <c r="Z71" s="62"/>
      <c r="AA71" s="62"/>
      <c r="AB71" s="62"/>
      <c r="AC71" s="62"/>
      <c r="AD71" s="62"/>
      <c r="AE71" s="62"/>
      <c r="AF71" s="62"/>
      <c r="AG71" s="62"/>
      <c r="AH71" s="62"/>
      <c r="AI71" s="62"/>
      <c r="AJ71" s="62"/>
      <c r="AK71" s="62"/>
      <c r="AL71" s="62"/>
      <c r="AM71" s="62"/>
      <c r="AN71" s="62"/>
      <c r="AO71" s="62"/>
      <c r="AP71" s="62"/>
      <c r="AQ71" s="62"/>
      <c r="AR71" s="62"/>
      <c r="AS71" s="62"/>
      <c r="AT71" s="62"/>
      <c r="AU71" s="63"/>
      <c r="AV71" s="63"/>
      <c r="AW71" s="62"/>
      <c r="AX71" s="62"/>
      <c r="AY71" s="62"/>
      <c r="AZ71" s="62"/>
      <c r="BA71" s="62"/>
      <c r="BB71" s="63"/>
      <c r="BC71" s="63"/>
      <c r="BD71" s="62"/>
      <c r="BE71" s="62"/>
      <c r="BF71" s="63"/>
      <c r="BG71" s="63"/>
      <c r="BH71" s="62"/>
      <c r="BI71" s="63"/>
      <c r="BJ71" s="63"/>
      <c r="BK71" s="62"/>
      <c r="BL71" s="63"/>
      <c r="BM71" s="62"/>
      <c r="BN71" s="63"/>
      <c r="BO71" s="62"/>
      <c r="BP71" s="64"/>
      <c r="BQ71" s="63"/>
      <c r="BR71" s="63"/>
      <c r="BS71" s="63"/>
      <c r="BT71" s="63"/>
      <c r="BU71" s="63"/>
      <c r="BV71" s="63"/>
      <c r="BW71" s="63"/>
      <c r="BX71" s="63"/>
      <c r="BY71" s="63"/>
      <c r="BZ71" s="63"/>
      <c r="CA71" s="63"/>
      <c r="CB71" s="62"/>
      <c r="CC71" s="51"/>
      <c r="CD71" s="63"/>
      <c r="CE71" s="63"/>
      <c r="CF71" s="62"/>
      <c r="CG71" s="63"/>
      <c r="CH71" s="63"/>
      <c r="CI71" s="63"/>
      <c r="CJ71" s="62"/>
      <c r="CK71" s="63"/>
      <c r="CL71" s="63"/>
      <c r="CM71" s="63"/>
      <c r="CN71" s="63"/>
      <c r="CO71" s="63"/>
      <c r="CP71" s="63"/>
      <c r="CQ71" s="63"/>
      <c r="CR71" s="63"/>
      <c r="CS71" s="63"/>
      <c r="CT71" s="63"/>
      <c r="CU71" s="63"/>
      <c r="CV71" s="63"/>
      <c r="CW71" s="63"/>
      <c r="CX71" s="63"/>
      <c r="CY71" s="63"/>
      <c r="CZ71" s="63"/>
      <c r="DA71" s="63"/>
      <c r="DB71" s="63"/>
      <c r="DC71" s="63"/>
      <c r="DD71" s="63"/>
      <c r="DE71" s="63"/>
      <c r="DF71" s="63"/>
      <c r="DG71" s="63"/>
      <c r="DH71" s="63"/>
      <c r="DI71" s="63"/>
      <c r="DJ71" s="63"/>
      <c r="DK71" s="63"/>
      <c r="DL71" s="63"/>
      <c r="DM71" s="63"/>
      <c r="DN71" s="63"/>
      <c r="DO71" s="63"/>
      <c r="DP71" s="63"/>
      <c r="DQ71" s="158"/>
      <c r="DR71" s="158"/>
      <c r="DS71" s="158"/>
      <c r="DT71" s="158"/>
      <c r="DU71" s="158"/>
      <c r="DV71" s="158"/>
      <c r="DW71" s="158"/>
      <c r="DX71" s="158"/>
      <c r="DY71" s="158"/>
      <c r="DZ71" s="59"/>
      <c r="EA71" s="59"/>
      <c r="EB71" s="59"/>
      <c r="EC71" s="59"/>
      <c r="ED71" s="59"/>
      <c r="EE71" s="59"/>
      <c r="EF71" s="59"/>
      <c r="EG71" s="59"/>
    </row>
    <row r="72" spans="1:137" s="10" customFormat="1" ht="15.9" customHeight="1" outlineLevel="1" x14ac:dyDescent="0.3">
      <c r="A72" s="7" t="s">
        <v>22</v>
      </c>
      <c r="B72" s="7"/>
      <c r="C72" s="8" t="s">
        <v>44</v>
      </c>
      <c r="D72" s="146">
        <v>52.56</v>
      </c>
      <c r="E72" s="7" t="s">
        <v>91</v>
      </c>
      <c r="F72" s="7" t="s">
        <v>168</v>
      </c>
      <c r="G72" s="9" t="s">
        <v>169</v>
      </c>
      <c r="H72" s="9"/>
      <c r="I72" s="204" cm="1">
        <f t="array" ref="I72">IFERROR(LOOKUP(2,1/(N72:GR72&lt;&gt;""),N$4:DRA$4),"")</f>
        <v>45194</v>
      </c>
      <c r="J72" s="169" cm="1">
        <f t="array" ref="J72">IFERROR(_xlfn.XLOOKUP(TRUE,N72:EH72&lt;&gt;"",N72:EH72,,,-1)," ")</f>
        <v>23.6</v>
      </c>
      <c r="K72" s="45">
        <v>22</v>
      </c>
      <c r="L72" s="45"/>
      <c r="M72" s="282" t="s">
        <v>170</v>
      </c>
      <c r="N72" s="57"/>
      <c r="O72" s="70"/>
      <c r="P72" s="57"/>
      <c r="Q72" s="57"/>
      <c r="R72" s="57"/>
      <c r="S72" s="57"/>
      <c r="T72" s="57"/>
      <c r="U72" s="57">
        <v>11.6</v>
      </c>
      <c r="V72" s="57"/>
      <c r="W72" s="57"/>
      <c r="X72" s="57"/>
      <c r="Y72" s="70"/>
      <c r="Z72" s="57"/>
      <c r="AA72" s="57"/>
      <c r="AB72" s="57"/>
      <c r="AC72" s="57"/>
      <c r="AD72" s="57"/>
      <c r="AE72" s="57">
        <v>15.2</v>
      </c>
      <c r="AF72" s="57"/>
      <c r="AG72" s="57"/>
      <c r="AH72" s="57"/>
      <c r="AI72" s="74"/>
      <c r="AJ72" s="57"/>
      <c r="AK72" s="74"/>
      <c r="AL72" s="57"/>
      <c r="AM72" s="57"/>
      <c r="AN72" s="57"/>
      <c r="AO72" s="57">
        <v>17.5</v>
      </c>
      <c r="AP72" s="57"/>
      <c r="AQ72" s="57"/>
      <c r="AR72" s="57"/>
      <c r="AS72" s="57"/>
      <c r="AT72" s="57"/>
      <c r="AU72" s="61"/>
      <c r="AV72" s="61"/>
      <c r="AW72" s="57">
        <v>19.5</v>
      </c>
      <c r="AX72" s="57"/>
      <c r="AY72" s="57"/>
      <c r="AZ72" s="74"/>
      <c r="BA72" s="57"/>
      <c r="BB72" s="61"/>
      <c r="BC72" s="61"/>
      <c r="BD72" s="57">
        <v>21.4</v>
      </c>
      <c r="BE72" s="171">
        <v>20.2</v>
      </c>
      <c r="BF72" s="74"/>
      <c r="BG72" s="57"/>
      <c r="BH72" s="57"/>
      <c r="BI72" s="61"/>
      <c r="BJ72" s="61"/>
      <c r="BK72" s="57">
        <v>21.8</v>
      </c>
      <c r="BL72" s="61"/>
      <c r="BM72" s="57"/>
      <c r="BN72" s="61"/>
      <c r="BO72" s="57"/>
      <c r="BP72" s="58"/>
      <c r="BQ72" s="61"/>
      <c r="BR72" s="61"/>
      <c r="BS72" s="61"/>
      <c r="BT72" s="61"/>
      <c r="BU72" s="318">
        <v>23.6</v>
      </c>
      <c r="BV72" s="61"/>
      <c r="BW72" s="61"/>
      <c r="BX72" s="61"/>
      <c r="BY72" s="61"/>
      <c r="BZ72" s="61"/>
      <c r="CA72" s="61"/>
      <c r="CB72" s="57"/>
      <c r="CC72" s="61"/>
      <c r="CD72" s="61"/>
      <c r="CE72" s="61"/>
      <c r="CF72" s="57"/>
      <c r="CG72" s="61"/>
      <c r="CH72" s="61"/>
      <c r="CI72" s="61"/>
      <c r="CJ72" s="57"/>
      <c r="CK72" s="61"/>
      <c r="CL72" s="61"/>
      <c r="CM72" s="61"/>
      <c r="CN72" s="61"/>
      <c r="CO72" s="61"/>
      <c r="CP72" s="61"/>
      <c r="CQ72" s="61"/>
      <c r="CR72" s="61"/>
      <c r="CS72" s="61"/>
      <c r="CT72" s="61"/>
      <c r="CU72" s="61"/>
      <c r="CV72" s="61"/>
      <c r="CW72" s="61"/>
      <c r="CX72" s="61"/>
      <c r="CY72" s="61"/>
      <c r="CZ72" s="61"/>
      <c r="DA72" s="61"/>
      <c r="DB72" s="61"/>
      <c r="DC72" s="61"/>
      <c r="DD72" s="61"/>
      <c r="DE72" s="61"/>
      <c r="DF72" s="61"/>
      <c r="DG72" s="61"/>
      <c r="DH72" s="61"/>
      <c r="DI72" s="61"/>
      <c r="DJ72" s="61"/>
      <c r="DK72" s="61"/>
      <c r="DL72" s="61"/>
      <c r="DM72" s="61"/>
      <c r="DN72" s="61"/>
      <c r="DO72" s="61"/>
      <c r="DP72" s="61"/>
      <c r="DQ72" s="156"/>
      <c r="DR72" s="156"/>
      <c r="DS72" s="156"/>
      <c r="DT72" s="156"/>
      <c r="DU72" s="156"/>
      <c r="DV72" s="156"/>
      <c r="DW72" s="156"/>
      <c r="DX72" s="156"/>
      <c r="DY72" s="156"/>
      <c r="DZ72" s="137"/>
      <c r="EA72" s="137"/>
      <c r="EB72" s="137"/>
      <c r="EC72" s="137"/>
      <c r="ED72" s="137"/>
      <c r="EE72" s="137"/>
      <c r="EF72" s="137"/>
      <c r="EG72" s="137"/>
    </row>
    <row r="73" spans="1:137" s="5" customFormat="1" ht="15.9" customHeight="1" outlineLevel="1" x14ac:dyDescent="0.3">
      <c r="A73" s="6" t="s">
        <v>23</v>
      </c>
      <c r="B73" s="6" t="s">
        <v>23</v>
      </c>
      <c r="C73" s="50" t="s">
        <v>44</v>
      </c>
      <c r="D73" s="147">
        <v>67.209999999999994</v>
      </c>
      <c r="E73" s="6" t="s">
        <v>91</v>
      </c>
      <c r="F73" s="6" t="s">
        <v>171</v>
      </c>
      <c r="G73" s="11" t="s">
        <v>172</v>
      </c>
      <c r="H73" s="11"/>
      <c r="I73" s="205" t="str" cm="1">
        <f t="array" ref="I73">IFERROR(LOOKUP(2,1/(N73:GR73&lt;&gt;""),N$4:DRA$4),"")</f>
        <v/>
      </c>
      <c r="J73" s="218" t="str" cm="1">
        <f t="array" ref="J73">IFERROR(_xlfn.XLOOKUP(TRUE,N73:EH73&lt;&gt;"",N73:EH73,,,-1)," ")</f>
        <v xml:space="preserve"> </v>
      </c>
      <c r="K73" s="48" t="s">
        <v>173</v>
      </c>
      <c r="L73" s="48">
        <v>18.5</v>
      </c>
      <c r="M73" s="6" t="s">
        <v>28</v>
      </c>
      <c r="N73" s="110"/>
      <c r="O73" s="110"/>
      <c r="P73" s="62"/>
      <c r="Q73" s="110"/>
      <c r="R73" s="64"/>
      <c r="S73" s="64"/>
      <c r="T73" s="110"/>
      <c r="U73" s="110"/>
      <c r="V73" s="110"/>
      <c r="W73" s="110"/>
      <c r="X73" s="110"/>
      <c r="Y73" s="110"/>
      <c r="Z73" s="110"/>
      <c r="AA73" s="110"/>
      <c r="AB73" s="62"/>
      <c r="AC73" s="110"/>
      <c r="AD73" s="110"/>
      <c r="AE73" s="110"/>
      <c r="AF73" s="110"/>
      <c r="AG73" s="110"/>
      <c r="AH73" s="110"/>
      <c r="AI73" s="64"/>
      <c r="AJ73" s="110"/>
      <c r="AK73" s="110"/>
      <c r="AL73" s="110"/>
      <c r="AM73" s="110"/>
      <c r="AN73" s="110"/>
      <c r="AO73" s="110"/>
      <c r="AP73" s="110"/>
      <c r="AQ73" s="110"/>
      <c r="AR73" s="62"/>
      <c r="AS73" s="110"/>
      <c r="AT73" s="110"/>
      <c r="AU73" s="165"/>
      <c r="AV73" s="165"/>
      <c r="AW73" s="110"/>
      <c r="AX73" s="110"/>
      <c r="AY73" s="110"/>
      <c r="AZ73" s="110"/>
      <c r="BA73" s="110"/>
      <c r="BB73" s="165"/>
      <c r="BC73" s="165"/>
      <c r="BD73" s="165"/>
      <c r="BE73" s="165"/>
      <c r="BF73" s="165"/>
      <c r="BG73" s="165"/>
      <c r="BH73" s="110"/>
      <c r="BI73" s="165"/>
      <c r="BJ73" s="165"/>
      <c r="BK73" s="110"/>
      <c r="BL73" s="165"/>
      <c r="BM73" s="110"/>
      <c r="BN73" s="165"/>
      <c r="BO73" s="110"/>
      <c r="BP73" s="64"/>
      <c r="BQ73" s="165"/>
      <c r="BR73" s="165"/>
      <c r="BS73" s="165"/>
      <c r="BT73" s="165"/>
      <c r="BU73" s="165"/>
      <c r="BV73" s="165"/>
      <c r="BW73" s="165"/>
      <c r="BX73" s="165"/>
      <c r="BY73" s="165"/>
      <c r="BZ73" s="165"/>
      <c r="CA73" s="165"/>
      <c r="CB73" s="110"/>
      <c r="CC73" s="165"/>
      <c r="CD73" s="165"/>
      <c r="CE73" s="165"/>
      <c r="CF73" s="110"/>
      <c r="CG73" s="165"/>
      <c r="CH73" s="165"/>
      <c r="CI73" s="165"/>
      <c r="CJ73" s="110"/>
      <c r="CK73" s="165"/>
      <c r="CL73" s="165"/>
      <c r="CM73" s="165"/>
      <c r="CN73" s="165"/>
      <c r="CO73" s="165"/>
      <c r="CP73" s="165"/>
      <c r="CQ73" s="165"/>
      <c r="CR73" s="165"/>
      <c r="CS73" s="165"/>
      <c r="CT73" s="165"/>
      <c r="CU73" s="165"/>
      <c r="CV73" s="165"/>
      <c r="CW73" s="165"/>
      <c r="CX73" s="165"/>
      <c r="CY73" s="165"/>
      <c r="CZ73" s="165"/>
      <c r="DA73" s="165"/>
      <c r="DB73" s="165"/>
      <c r="DC73" s="165"/>
      <c r="DD73" s="165"/>
      <c r="DE73" s="165"/>
      <c r="DF73" s="165"/>
      <c r="DG73" s="165"/>
      <c r="DH73" s="165"/>
      <c r="DI73" s="165"/>
      <c r="DJ73" s="165"/>
      <c r="DK73" s="165"/>
      <c r="DL73" s="165"/>
      <c r="DM73" s="165"/>
      <c r="DN73" s="165"/>
      <c r="DO73" s="165"/>
      <c r="DP73" s="165"/>
      <c r="DQ73" s="158"/>
      <c r="DR73" s="158"/>
      <c r="DS73" s="158"/>
      <c r="DT73" s="158"/>
      <c r="DU73" s="158"/>
      <c r="DV73" s="158"/>
      <c r="DW73" s="158"/>
      <c r="DX73" s="158"/>
      <c r="DY73" s="158"/>
      <c r="DZ73" s="65"/>
      <c r="EA73" s="65"/>
      <c r="EB73" s="65"/>
      <c r="EC73" s="65"/>
      <c r="ED73" s="65"/>
      <c r="EE73" s="65"/>
      <c r="EF73" s="65"/>
      <c r="EG73" s="65"/>
    </row>
    <row r="74" spans="1:137" s="5" customFormat="1" ht="15.9" customHeight="1" outlineLevel="1" x14ac:dyDescent="0.3">
      <c r="A74" s="6" t="s">
        <v>23</v>
      </c>
      <c r="B74" s="6" t="s">
        <v>23</v>
      </c>
      <c r="C74" s="50" t="s">
        <v>44</v>
      </c>
      <c r="D74" s="147"/>
      <c r="E74" s="6" t="s">
        <v>91</v>
      </c>
      <c r="F74" s="6" t="s">
        <v>171</v>
      </c>
      <c r="G74" s="11" t="s">
        <v>174</v>
      </c>
      <c r="H74" s="11"/>
      <c r="I74" s="205" cm="1">
        <f t="array" ref="I74">IFERROR(LOOKUP(2,1/(N74:GR74&lt;&gt;""),N$4:DRA$4),"")</f>
        <v>45139</v>
      </c>
      <c r="J74" s="218" cm="1">
        <f t="array" ref="J74">IFERROR(_xlfn.XLOOKUP(TRUE,N74:EH74&lt;&gt;"",N74:EH74,,,-1)," ")</f>
        <v>15.6</v>
      </c>
      <c r="K74" s="48" t="s">
        <v>173</v>
      </c>
      <c r="L74" s="48">
        <v>18.5</v>
      </c>
      <c r="M74" s="6" t="s">
        <v>28</v>
      </c>
      <c r="N74" s="62">
        <v>14.6</v>
      </c>
      <c r="O74" s="110"/>
      <c r="P74" s="62"/>
      <c r="Q74" s="110"/>
      <c r="R74" s="62">
        <v>15.6</v>
      </c>
      <c r="S74" s="110"/>
      <c r="T74" s="110"/>
      <c r="U74" s="110"/>
      <c r="V74" s="141"/>
      <c r="W74" s="110"/>
      <c r="X74" s="110"/>
      <c r="Y74" s="110"/>
      <c r="Z74" s="110"/>
      <c r="AA74" s="110"/>
      <c r="AB74" s="110"/>
      <c r="AC74" s="110"/>
      <c r="AD74" s="110"/>
      <c r="AE74" s="62"/>
      <c r="AF74" s="110"/>
      <c r="AG74" s="110"/>
      <c r="AH74" s="110"/>
      <c r="AI74" s="110"/>
      <c r="AJ74" s="110"/>
      <c r="AK74" s="62"/>
      <c r="AL74" s="110"/>
      <c r="AM74" s="110"/>
      <c r="AN74" s="110"/>
      <c r="AO74" s="110"/>
      <c r="AP74" s="110"/>
      <c r="AQ74" s="62"/>
      <c r="AR74" s="110"/>
      <c r="AS74" s="110"/>
      <c r="AT74" s="110"/>
      <c r="AU74" s="165"/>
      <c r="AV74" s="165"/>
      <c r="AW74" s="110"/>
      <c r="AX74" s="110"/>
      <c r="AY74" s="110"/>
      <c r="AZ74" s="110"/>
      <c r="BA74" s="110"/>
      <c r="BB74" s="165"/>
      <c r="BC74" s="165"/>
      <c r="BD74" s="165"/>
      <c r="BE74" s="165"/>
      <c r="BF74" s="165"/>
      <c r="BG74" s="165"/>
      <c r="BH74" s="110"/>
      <c r="BI74" s="165"/>
      <c r="BJ74" s="165"/>
      <c r="BK74" s="110"/>
      <c r="BL74" s="165"/>
      <c r="BM74" s="110"/>
      <c r="BN74" s="165"/>
      <c r="BO74" s="110"/>
      <c r="BP74" s="64"/>
      <c r="BQ74" s="165"/>
      <c r="BR74" s="165"/>
      <c r="BS74" s="165"/>
      <c r="BT74" s="165"/>
      <c r="BU74" s="165"/>
      <c r="BV74" s="165"/>
      <c r="BW74" s="165"/>
      <c r="BX74" s="165"/>
      <c r="BY74" s="165"/>
      <c r="BZ74" s="165"/>
      <c r="CA74" s="165"/>
      <c r="CB74" s="110"/>
      <c r="CC74" s="165"/>
      <c r="CD74" s="165"/>
      <c r="CE74" s="165"/>
      <c r="CF74" s="110"/>
      <c r="CG74" s="165"/>
      <c r="CH74" s="165"/>
      <c r="CI74" s="165"/>
      <c r="CJ74" s="110"/>
      <c r="CK74" s="165"/>
      <c r="CL74" s="165"/>
      <c r="CM74" s="165"/>
      <c r="CN74" s="165"/>
      <c r="CO74" s="165"/>
      <c r="CP74" s="165"/>
      <c r="CQ74" s="165"/>
      <c r="CR74" s="165"/>
      <c r="CS74" s="165"/>
      <c r="CT74" s="165"/>
      <c r="CU74" s="165"/>
      <c r="CV74" s="165"/>
      <c r="CW74" s="165"/>
      <c r="CX74" s="165"/>
      <c r="CY74" s="165"/>
      <c r="CZ74" s="165"/>
      <c r="DA74" s="165"/>
      <c r="DB74" s="165"/>
      <c r="DC74" s="165"/>
      <c r="DD74" s="165"/>
      <c r="DE74" s="165"/>
      <c r="DF74" s="165"/>
      <c r="DG74" s="165"/>
      <c r="DH74" s="165"/>
      <c r="DI74" s="165"/>
      <c r="DJ74" s="165"/>
      <c r="DK74" s="165"/>
      <c r="DL74" s="165"/>
      <c r="DM74" s="165"/>
      <c r="DN74" s="165"/>
      <c r="DO74" s="165"/>
      <c r="DP74" s="165"/>
      <c r="DQ74" s="158"/>
      <c r="DR74" s="158"/>
      <c r="DS74" s="158"/>
      <c r="DT74" s="158"/>
      <c r="DU74" s="158"/>
      <c r="DV74" s="158"/>
      <c r="DW74" s="158"/>
      <c r="DX74" s="158"/>
      <c r="DY74" s="158"/>
      <c r="DZ74" s="65"/>
      <c r="EA74" s="65"/>
      <c r="EB74" s="65"/>
      <c r="EC74" s="65"/>
      <c r="ED74" s="65"/>
      <c r="EE74" s="65"/>
      <c r="EF74" s="65"/>
      <c r="EG74" s="65"/>
    </row>
    <row r="75" spans="1:137" s="5" customFormat="1" ht="15.9" customHeight="1" outlineLevel="1" x14ac:dyDescent="0.3">
      <c r="A75" s="6" t="s">
        <v>23</v>
      </c>
      <c r="B75" s="6" t="s">
        <v>23</v>
      </c>
      <c r="C75" s="50" t="s">
        <v>44</v>
      </c>
      <c r="D75" s="147"/>
      <c r="E75" s="6" t="s">
        <v>91</v>
      </c>
      <c r="F75" s="6" t="s">
        <v>171</v>
      </c>
      <c r="G75" s="11" t="s">
        <v>175</v>
      </c>
      <c r="H75" s="11"/>
      <c r="I75" s="205" cm="1">
        <f t="array" ref="I75">IFERROR(LOOKUP(2,1/(N75:GR75&lt;&gt;""),N$4:DRA$4),"")</f>
        <v>45159</v>
      </c>
      <c r="J75" s="218" cm="1">
        <f t="array" ref="J75">IFERROR(_xlfn.XLOOKUP(TRUE,N75:EH75&lt;&gt;"",N75:EH75,,,-1)," ")</f>
        <v>21</v>
      </c>
      <c r="K75" s="48" t="s">
        <v>173</v>
      </c>
      <c r="L75" s="48" t="s">
        <v>176</v>
      </c>
      <c r="M75" s="6" t="s">
        <v>28</v>
      </c>
      <c r="N75" s="62"/>
      <c r="O75" s="62"/>
      <c r="P75" s="62"/>
      <c r="Q75" s="64"/>
      <c r="R75" s="62"/>
      <c r="S75" s="64"/>
      <c r="T75" s="62"/>
      <c r="U75" s="62"/>
      <c r="V75" s="141"/>
      <c r="W75" s="62"/>
      <c r="X75" s="62">
        <v>17.3</v>
      </c>
      <c r="Y75" s="62"/>
      <c r="Z75" s="62"/>
      <c r="AA75" s="62" t="s">
        <v>177</v>
      </c>
      <c r="AB75" s="62"/>
      <c r="AC75" s="62"/>
      <c r="AD75" s="62"/>
      <c r="AE75" s="62"/>
      <c r="AF75" s="62"/>
      <c r="AG75" s="62"/>
      <c r="AH75" s="62"/>
      <c r="AI75" s="62"/>
      <c r="AJ75" s="62"/>
      <c r="AK75" s="62"/>
      <c r="AL75" s="64">
        <v>21</v>
      </c>
      <c r="AM75" s="62"/>
      <c r="AN75" s="62"/>
      <c r="AO75" s="62"/>
      <c r="AP75" s="62"/>
      <c r="AQ75" s="62"/>
      <c r="AR75" s="62"/>
      <c r="AS75" s="62"/>
      <c r="AT75" s="62"/>
      <c r="AU75" s="63"/>
      <c r="AV75" s="63"/>
      <c r="AW75" s="62"/>
      <c r="AX75" s="62"/>
      <c r="AY75" s="62"/>
      <c r="AZ75" s="62"/>
      <c r="BA75" s="62"/>
      <c r="BB75" s="63"/>
      <c r="BC75" s="63"/>
      <c r="BD75" s="63"/>
      <c r="BE75" s="63"/>
      <c r="BF75" s="63"/>
      <c r="BG75" s="63"/>
      <c r="BH75" s="62"/>
      <c r="BI75" s="63"/>
      <c r="BJ75" s="63"/>
      <c r="BK75" s="62"/>
      <c r="BL75" s="63"/>
      <c r="BM75" s="62"/>
      <c r="BN75" s="63"/>
      <c r="BO75" s="62"/>
      <c r="BP75" s="64"/>
      <c r="BQ75" s="63"/>
      <c r="BR75" s="63"/>
      <c r="BS75" s="63"/>
      <c r="BT75" s="63"/>
      <c r="BU75" s="63"/>
      <c r="BV75" s="63"/>
      <c r="BW75" s="63"/>
      <c r="BX75" s="63"/>
      <c r="BY75" s="63"/>
      <c r="BZ75" s="63"/>
      <c r="CA75" s="63"/>
      <c r="CB75" s="62"/>
      <c r="CC75" s="63"/>
      <c r="CD75" s="63"/>
      <c r="CE75" s="63"/>
      <c r="CF75" s="62"/>
      <c r="CG75" s="63"/>
      <c r="CH75" s="63"/>
      <c r="CI75" s="63"/>
      <c r="CJ75" s="62"/>
      <c r="CK75" s="63"/>
      <c r="CL75" s="63"/>
      <c r="CM75" s="63"/>
      <c r="CN75" s="63"/>
      <c r="CO75" s="63"/>
      <c r="CP75" s="63"/>
      <c r="CQ75" s="63"/>
      <c r="CR75" s="63"/>
      <c r="CS75" s="63"/>
      <c r="CT75" s="63"/>
      <c r="CU75" s="63"/>
      <c r="CV75" s="63"/>
      <c r="CW75" s="63"/>
      <c r="CX75" s="63"/>
      <c r="CY75" s="63"/>
      <c r="CZ75" s="63"/>
      <c r="DA75" s="63"/>
      <c r="DB75" s="63"/>
      <c r="DC75" s="63"/>
      <c r="DD75" s="63"/>
      <c r="DE75" s="63"/>
      <c r="DF75" s="63"/>
      <c r="DG75" s="63"/>
      <c r="DH75" s="63"/>
      <c r="DI75" s="63"/>
      <c r="DJ75" s="63"/>
      <c r="DK75" s="63"/>
      <c r="DL75" s="63"/>
      <c r="DM75" s="63"/>
      <c r="DN75" s="63"/>
      <c r="DO75" s="63"/>
      <c r="DP75" s="63"/>
      <c r="DQ75" s="158"/>
      <c r="DR75" s="158"/>
      <c r="DS75" s="158"/>
      <c r="DT75" s="158"/>
      <c r="DU75" s="158"/>
      <c r="DV75" s="158"/>
      <c r="DW75" s="158"/>
      <c r="DX75" s="158"/>
      <c r="DY75" s="158"/>
      <c r="DZ75" s="65"/>
      <c r="EA75" s="65"/>
      <c r="EB75" s="65"/>
      <c r="EC75" s="65"/>
      <c r="ED75" s="65"/>
      <c r="EE75" s="65"/>
      <c r="EF75" s="65"/>
      <c r="EG75" s="65"/>
    </row>
    <row r="76" spans="1:137" s="5" customFormat="1" ht="15.9" customHeight="1" outlineLevel="1" x14ac:dyDescent="0.3">
      <c r="A76" s="6" t="s">
        <v>23</v>
      </c>
      <c r="B76" s="6" t="s">
        <v>23</v>
      </c>
      <c r="C76" s="50" t="s">
        <v>44</v>
      </c>
      <c r="D76" s="147"/>
      <c r="E76" s="6" t="s">
        <v>91</v>
      </c>
      <c r="F76" s="6" t="s">
        <v>171</v>
      </c>
      <c r="G76" s="11" t="s">
        <v>178</v>
      </c>
      <c r="H76" s="11"/>
      <c r="I76" s="205" cm="1">
        <f t="array" ref="I76">IFERROR(LOOKUP(2,1/(N76:GR76&lt;&gt;""),N$4:DRA$4),"")</f>
        <v>45163</v>
      </c>
      <c r="J76" s="227" cm="1">
        <f t="array" ref="J76">IFERROR(_xlfn.XLOOKUP(TRUE,N76:EH76&lt;&gt;"",N76:EH76,,,-1)," ")</f>
        <v>20.8</v>
      </c>
      <c r="K76" s="48" t="s">
        <v>173</v>
      </c>
      <c r="L76" s="48" t="s">
        <v>176</v>
      </c>
      <c r="M76" s="6" t="s">
        <v>28</v>
      </c>
      <c r="N76" s="62"/>
      <c r="O76" s="62"/>
      <c r="P76" s="62"/>
      <c r="Q76" s="64"/>
      <c r="R76" s="62"/>
      <c r="S76" s="64"/>
      <c r="T76" s="62"/>
      <c r="U76" s="62"/>
      <c r="V76" s="141"/>
      <c r="W76" s="62"/>
      <c r="X76" s="62">
        <v>17.399999999999999</v>
      </c>
      <c r="Y76" s="62"/>
      <c r="Z76" s="62"/>
      <c r="AA76" s="62">
        <v>17.600000000000001</v>
      </c>
      <c r="AB76" s="62"/>
      <c r="AC76" s="62"/>
      <c r="AD76" s="62"/>
      <c r="AE76" s="62"/>
      <c r="AF76" s="62"/>
      <c r="AG76" s="62">
        <v>19.100000000000001</v>
      </c>
      <c r="AH76" s="62"/>
      <c r="AI76" s="62"/>
      <c r="AJ76" s="62"/>
      <c r="AK76" s="62"/>
      <c r="AL76" s="64">
        <v>19.8</v>
      </c>
      <c r="AM76" s="62"/>
      <c r="AN76" s="62"/>
      <c r="AO76" s="62"/>
      <c r="AP76" s="64">
        <v>20.8</v>
      </c>
      <c r="AQ76" s="62"/>
      <c r="AR76" s="62"/>
      <c r="AS76" s="62"/>
      <c r="AT76" s="62"/>
      <c r="AU76" s="63"/>
      <c r="AV76" s="63"/>
      <c r="AW76" s="62"/>
      <c r="AX76" s="62"/>
      <c r="AY76" s="62"/>
      <c r="AZ76" s="62"/>
      <c r="BA76" s="62"/>
      <c r="BB76" s="63"/>
      <c r="BC76" s="63"/>
      <c r="BD76" s="63"/>
      <c r="BE76" s="63"/>
      <c r="BF76" s="63"/>
      <c r="BG76" s="63"/>
      <c r="BH76" s="62"/>
      <c r="BI76" s="63"/>
      <c r="BJ76" s="63"/>
      <c r="BK76" s="62"/>
      <c r="BL76" s="63"/>
      <c r="BM76" s="62"/>
      <c r="BN76" s="63"/>
      <c r="BO76" s="62"/>
      <c r="BP76" s="64"/>
      <c r="BQ76" s="63"/>
      <c r="BR76" s="63"/>
      <c r="BS76" s="63"/>
      <c r="BT76" s="63"/>
      <c r="BU76" s="63"/>
      <c r="BV76" s="63"/>
      <c r="BW76" s="63"/>
      <c r="BX76" s="63"/>
      <c r="BY76" s="63"/>
      <c r="BZ76" s="63"/>
      <c r="CA76" s="63"/>
      <c r="CB76" s="62"/>
      <c r="CC76" s="63"/>
      <c r="CD76" s="63"/>
      <c r="CE76" s="63"/>
      <c r="CF76" s="62"/>
      <c r="CG76" s="63"/>
      <c r="CH76" s="63"/>
      <c r="CI76" s="63"/>
      <c r="CJ76" s="62"/>
      <c r="CK76" s="63"/>
      <c r="CL76" s="63"/>
      <c r="CM76" s="63"/>
      <c r="CN76" s="63"/>
      <c r="CO76" s="63"/>
      <c r="CP76" s="63"/>
      <c r="CQ76" s="63"/>
      <c r="CR76" s="63"/>
      <c r="CS76" s="63"/>
      <c r="CT76" s="63"/>
      <c r="CU76" s="63"/>
      <c r="CV76" s="63"/>
      <c r="CW76" s="63"/>
      <c r="CX76" s="63"/>
      <c r="CY76" s="63"/>
      <c r="CZ76" s="63"/>
      <c r="DA76" s="63"/>
      <c r="DB76" s="63"/>
      <c r="DC76" s="63"/>
      <c r="DD76" s="63"/>
      <c r="DE76" s="63"/>
      <c r="DF76" s="63"/>
      <c r="DG76" s="63"/>
      <c r="DH76" s="63"/>
      <c r="DI76" s="63"/>
      <c r="DJ76" s="63"/>
      <c r="DK76" s="63"/>
      <c r="DL76" s="63"/>
      <c r="DM76" s="63"/>
      <c r="DN76" s="63"/>
      <c r="DO76" s="63"/>
      <c r="DP76" s="63"/>
      <c r="DQ76" s="158"/>
      <c r="DR76" s="158"/>
      <c r="DS76" s="158"/>
      <c r="DT76" s="158"/>
      <c r="DU76" s="158"/>
      <c r="DV76" s="158"/>
      <c r="DW76" s="158"/>
      <c r="DX76" s="158"/>
      <c r="DY76" s="158"/>
      <c r="DZ76" s="65"/>
      <c r="EA76" s="65"/>
      <c r="EB76" s="65"/>
      <c r="EC76" s="65"/>
      <c r="ED76" s="65"/>
      <c r="EE76" s="65"/>
      <c r="EF76" s="65"/>
      <c r="EG76" s="65"/>
    </row>
    <row r="77" spans="1:137" s="5" customFormat="1" ht="15.9" customHeight="1" outlineLevel="1" x14ac:dyDescent="0.3">
      <c r="A77" s="6" t="s">
        <v>23</v>
      </c>
      <c r="B77" s="6" t="s">
        <v>23</v>
      </c>
      <c r="C77" s="50" t="s">
        <v>44</v>
      </c>
      <c r="D77" s="147"/>
      <c r="E77" s="6" t="s">
        <v>91</v>
      </c>
      <c r="F77" s="6" t="s">
        <v>171</v>
      </c>
      <c r="G77" s="11" t="s">
        <v>179</v>
      </c>
      <c r="H77" s="11"/>
      <c r="I77" s="205" cm="1">
        <f t="array" ref="I77">IFERROR(LOOKUP(2,1/(N77:GR77&lt;&gt;""),N$4:DRA$4),"")</f>
        <v>45163</v>
      </c>
      <c r="J77" s="227" cm="1">
        <f t="array" ref="J77">IFERROR(_xlfn.XLOOKUP(TRUE,N77:EH77&lt;&gt;"",N77:EH77,,,-1)," ")</f>
        <v>21.4</v>
      </c>
      <c r="K77" s="48" t="s">
        <v>173</v>
      </c>
      <c r="L77" s="48" t="s">
        <v>176</v>
      </c>
      <c r="M77" s="6" t="s">
        <v>28</v>
      </c>
      <c r="N77" s="62">
        <v>13.8</v>
      </c>
      <c r="O77" s="62"/>
      <c r="P77" s="62"/>
      <c r="Q77" s="64"/>
      <c r="R77" s="62">
        <v>16.399999999999999</v>
      </c>
      <c r="S77" s="64"/>
      <c r="T77" s="62"/>
      <c r="U77" s="62"/>
      <c r="V77" s="141"/>
      <c r="W77" s="62"/>
      <c r="X77" s="62">
        <v>16.600000000000001</v>
      </c>
      <c r="Y77" s="62"/>
      <c r="Z77" s="62"/>
      <c r="AA77" s="62">
        <v>18</v>
      </c>
      <c r="AB77" s="62"/>
      <c r="AC77" s="62"/>
      <c r="AD77" s="62"/>
      <c r="AE77" s="62"/>
      <c r="AF77" s="62"/>
      <c r="AG77" s="62">
        <v>19.3</v>
      </c>
      <c r="AH77" s="62"/>
      <c r="AI77" s="62"/>
      <c r="AJ77" s="62"/>
      <c r="AK77" s="62"/>
      <c r="AL77" s="62">
        <v>20.100000000000001</v>
      </c>
      <c r="AM77" s="62"/>
      <c r="AN77" s="62"/>
      <c r="AO77" s="62"/>
      <c r="AP77" s="64">
        <v>21.4</v>
      </c>
      <c r="AQ77" s="62"/>
      <c r="AR77" s="62"/>
      <c r="AS77" s="62"/>
      <c r="AT77" s="62"/>
      <c r="AU77" s="63"/>
      <c r="AV77" s="63"/>
      <c r="AW77" s="62"/>
      <c r="AX77" s="62"/>
      <c r="AY77" s="62"/>
      <c r="AZ77" s="62"/>
      <c r="BA77" s="62"/>
      <c r="BB77" s="63"/>
      <c r="BC77" s="63"/>
      <c r="BD77" s="63"/>
      <c r="BE77" s="63"/>
      <c r="BF77" s="63"/>
      <c r="BG77" s="63"/>
      <c r="BH77" s="62"/>
      <c r="BI77" s="63"/>
      <c r="BJ77" s="63"/>
      <c r="BK77" s="62"/>
      <c r="BL77" s="63"/>
      <c r="BM77" s="62"/>
      <c r="BN77" s="63"/>
      <c r="BO77" s="62"/>
      <c r="BP77" s="64"/>
      <c r="BQ77" s="63"/>
      <c r="BR77" s="63"/>
      <c r="BS77" s="63"/>
      <c r="BT77" s="63"/>
      <c r="BU77" s="63"/>
      <c r="BV77" s="63"/>
      <c r="BW77" s="63"/>
      <c r="BX77" s="63"/>
      <c r="BY77" s="63"/>
      <c r="BZ77" s="63"/>
      <c r="CA77" s="63"/>
      <c r="CB77" s="62"/>
      <c r="CC77" s="63"/>
      <c r="CD77" s="63"/>
      <c r="CE77" s="63"/>
      <c r="CF77" s="62"/>
      <c r="CG77" s="63"/>
      <c r="CH77" s="63"/>
      <c r="CI77" s="63"/>
      <c r="CJ77" s="62"/>
      <c r="CK77" s="63"/>
      <c r="CL77" s="63"/>
      <c r="CM77" s="63"/>
      <c r="CN77" s="63"/>
      <c r="CO77" s="63"/>
      <c r="CP77" s="63"/>
      <c r="CQ77" s="63"/>
      <c r="CR77" s="63"/>
      <c r="CS77" s="63"/>
      <c r="CT77" s="63"/>
      <c r="CU77" s="63"/>
      <c r="CV77" s="63"/>
      <c r="CW77" s="63"/>
      <c r="CX77" s="63"/>
      <c r="CY77" s="63"/>
      <c r="CZ77" s="63"/>
      <c r="DA77" s="63"/>
      <c r="DB77" s="63"/>
      <c r="DC77" s="63"/>
      <c r="DD77" s="63"/>
      <c r="DE77" s="63"/>
      <c r="DF77" s="63"/>
      <c r="DG77" s="63"/>
      <c r="DH77" s="63"/>
      <c r="DI77" s="63"/>
      <c r="DJ77" s="63"/>
      <c r="DK77" s="63"/>
      <c r="DL77" s="63"/>
      <c r="DM77" s="63"/>
      <c r="DN77" s="63"/>
      <c r="DO77" s="63"/>
      <c r="DP77" s="63"/>
      <c r="DQ77" s="158"/>
      <c r="DR77" s="158"/>
      <c r="DS77" s="158"/>
      <c r="DT77" s="158"/>
      <c r="DU77" s="158"/>
      <c r="DV77" s="158"/>
      <c r="DW77" s="158"/>
      <c r="DX77" s="158"/>
      <c r="DY77" s="158"/>
      <c r="DZ77" s="65"/>
      <c r="EA77" s="65"/>
      <c r="EB77" s="65"/>
      <c r="EC77" s="65"/>
      <c r="ED77" s="65"/>
      <c r="EE77" s="65"/>
      <c r="EF77" s="65"/>
      <c r="EG77" s="65"/>
    </row>
    <row r="78" spans="1:137" s="10" customFormat="1" ht="15.9" customHeight="1" outlineLevel="1" x14ac:dyDescent="0.3">
      <c r="A78" s="7" t="s">
        <v>23</v>
      </c>
      <c r="B78" s="7"/>
      <c r="C78" s="8" t="s">
        <v>44</v>
      </c>
      <c r="D78" s="146">
        <v>21.5</v>
      </c>
      <c r="E78" s="7" t="s">
        <v>91</v>
      </c>
      <c r="F78" s="7" t="s">
        <v>180</v>
      </c>
      <c r="G78" s="9" t="s">
        <v>181</v>
      </c>
      <c r="H78" s="9"/>
      <c r="I78" s="204" cm="1">
        <f t="array" ref="I78">IFERROR(LOOKUP(2,1/(N78:GR78&lt;&gt;""),N$4:DRA$4),"")</f>
        <v>45177</v>
      </c>
      <c r="J78" s="218" cm="1">
        <f t="array" ref="J78">IFERROR(_xlfn.XLOOKUP(TRUE,N78:EH78&lt;&gt;"",N78:EH78,,,-1)," ")</f>
        <v>23.7</v>
      </c>
      <c r="K78" s="45">
        <v>22</v>
      </c>
      <c r="L78" s="45">
        <v>22</v>
      </c>
      <c r="M78" s="282" t="s">
        <v>28</v>
      </c>
      <c r="N78" s="57"/>
      <c r="O78" s="70"/>
      <c r="P78" s="57"/>
      <c r="Q78" s="57"/>
      <c r="R78" s="57"/>
      <c r="S78" s="57"/>
      <c r="T78" s="57"/>
      <c r="U78" s="57">
        <v>14</v>
      </c>
      <c r="V78" s="57"/>
      <c r="W78" s="57"/>
      <c r="X78" s="57"/>
      <c r="Y78" s="70"/>
      <c r="Z78" s="57"/>
      <c r="AA78" s="57">
        <v>16</v>
      </c>
      <c r="AB78" s="70"/>
      <c r="AC78" s="57"/>
      <c r="AD78" s="57"/>
      <c r="AE78" s="70"/>
      <c r="AF78" s="57"/>
      <c r="AG78" s="57"/>
      <c r="AH78" s="57"/>
      <c r="AI78" s="57"/>
      <c r="AJ78" s="57"/>
      <c r="AK78" s="57"/>
      <c r="AL78" s="57">
        <v>18.899999999999999</v>
      </c>
      <c r="AM78" s="57"/>
      <c r="AN78" s="57"/>
      <c r="AO78" s="57"/>
      <c r="AP78" s="57"/>
      <c r="AQ78" s="57"/>
      <c r="AR78" s="57"/>
      <c r="AS78" s="57">
        <v>20.7</v>
      </c>
      <c r="AT78" s="57"/>
      <c r="AU78" s="61"/>
      <c r="AV78" s="61"/>
      <c r="AW78" s="57"/>
      <c r="AX78" s="57"/>
      <c r="AY78" s="57"/>
      <c r="AZ78" s="57">
        <v>22.5</v>
      </c>
      <c r="BA78" s="57"/>
      <c r="BB78" s="61"/>
      <c r="BC78" s="61"/>
      <c r="BD78" s="160">
        <v>23.7</v>
      </c>
      <c r="BE78" s="61"/>
      <c r="BF78" s="61"/>
      <c r="BG78" s="61"/>
      <c r="BH78" s="57"/>
      <c r="BI78" s="61"/>
      <c r="BJ78" s="61"/>
      <c r="BK78" s="57"/>
      <c r="BL78" s="61"/>
      <c r="BM78" s="57"/>
      <c r="BN78" s="61"/>
      <c r="BO78" s="57"/>
      <c r="BP78" s="58"/>
      <c r="BQ78" s="61"/>
      <c r="BR78" s="61"/>
      <c r="BS78" s="61"/>
      <c r="BT78" s="61"/>
      <c r="BU78" s="61"/>
      <c r="BV78" s="61"/>
      <c r="BW78" s="61"/>
      <c r="BX78" s="61"/>
      <c r="BY78" s="61"/>
      <c r="BZ78" s="61"/>
      <c r="CA78" s="61"/>
      <c r="CB78" s="57"/>
      <c r="CC78" s="61"/>
      <c r="CD78" s="61"/>
      <c r="CE78" s="61"/>
      <c r="CF78" s="57"/>
      <c r="CG78" s="61"/>
      <c r="CH78" s="61"/>
      <c r="CI78" s="61"/>
      <c r="CJ78" s="57"/>
      <c r="CK78" s="61"/>
      <c r="CL78" s="61"/>
      <c r="CM78" s="61"/>
      <c r="CN78" s="61"/>
      <c r="CO78" s="61"/>
      <c r="CP78" s="61"/>
      <c r="CQ78" s="61"/>
      <c r="CR78" s="61"/>
      <c r="CS78" s="61"/>
      <c r="CT78" s="61"/>
      <c r="CU78" s="61"/>
      <c r="CV78" s="61"/>
      <c r="CW78" s="61"/>
      <c r="CX78" s="61"/>
      <c r="CY78" s="61"/>
      <c r="CZ78" s="61"/>
      <c r="DA78" s="61"/>
      <c r="DB78" s="61"/>
      <c r="DC78" s="61"/>
      <c r="DD78" s="61"/>
      <c r="DE78" s="61"/>
      <c r="DF78" s="61"/>
      <c r="DG78" s="61"/>
      <c r="DH78" s="61"/>
      <c r="DI78" s="61"/>
      <c r="DJ78" s="61"/>
      <c r="DK78" s="61"/>
      <c r="DL78" s="61"/>
      <c r="DM78" s="61"/>
      <c r="DN78" s="61"/>
      <c r="DO78" s="61"/>
      <c r="DP78" s="61"/>
      <c r="DQ78" s="156"/>
      <c r="DR78" s="156"/>
      <c r="DS78" s="156"/>
      <c r="DT78" s="156"/>
      <c r="DU78" s="156"/>
      <c r="DV78" s="156"/>
      <c r="DW78" s="156"/>
      <c r="DX78" s="156"/>
      <c r="DY78" s="156"/>
      <c r="DZ78" s="59"/>
      <c r="EA78" s="59"/>
      <c r="EB78" s="59"/>
      <c r="EC78" s="59"/>
      <c r="ED78" s="59"/>
      <c r="EE78" s="59"/>
      <c r="EF78" s="59"/>
      <c r="EG78" s="59"/>
    </row>
    <row r="79" spans="1:137" s="5" customFormat="1" ht="15.9" customHeight="1" outlineLevel="1" x14ac:dyDescent="0.3">
      <c r="A79" s="6" t="s">
        <v>22</v>
      </c>
      <c r="B79" s="6" t="s">
        <v>23</v>
      </c>
      <c r="C79" s="50" t="s">
        <v>24</v>
      </c>
      <c r="D79" s="147">
        <v>19.13</v>
      </c>
      <c r="E79" s="6" t="s">
        <v>91</v>
      </c>
      <c r="F79" s="6" t="s">
        <v>182</v>
      </c>
      <c r="G79" s="11" t="s">
        <v>183</v>
      </c>
      <c r="H79" s="11"/>
      <c r="I79" s="205" cm="1">
        <f t="array" ref="I79">IFERROR(LOOKUP(2,1/(N79:GR79&lt;&gt;""),N$4:DRA$4),"")</f>
        <v>45188</v>
      </c>
      <c r="J79" s="218" cm="1">
        <f t="array" ref="J79">IFERROR(_xlfn.XLOOKUP(TRUE,N79:EH79&lt;&gt;"",N79:EH79,,,-1)," ")</f>
        <v>24.4</v>
      </c>
      <c r="K79" s="49">
        <v>18</v>
      </c>
      <c r="L79" s="49"/>
      <c r="M79" s="284" t="s">
        <v>184</v>
      </c>
      <c r="N79" s="62"/>
      <c r="O79" s="62"/>
      <c r="P79" s="62"/>
      <c r="Q79" s="62"/>
      <c r="R79" s="62"/>
      <c r="S79" s="62"/>
      <c r="T79" s="62"/>
      <c r="U79" s="62"/>
      <c r="V79" s="64"/>
      <c r="W79" s="62"/>
      <c r="X79" s="62"/>
      <c r="Y79" s="64"/>
      <c r="Z79" s="62">
        <v>15</v>
      </c>
      <c r="AA79" s="62"/>
      <c r="AB79" s="62"/>
      <c r="AC79" s="64"/>
      <c r="AD79" s="62"/>
      <c r="AE79" s="62"/>
      <c r="AF79" s="62"/>
      <c r="AG79" s="62">
        <v>17.2</v>
      </c>
      <c r="AH79" s="62"/>
      <c r="AI79" s="62"/>
      <c r="AJ79" s="62"/>
      <c r="AK79" s="62"/>
      <c r="AL79" s="62"/>
      <c r="AM79" s="62"/>
      <c r="AN79" s="62"/>
      <c r="AO79" s="62"/>
      <c r="AP79" s="62">
        <v>19.600000000000001</v>
      </c>
      <c r="AQ79" s="62"/>
      <c r="AR79" s="62"/>
      <c r="AS79" s="62"/>
      <c r="AT79" s="62"/>
      <c r="AU79" s="63"/>
      <c r="AV79" s="63">
        <v>20.6</v>
      </c>
      <c r="AW79" s="62"/>
      <c r="AX79" s="62"/>
      <c r="AY79" s="62"/>
      <c r="AZ79" s="62"/>
      <c r="BA79" s="62"/>
      <c r="BB79" s="63"/>
      <c r="BC79" s="63"/>
      <c r="BD79" s="63"/>
      <c r="BE79" s="63"/>
      <c r="BF79" s="63"/>
      <c r="BG79" s="63"/>
      <c r="BH79" s="62">
        <v>22.7</v>
      </c>
      <c r="BI79" s="63"/>
      <c r="BJ79" s="63"/>
      <c r="BK79" s="62"/>
      <c r="BL79" s="63"/>
      <c r="BM79" s="62"/>
      <c r="BN79" s="63"/>
      <c r="BO79" s="62">
        <v>24.4</v>
      </c>
      <c r="BP79" s="64"/>
      <c r="BQ79" s="63"/>
      <c r="BR79" s="63"/>
      <c r="BS79" s="63"/>
      <c r="BT79" s="63"/>
      <c r="BU79" s="63"/>
      <c r="BV79" s="63"/>
      <c r="BW79" s="63"/>
      <c r="BX79" s="63"/>
      <c r="BY79" s="63"/>
      <c r="BZ79" s="63"/>
      <c r="CA79" s="63"/>
      <c r="CB79" s="62"/>
      <c r="CC79" s="63"/>
      <c r="CD79" s="63"/>
      <c r="CE79" s="63"/>
      <c r="CF79" s="62"/>
      <c r="CG79" s="63"/>
      <c r="CH79" s="63"/>
      <c r="CI79" s="63"/>
      <c r="CJ79" s="62"/>
      <c r="CK79" s="63"/>
      <c r="CL79" s="63"/>
      <c r="CM79" s="63"/>
      <c r="CN79" s="63"/>
      <c r="CO79" s="63"/>
      <c r="CP79" s="63"/>
      <c r="CQ79" s="63"/>
      <c r="CR79" s="63"/>
      <c r="CS79" s="63"/>
      <c r="CT79" s="63"/>
      <c r="CU79" s="63"/>
      <c r="CV79" s="63"/>
      <c r="CW79" s="63"/>
      <c r="CX79" s="63"/>
      <c r="CY79" s="63"/>
      <c r="CZ79" s="63"/>
      <c r="DA79" s="63"/>
      <c r="DB79" s="63"/>
      <c r="DC79" s="63"/>
      <c r="DD79" s="63"/>
      <c r="DE79" s="63"/>
      <c r="DF79" s="63"/>
      <c r="DG79" s="63"/>
      <c r="DH79" s="63"/>
      <c r="DI79" s="63"/>
      <c r="DJ79" s="63"/>
      <c r="DK79" s="63"/>
      <c r="DL79" s="63"/>
      <c r="DM79" s="63"/>
      <c r="DN79" s="63"/>
      <c r="DO79" s="63"/>
      <c r="DP79" s="63"/>
      <c r="DQ79" s="158"/>
      <c r="DR79" s="158"/>
      <c r="DS79" s="158"/>
      <c r="DT79" s="158"/>
      <c r="DU79" s="158"/>
      <c r="DV79" s="158"/>
      <c r="DW79" s="158"/>
      <c r="DX79" s="158"/>
      <c r="DY79" s="158"/>
      <c r="DZ79" s="59"/>
      <c r="EA79" s="59"/>
      <c r="EB79" s="59"/>
      <c r="EC79" s="59"/>
      <c r="ED79" s="59"/>
      <c r="EE79" s="59"/>
      <c r="EF79" s="59"/>
      <c r="EG79" s="59"/>
    </row>
    <row r="80" spans="1:137" s="10" customFormat="1" ht="15.9" customHeight="1" outlineLevel="1" x14ac:dyDescent="0.3">
      <c r="A80" s="7" t="s">
        <v>23</v>
      </c>
      <c r="B80" s="7"/>
      <c r="C80" s="8" t="s">
        <v>44</v>
      </c>
      <c r="D80" s="146"/>
      <c r="E80" s="7" t="s">
        <v>91</v>
      </c>
      <c r="F80" s="7" t="s">
        <v>185</v>
      </c>
      <c r="G80" s="9" t="s">
        <v>186</v>
      </c>
      <c r="H80" s="9"/>
      <c r="I80" s="204" t="str" cm="1">
        <f t="array" ref="I80">IFERROR(LOOKUP(2,1/(N80:GR80&lt;&gt;""),N$4:DRA$4),"")</f>
        <v/>
      </c>
      <c r="J80" s="169" t="str" cm="1">
        <f t="array" ref="J80">IFERROR(_xlfn.XLOOKUP(TRUE,N80:EH80&lt;&gt;"",N80:EH80,,,-1)," ")</f>
        <v xml:space="preserve"> </v>
      </c>
      <c r="K80" s="45">
        <v>22</v>
      </c>
      <c r="L80" s="45"/>
      <c r="M80" s="282" t="s">
        <v>184</v>
      </c>
      <c r="N80" s="57"/>
      <c r="O80" s="70"/>
      <c r="P80" s="134"/>
      <c r="Q80" s="57"/>
      <c r="R80" s="57"/>
      <c r="S80" s="57"/>
      <c r="T80" s="57"/>
      <c r="U80" s="57"/>
      <c r="V80" s="57"/>
      <c r="W80" s="115"/>
      <c r="X80" s="57"/>
      <c r="Y80" s="57"/>
      <c r="Z80" s="57"/>
      <c r="AA80" s="57"/>
      <c r="AB80" s="115"/>
      <c r="AC80" s="57"/>
      <c r="AD80" s="57"/>
      <c r="AE80" s="57"/>
      <c r="AF80" s="57"/>
      <c r="AG80" s="57"/>
      <c r="AH80" s="57"/>
      <c r="AI80" s="57"/>
      <c r="AJ80" s="57"/>
      <c r="AK80" s="57"/>
      <c r="AL80" s="57"/>
      <c r="AM80" s="57"/>
      <c r="AN80" s="57"/>
      <c r="AO80" s="57"/>
      <c r="AP80" s="57"/>
      <c r="AQ80" s="57"/>
      <c r="AR80" s="57"/>
      <c r="AS80" s="57"/>
      <c r="AT80" s="57"/>
      <c r="AU80" s="61"/>
      <c r="AV80" s="61"/>
      <c r="AW80" s="57"/>
      <c r="AX80" s="57"/>
      <c r="AY80" s="57"/>
      <c r="AZ80" s="57"/>
      <c r="BA80" s="57"/>
      <c r="BB80" s="61"/>
      <c r="BC80" s="61"/>
      <c r="BD80" s="57"/>
      <c r="BE80" s="57"/>
      <c r="BF80" s="61"/>
      <c r="BG80" s="57"/>
      <c r="BH80" s="57"/>
      <c r="BI80" s="61"/>
      <c r="BJ80" s="61"/>
      <c r="BK80" s="57"/>
      <c r="BL80" s="61"/>
      <c r="BM80" s="57"/>
      <c r="BN80" s="61"/>
      <c r="BO80" s="57"/>
      <c r="BP80" s="58"/>
      <c r="BQ80" s="61"/>
      <c r="BR80" s="61"/>
      <c r="BS80" s="61"/>
      <c r="BT80" s="61"/>
      <c r="BU80" s="61"/>
      <c r="BV80" s="61"/>
      <c r="BW80" s="61"/>
      <c r="BX80" s="61"/>
      <c r="BY80" s="61"/>
      <c r="BZ80" s="61"/>
      <c r="CA80" s="61"/>
      <c r="CB80" s="57"/>
      <c r="CC80" s="61"/>
      <c r="CD80" s="61"/>
      <c r="CE80" s="61"/>
      <c r="CF80" s="57"/>
      <c r="CG80" s="61"/>
      <c r="CH80" s="61"/>
      <c r="CI80" s="61"/>
      <c r="CJ80" s="57"/>
      <c r="CK80" s="61"/>
      <c r="CL80" s="61"/>
      <c r="CM80" s="61"/>
      <c r="CN80" s="61"/>
      <c r="CO80" s="61"/>
      <c r="CP80" s="61"/>
      <c r="CQ80" s="61"/>
      <c r="CR80" s="61"/>
      <c r="CS80" s="61"/>
      <c r="CT80" s="61"/>
      <c r="CU80" s="61"/>
      <c r="CV80" s="61"/>
      <c r="CW80" s="61"/>
      <c r="CX80" s="61"/>
      <c r="CY80" s="61"/>
      <c r="CZ80" s="61"/>
      <c r="DA80" s="61"/>
      <c r="DB80" s="61"/>
      <c r="DC80" s="61"/>
      <c r="DD80" s="61"/>
      <c r="DE80" s="61"/>
      <c r="DF80" s="61"/>
      <c r="DG80" s="61"/>
      <c r="DH80" s="61"/>
      <c r="DI80" s="61"/>
      <c r="DJ80" s="61"/>
      <c r="DK80" s="61"/>
      <c r="DL80" s="61"/>
      <c r="DM80" s="61"/>
      <c r="DN80" s="61"/>
      <c r="DO80" s="61"/>
      <c r="DP80" s="61"/>
      <c r="DQ80" s="156"/>
      <c r="DR80" s="156"/>
      <c r="DS80" s="156"/>
      <c r="DT80" s="156"/>
      <c r="DU80" s="156"/>
      <c r="DV80" s="156"/>
      <c r="DW80" s="156"/>
      <c r="DX80" s="156"/>
      <c r="DY80" s="156"/>
      <c r="DZ80" s="65"/>
      <c r="EA80" s="65"/>
      <c r="EB80" s="65"/>
      <c r="EC80" s="65"/>
      <c r="ED80" s="65"/>
      <c r="EE80" s="65"/>
      <c r="EF80" s="65"/>
      <c r="EG80" s="65"/>
    </row>
    <row r="81" spans="1:138" s="10" customFormat="1" ht="15.9" customHeight="1" outlineLevel="1" x14ac:dyDescent="0.3">
      <c r="A81" s="7" t="s">
        <v>23</v>
      </c>
      <c r="B81" s="7"/>
      <c r="C81" s="8" t="s">
        <v>44</v>
      </c>
      <c r="D81" s="146">
        <v>26.79</v>
      </c>
      <c r="E81" s="7" t="s">
        <v>91</v>
      </c>
      <c r="F81" s="7" t="s">
        <v>185</v>
      </c>
      <c r="G81" s="9" t="s">
        <v>187</v>
      </c>
      <c r="H81" s="9"/>
      <c r="I81" s="204" cm="1">
        <f t="array" ref="I81">IFERROR(LOOKUP(2,1/(N81:GR81&lt;&gt;""),N$4:DRA$4),"")</f>
        <v>45175</v>
      </c>
      <c r="J81" s="218" cm="1">
        <f t="array" ref="J81">IFERROR(_xlfn.XLOOKUP(TRUE,N81:EH81&lt;&gt;"",N81:EH81,,,-1)," ")</f>
        <v>23.2</v>
      </c>
      <c r="K81" s="45">
        <v>22</v>
      </c>
      <c r="L81" s="45"/>
      <c r="M81" s="282" t="s">
        <v>184</v>
      </c>
      <c r="N81" s="57"/>
      <c r="O81" s="70"/>
      <c r="P81" s="57"/>
      <c r="Q81" s="57"/>
      <c r="R81" s="57"/>
      <c r="S81" s="57"/>
      <c r="T81" s="57"/>
      <c r="U81" s="57">
        <v>12.8</v>
      </c>
      <c r="V81" s="57"/>
      <c r="W81" s="115"/>
      <c r="X81" s="57"/>
      <c r="Y81" s="57"/>
      <c r="Z81" s="57"/>
      <c r="AA81" s="57"/>
      <c r="AB81" s="70"/>
      <c r="AC81" s="57"/>
      <c r="AD81" s="57"/>
      <c r="AE81" s="57">
        <v>17.7</v>
      </c>
      <c r="AF81" s="57"/>
      <c r="AG81" s="57"/>
      <c r="AH81" s="57"/>
      <c r="AI81" s="57"/>
      <c r="AJ81" s="57"/>
      <c r="AK81" s="57"/>
      <c r="AL81" s="57"/>
      <c r="AM81" s="57"/>
      <c r="AN81" s="57"/>
      <c r="AO81" s="57">
        <v>20.8</v>
      </c>
      <c r="AP81" s="57"/>
      <c r="AQ81" s="57"/>
      <c r="AR81" s="57"/>
      <c r="AS81" s="57"/>
      <c r="AT81" s="57"/>
      <c r="AU81" s="61">
        <v>22</v>
      </c>
      <c r="AV81" s="61"/>
      <c r="AW81" s="57"/>
      <c r="AX81" s="57"/>
      <c r="AY81" s="57"/>
      <c r="AZ81" s="57"/>
      <c r="BA81" s="57"/>
      <c r="BB81" s="61">
        <v>23.2</v>
      </c>
      <c r="BC81" s="61"/>
      <c r="BD81" s="57"/>
      <c r="BE81" s="57"/>
      <c r="BF81" s="61"/>
      <c r="BG81" s="57"/>
      <c r="BH81" s="57"/>
      <c r="BI81" s="61"/>
      <c r="BJ81" s="61"/>
      <c r="BK81" s="57"/>
      <c r="BL81" s="61"/>
      <c r="BM81" s="57"/>
      <c r="BN81" s="61"/>
      <c r="BO81" s="57"/>
      <c r="BP81" s="58"/>
      <c r="BQ81" s="61"/>
      <c r="BR81" s="61"/>
      <c r="BS81" s="61"/>
      <c r="BT81" s="61"/>
      <c r="BU81" s="61"/>
      <c r="BV81" s="61"/>
      <c r="BW81" s="61"/>
      <c r="BX81" s="61"/>
      <c r="BY81" s="61"/>
      <c r="BZ81" s="61"/>
      <c r="CA81" s="61"/>
      <c r="CB81" s="57"/>
      <c r="CC81" s="61"/>
      <c r="CD81" s="61"/>
      <c r="CE81" s="61"/>
      <c r="CF81" s="57"/>
      <c r="CG81" s="61"/>
      <c r="CH81" s="61"/>
      <c r="CI81" s="61"/>
      <c r="CJ81" s="57"/>
      <c r="CK81" s="61"/>
      <c r="CL81" s="61"/>
      <c r="CM81" s="61"/>
      <c r="CN81" s="61"/>
      <c r="CO81" s="61"/>
      <c r="CP81" s="61"/>
      <c r="CQ81" s="61"/>
      <c r="CR81" s="61"/>
      <c r="CS81" s="61"/>
      <c r="CT81" s="61"/>
      <c r="CU81" s="61"/>
      <c r="CV81" s="61"/>
      <c r="CW81" s="61"/>
      <c r="CX81" s="61"/>
      <c r="CY81" s="61"/>
      <c r="CZ81" s="61"/>
      <c r="DA81" s="61"/>
      <c r="DB81" s="61"/>
      <c r="DC81" s="61"/>
      <c r="DD81" s="61"/>
      <c r="DE81" s="61"/>
      <c r="DF81" s="61"/>
      <c r="DG81" s="61"/>
      <c r="DH81" s="61"/>
      <c r="DI81" s="61"/>
      <c r="DJ81" s="61"/>
      <c r="DK81" s="61"/>
      <c r="DL81" s="61"/>
      <c r="DM81" s="61"/>
      <c r="DN81" s="61"/>
      <c r="DO81" s="61"/>
      <c r="DP81" s="61"/>
      <c r="DQ81" s="156"/>
      <c r="DR81" s="156"/>
      <c r="DS81" s="156"/>
      <c r="DT81" s="156"/>
      <c r="DU81" s="156"/>
      <c r="DV81" s="156"/>
      <c r="DW81" s="156"/>
      <c r="DX81" s="156"/>
      <c r="DY81" s="156"/>
      <c r="DZ81" s="65"/>
      <c r="EA81" s="65"/>
      <c r="EB81" s="65"/>
      <c r="EC81" s="65"/>
      <c r="ED81" s="65"/>
      <c r="EE81" s="65"/>
      <c r="EF81" s="65"/>
      <c r="EG81" s="65"/>
    </row>
    <row r="82" spans="1:138" s="135" customFormat="1" ht="15.9" customHeight="1" outlineLevel="1" x14ac:dyDescent="0.3">
      <c r="A82" s="7" t="s">
        <v>23</v>
      </c>
      <c r="B82" s="7"/>
      <c r="C82" s="8" t="s">
        <v>44</v>
      </c>
      <c r="D82" s="146">
        <v>26.24</v>
      </c>
      <c r="E82" s="7" t="s">
        <v>91</v>
      </c>
      <c r="F82" s="7" t="s">
        <v>185</v>
      </c>
      <c r="G82" s="9" t="s">
        <v>188</v>
      </c>
      <c r="H82" s="9"/>
      <c r="I82" s="204" cm="1">
        <f t="array" ref="I82">IFERROR(LOOKUP(2,1/(N82:GR82&lt;&gt;""),N$4:DRA$4),"")</f>
        <v>45175</v>
      </c>
      <c r="J82" s="218" cm="1">
        <f t="array" ref="J82">IFERROR(_xlfn.XLOOKUP(TRUE,N82:EH82&lt;&gt;"",N82:EH82,,,-1)," ")</f>
        <v>23.5</v>
      </c>
      <c r="K82" s="45">
        <v>22</v>
      </c>
      <c r="L82" s="45"/>
      <c r="M82" s="282" t="s">
        <v>184</v>
      </c>
      <c r="N82" s="57"/>
      <c r="O82" s="70"/>
      <c r="P82" s="57"/>
      <c r="Q82" s="57"/>
      <c r="R82" s="57"/>
      <c r="S82" s="57"/>
      <c r="T82" s="57"/>
      <c r="U82" s="57">
        <v>14.2</v>
      </c>
      <c r="V82" s="57"/>
      <c r="W82" s="70"/>
      <c r="X82" s="57"/>
      <c r="Y82" s="57"/>
      <c r="Z82" s="57"/>
      <c r="AA82" s="57"/>
      <c r="AB82" s="70"/>
      <c r="AC82" s="57"/>
      <c r="AD82" s="57"/>
      <c r="AE82" s="57">
        <v>17.5</v>
      </c>
      <c r="AF82" s="57"/>
      <c r="AG82" s="57"/>
      <c r="AH82" s="57"/>
      <c r="AI82" s="57"/>
      <c r="AJ82" s="57"/>
      <c r="AK82" s="57"/>
      <c r="AL82" s="57"/>
      <c r="AM82" s="57"/>
      <c r="AN82" s="57"/>
      <c r="AO82" s="57">
        <v>20.399999999999999</v>
      </c>
      <c r="AP82" s="57"/>
      <c r="AQ82" s="57"/>
      <c r="AR82" s="57"/>
      <c r="AS82" s="128"/>
      <c r="AT82" s="57"/>
      <c r="AU82" s="61">
        <v>22.2</v>
      </c>
      <c r="AV82" s="61"/>
      <c r="AW82" s="57"/>
      <c r="AX82" s="57"/>
      <c r="AY82" s="57"/>
      <c r="AZ82" s="57"/>
      <c r="BA82" s="57"/>
      <c r="BB82" s="61">
        <v>23.5</v>
      </c>
      <c r="BC82" s="61"/>
      <c r="BD82" s="57"/>
      <c r="BE82" s="57"/>
      <c r="BF82" s="61"/>
      <c r="BG82" s="57"/>
      <c r="BH82" s="57"/>
      <c r="BI82" s="61"/>
      <c r="BJ82" s="61"/>
      <c r="BK82" s="57"/>
      <c r="BL82" s="61"/>
      <c r="BM82" s="57"/>
      <c r="BN82" s="61"/>
      <c r="BO82" s="57"/>
      <c r="BP82" s="58"/>
      <c r="BQ82" s="61"/>
      <c r="BR82" s="61"/>
      <c r="BS82" s="61"/>
      <c r="BT82" s="61"/>
      <c r="BU82" s="61"/>
      <c r="BV82" s="61"/>
      <c r="BW82" s="61"/>
      <c r="BX82" s="61"/>
      <c r="BY82" s="61"/>
      <c r="BZ82" s="61"/>
      <c r="CA82" s="61"/>
      <c r="CB82" s="57"/>
      <c r="CC82" s="61"/>
      <c r="CD82" s="61"/>
      <c r="CE82" s="61"/>
      <c r="CF82" s="57"/>
      <c r="CG82" s="61"/>
      <c r="CH82" s="61"/>
      <c r="CI82" s="61"/>
      <c r="CJ82" s="57"/>
      <c r="CK82" s="61"/>
      <c r="CL82" s="61"/>
      <c r="CM82" s="61"/>
      <c r="CN82" s="61"/>
      <c r="CO82" s="61"/>
      <c r="CP82" s="61"/>
      <c r="CQ82" s="61"/>
      <c r="CR82" s="61"/>
      <c r="CS82" s="61"/>
      <c r="CT82" s="61"/>
      <c r="CU82" s="61"/>
      <c r="CV82" s="61"/>
      <c r="CW82" s="61"/>
      <c r="CX82" s="61"/>
      <c r="CY82" s="61"/>
      <c r="CZ82" s="61"/>
      <c r="DA82" s="61"/>
      <c r="DB82" s="61"/>
      <c r="DC82" s="61"/>
      <c r="DD82" s="61"/>
      <c r="DE82" s="61"/>
      <c r="DF82" s="61"/>
      <c r="DG82" s="61"/>
      <c r="DH82" s="61"/>
      <c r="DI82" s="61"/>
      <c r="DJ82" s="61"/>
      <c r="DK82" s="61"/>
      <c r="DL82" s="61"/>
      <c r="DM82" s="61"/>
      <c r="DN82" s="61"/>
      <c r="DO82" s="61"/>
      <c r="DP82" s="61"/>
      <c r="DQ82" s="156"/>
      <c r="DR82" s="156"/>
      <c r="DS82" s="156"/>
      <c r="DT82" s="156"/>
      <c r="DU82" s="156"/>
      <c r="DV82" s="156"/>
      <c r="DW82" s="156"/>
      <c r="DX82" s="156"/>
      <c r="DY82" s="156"/>
      <c r="DZ82" s="59"/>
      <c r="EA82" s="59"/>
      <c r="EB82" s="59"/>
      <c r="EC82" s="59"/>
      <c r="ED82" s="59"/>
      <c r="EE82" s="59"/>
      <c r="EF82" s="59"/>
      <c r="EG82" s="59"/>
      <c r="EH82" s="10"/>
    </row>
    <row r="83" spans="1:138" s="5" customFormat="1" ht="15.9" customHeight="1" x14ac:dyDescent="0.3">
      <c r="A83" s="83"/>
      <c r="B83" s="83"/>
      <c r="C83" s="91"/>
      <c r="D83" s="82"/>
      <c r="E83" s="83" t="s">
        <v>189</v>
      </c>
      <c r="F83" s="83"/>
      <c r="G83" s="84" t="s">
        <v>190</v>
      </c>
      <c r="H83" s="84"/>
      <c r="I83" s="203"/>
      <c r="J83" s="167"/>
      <c r="K83" s="220"/>
      <c r="L83" s="92"/>
      <c r="M83" s="280" t="s">
        <v>21</v>
      </c>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101"/>
      <c r="AV83" s="101"/>
      <c r="AW83" s="94"/>
      <c r="AX83" s="101"/>
      <c r="AY83" s="94"/>
      <c r="AZ83" s="94"/>
      <c r="BA83" s="94"/>
      <c r="BB83" s="101"/>
      <c r="BC83" s="101"/>
      <c r="BD83" s="94"/>
      <c r="BE83" s="94"/>
      <c r="BF83" s="94"/>
      <c r="BG83" s="94"/>
      <c r="BH83" s="94"/>
      <c r="BI83" s="101"/>
      <c r="BJ83" s="101"/>
      <c r="BK83" s="94"/>
      <c r="BL83" s="94"/>
      <c r="BM83" s="94"/>
      <c r="BN83" s="94"/>
      <c r="BO83" s="94"/>
      <c r="BP83" s="95"/>
      <c r="BQ83" s="101"/>
      <c r="BR83" s="94"/>
      <c r="BS83" s="94"/>
      <c r="BT83" s="94"/>
      <c r="BU83" s="94"/>
      <c r="BV83" s="94"/>
      <c r="BW83" s="94"/>
      <c r="BX83" s="94"/>
      <c r="BY83" s="94"/>
      <c r="BZ83" s="94"/>
      <c r="CA83" s="94"/>
      <c r="CB83" s="94"/>
      <c r="CC83" s="93"/>
      <c r="CD83" s="101"/>
      <c r="CE83" s="101"/>
      <c r="CF83" s="94"/>
      <c r="CG83" s="94"/>
      <c r="CH83" s="94"/>
      <c r="CI83" s="94"/>
      <c r="CJ83" s="94"/>
      <c r="CK83" s="101"/>
      <c r="CL83" s="101"/>
      <c r="CM83" s="94"/>
      <c r="CN83" s="94"/>
      <c r="CO83" s="94"/>
      <c r="CP83" s="94"/>
      <c r="CQ83" s="94"/>
      <c r="CR83" s="101"/>
      <c r="CS83" s="101"/>
      <c r="CT83" s="94"/>
      <c r="CU83" s="94"/>
      <c r="CV83" s="101"/>
      <c r="CW83" s="101"/>
      <c r="CX83" s="101"/>
      <c r="CY83" s="101"/>
      <c r="CZ83" s="101"/>
      <c r="DA83" s="101"/>
      <c r="DB83" s="101"/>
      <c r="DC83" s="101"/>
      <c r="DD83" s="101"/>
      <c r="DE83" s="101"/>
      <c r="DF83" s="101"/>
      <c r="DG83" s="101"/>
      <c r="DH83" s="101"/>
      <c r="DI83" s="101"/>
      <c r="DJ83" s="101"/>
      <c r="DK83" s="101"/>
      <c r="DL83" s="101"/>
      <c r="DM83" s="101"/>
      <c r="DN83" s="101"/>
      <c r="DO83" s="101"/>
      <c r="DP83" s="101"/>
      <c r="DQ83" s="161"/>
      <c r="DR83" s="161"/>
      <c r="DS83" s="161"/>
      <c r="DT83" s="161"/>
      <c r="DU83" s="161"/>
      <c r="DV83" s="161"/>
      <c r="DW83" s="161"/>
      <c r="DX83" s="161"/>
      <c r="DY83" s="161"/>
      <c r="DZ83" s="65"/>
      <c r="EA83" s="65"/>
      <c r="EB83" s="65"/>
      <c r="EC83" s="65"/>
      <c r="ED83" s="65"/>
      <c r="EE83" s="65"/>
      <c r="EF83" s="65"/>
      <c r="EG83" s="65"/>
    </row>
    <row r="84" spans="1:138" s="10" customFormat="1" ht="15.9" customHeight="1" x14ac:dyDescent="0.3">
      <c r="A84" s="7" t="s">
        <v>22</v>
      </c>
      <c r="B84" s="7"/>
      <c r="C84" s="8" t="s">
        <v>44</v>
      </c>
      <c r="D84" s="146">
        <v>22.95</v>
      </c>
      <c r="E84" s="7" t="s">
        <v>189</v>
      </c>
      <c r="F84" s="7" t="s">
        <v>191</v>
      </c>
      <c r="G84" s="9" t="s">
        <v>192</v>
      </c>
      <c r="H84" s="9"/>
      <c r="I84" s="204" cm="1">
        <f t="array" ref="I84">IFERROR(LOOKUP(2,1/(N84:GR84&lt;&gt;""),N$4:DRA$4),"")</f>
        <v>45217</v>
      </c>
      <c r="J84" s="266" cm="1">
        <f t="array" ref="J84">IFERROR(_xlfn.XLOOKUP(TRUE,N84:EH84&lt;&gt;"",N84:EH84,,,-1)," ")</f>
        <v>25.6</v>
      </c>
      <c r="K84" s="45"/>
      <c r="L84" s="45">
        <v>25</v>
      </c>
      <c r="M84" s="285" t="s">
        <v>28</v>
      </c>
      <c r="N84" s="76"/>
      <c r="O84" s="76"/>
      <c r="P84" s="76"/>
      <c r="Q84" s="76"/>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6"/>
      <c r="AT84" s="76"/>
      <c r="AU84" s="367"/>
      <c r="AV84" s="367"/>
      <c r="AW84" s="76"/>
      <c r="AX84" s="367"/>
      <c r="AY84" s="76"/>
      <c r="AZ84" s="76"/>
      <c r="BA84" s="76"/>
      <c r="BB84" s="61">
        <v>19</v>
      </c>
      <c r="BC84" s="367"/>
      <c r="BD84" s="76"/>
      <c r="BE84" s="76"/>
      <c r="BF84" s="76"/>
      <c r="BG84" s="76"/>
      <c r="BH84" s="76"/>
      <c r="BI84" s="61">
        <v>21.1</v>
      </c>
      <c r="BJ84" s="367"/>
      <c r="BK84" s="76"/>
      <c r="BL84" s="76"/>
      <c r="BM84" s="76"/>
      <c r="BN84" s="76"/>
      <c r="BO84" s="76"/>
      <c r="BP84" s="387">
        <v>22.6</v>
      </c>
      <c r="BQ84" s="367"/>
      <c r="BR84" s="76"/>
      <c r="BS84" s="76"/>
      <c r="BT84" s="76"/>
      <c r="BU84" s="76"/>
      <c r="BV84" s="76"/>
      <c r="BW84" s="76"/>
      <c r="BX84" s="387">
        <v>23.2</v>
      </c>
      <c r="BY84" s="76"/>
      <c r="BZ84" s="76"/>
      <c r="CA84" s="76"/>
      <c r="CB84" s="76"/>
      <c r="CC84" s="404"/>
      <c r="CD84" s="367"/>
      <c r="CE84" s="367"/>
      <c r="CF84" s="76"/>
      <c r="CG84" s="58">
        <v>23.3</v>
      </c>
      <c r="CH84" s="76"/>
      <c r="CI84" s="76"/>
      <c r="CJ84" s="76"/>
      <c r="CK84" s="61">
        <v>25.3</v>
      </c>
      <c r="CL84" s="160">
        <v>23.7</v>
      </c>
      <c r="CM84" s="76"/>
      <c r="CN84" s="76"/>
      <c r="CO84" s="76"/>
      <c r="CP84" s="76"/>
      <c r="CQ84" s="76"/>
      <c r="CR84" s="61">
        <v>25.6</v>
      </c>
      <c r="CS84" s="367"/>
      <c r="CT84" s="76"/>
      <c r="CU84" s="76"/>
      <c r="CV84" s="367"/>
      <c r="CW84" s="367"/>
      <c r="CX84" s="367"/>
      <c r="CY84" s="367"/>
      <c r="CZ84" s="367"/>
      <c r="DA84" s="367"/>
      <c r="DB84" s="367"/>
      <c r="DC84" s="367"/>
      <c r="DD84" s="367"/>
      <c r="DE84" s="367"/>
      <c r="DF84" s="367"/>
      <c r="DG84" s="367"/>
      <c r="DH84" s="367"/>
      <c r="DI84" s="367"/>
      <c r="DJ84" s="367"/>
      <c r="DK84" s="367"/>
      <c r="DL84" s="367"/>
      <c r="DM84" s="367"/>
      <c r="DN84" s="367"/>
      <c r="DO84" s="367"/>
      <c r="DP84" s="367"/>
      <c r="DQ84" s="368"/>
      <c r="DR84" s="368"/>
      <c r="DS84" s="368"/>
      <c r="DT84" s="368"/>
      <c r="DU84" s="368"/>
      <c r="DV84" s="368"/>
      <c r="DW84" s="368"/>
      <c r="DX84" s="368"/>
      <c r="DY84" s="368"/>
      <c r="DZ84" s="59"/>
      <c r="EA84" s="59"/>
      <c r="EB84" s="59"/>
      <c r="EC84" s="59"/>
      <c r="ED84" s="59"/>
      <c r="EE84" s="59"/>
      <c r="EF84" s="59"/>
      <c r="EG84" s="59"/>
    </row>
    <row r="85" spans="1:138" s="10" customFormat="1" ht="15.9" customHeight="1" x14ac:dyDescent="0.3">
      <c r="A85" s="6" t="s">
        <v>22</v>
      </c>
      <c r="B85" s="6"/>
      <c r="C85" s="50" t="s">
        <v>44</v>
      </c>
      <c r="D85" s="147">
        <v>15.91</v>
      </c>
      <c r="E85" s="6" t="s">
        <v>189</v>
      </c>
      <c r="F85" s="6" t="s">
        <v>193</v>
      </c>
      <c r="G85" s="11" t="s">
        <v>194</v>
      </c>
      <c r="H85" s="11"/>
      <c r="I85" s="205" cm="1">
        <f t="array" ref="I85">IFERROR(LOOKUP(2,1/(N85:GR85&lt;&gt;""),N$4:DRA$4),"")</f>
        <v>45211</v>
      </c>
      <c r="J85" s="271" cm="1">
        <f t="array" ref="J85">IFERROR(_xlfn.XLOOKUP(TRUE,N85:EH85&lt;&gt;"",N85:EH85,,,-1)," ")</f>
        <v>25</v>
      </c>
      <c r="K85" s="49"/>
      <c r="L85" s="49">
        <v>25</v>
      </c>
      <c r="M85" s="287" t="s">
        <v>28</v>
      </c>
      <c r="N85" s="62"/>
      <c r="O85" s="62"/>
      <c r="P85" s="62"/>
      <c r="Q85" s="62"/>
      <c r="R85" s="62"/>
      <c r="S85" s="62"/>
      <c r="T85" s="62"/>
      <c r="U85" s="62"/>
      <c r="V85" s="62"/>
      <c r="W85" s="62"/>
      <c r="X85" s="62"/>
      <c r="Y85" s="62"/>
      <c r="Z85" s="62"/>
      <c r="AA85" s="62"/>
      <c r="AB85" s="62"/>
      <c r="AC85" s="62"/>
      <c r="AD85" s="62"/>
      <c r="AE85" s="62"/>
      <c r="AF85" s="62"/>
      <c r="AG85" s="62"/>
      <c r="AH85" s="62"/>
      <c r="AI85" s="62"/>
      <c r="AJ85" s="62"/>
      <c r="AK85" s="62"/>
      <c r="AL85" s="62"/>
      <c r="AM85" s="62"/>
      <c r="AN85" s="62"/>
      <c r="AO85" s="62"/>
      <c r="AP85" s="62"/>
      <c r="AQ85" s="62"/>
      <c r="AR85" s="62"/>
      <c r="AS85" s="62"/>
      <c r="AT85" s="62"/>
      <c r="AU85" s="63"/>
      <c r="AV85" s="63"/>
      <c r="AW85" s="62"/>
      <c r="AX85" s="63"/>
      <c r="AY85" s="62"/>
      <c r="AZ85" s="62"/>
      <c r="BA85" s="64"/>
      <c r="BB85" s="63">
        <v>21.3</v>
      </c>
      <c r="BC85" s="63"/>
      <c r="BD85" s="62"/>
      <c r="BE85" s="62"/>
      <c r="BF85" s="62"/>
      <c r="BG85" s="62"/>
      <c r="BH85" s="64"/>
      <c r="BI85" s="63">
        <v>21</v>
      </c>
      <c r="BJ85" s="63"/>
      <c r="BK85" s="62"/>
      <c r="BL85" s="62"/>
      <c r="BM85" s="62"/>
      <c r="BN85" s="62"/>
      <c r="BO85" s="62"/>
      <c r="BP85" s="62">
        <v>22.7</v>
      </c>
      <c r="BQ85" s="63"/>
      <c r="BR85" s="62"/>
      <c r="BS85" s="63"/>
      <c r="BT85" s="63"/>
      <c r="BU85" s="63"/>
      <c r="BV85" s="63"/>
      <c r="BW85" s="63"/>
      <c r="BX85" s="63"/>
      <c r="BY85" s="63"/>
      <c r="BZ85" s="63"/>
      <c r="CA85" s="63"/>
      <c r="CB85" s="62"/>
      <c r="CC85" s="51">
        <v>23.4</v>
      </c>
      <c r="CD85" s="63"/>
      <c r="CE85" s="63"/>
      <c r="CF85" s="62"/>
      <c r="CG85" s="159">
        <v>23.8</v>
      </c>
      <c r="CH85" s="62"/>
      <c r="CI85" s="63"/>
      <c r="CJ85" s="62"/>
      <c r="CK85" s="63">
        <v>25.8</v>
      </c>
      <c r="CL85" s="159">
        <v>25</v>
      </c>
      <c r="CM85" s="63"/>
      <c r="CN85" s="63"/>
      <c r="CO85" s="63"/>
      <c r="CP85" s="63"/>
      <c r="CQ85" s="63"/>
      <c r="CR85" s="63"/>
      <c r="CS85" s="63"/>
      <c r="CT85" s="63"/>
      <c r="CU85" s="63"/>
      <c r="CV85" s="63"/>
      <c r="CW85" s="63"/>
      <c r="CX85" s="63"/>
      <c r="CY85" s="63"/>
      <c r="CZ85" s="63"/>
      <c r="DA85" s="63"/>
      <c r="DB85" s="63"/>
      <c r="DC85" s="63"/>
      <c r="DD85" s="63"/>
      <c r="DE85" s="63"/>
      <c r="DF85" s="63"/>
      <c r="DG85" s="63"/>
      <c r="DH85" s="63"/>
      <c r="DI85" s="63"/>
      <c r="DJ85" s="63"/>
      <c r="DK85" s="63"/>
      <c r="DL85" s="63"/>
      <c r="DM85" s="63"/>
      <c r="DN85" s="63"/>
      <c r="DO85" s="63"/>
      <c r="DP85" s="63"/>
      <c r="DQ85" s="158"/>
      <c r="DR85" s="158"/>
      <c r="DS85" s="158"/>
      <c r="DT85" s="158"/>
      <c r="DU85" s="158"/>
      <c r="DV85" s="158"/>
      <c r="DW85" s="158"/>
      <c r="DX85" s="158"/>
      <c r="DY85" s="158"/>
      <c r="DZ85" s="65"/>
      <c r="EA85" s="65"/>
      <c r="EB85" s="65"/>
      <c r="EC85" s="65"/>
      <c r="ED85" s="65"/>
      <c r="EE85" s="65"/>
      <c r="EF85" s="65"/>
      <c r="EG85" s="65"/>
    </row>
    <row r="86" spans="1:138" s="5" customFormat="1" ht="15.9" customHeight="1" outlineLevel="1" x14ac:dyDescent="0.3">
      <c r="A86" s="7" t="s">
        <v>23</v>
      </c>
      <c r="B86" s="7"/>
      <c r="C86" s="8" t="s">
        <v>44</v>
      </c>
      <c r="D86" s="146">
        <v>26.53</v>
      </c>
      <c r="E86" s="7" t="s">
        <v>189</v>
      </c>
      <c r="F86" s="7" t="s">
        <v>195</v>
      </c>
      <c r="G86" s="9" t="s">
        <v>196</v>
      </c>
      <c r="H86" s="9"/>
      <c r="I86" s="204" cm="1">
        <f t="array" ref="I86">IFERROR(LOOKUP(2,1/(N86:GR86&lt;&gt;""),N$4:DRA$4),"")</f>
        <v>45212</v>
      </c>
      <c r="J86" s="169" cm="1">
        <f t="array" ref="J86">IFERROR(_xlfn.XLOOKUP(TRUE,N86:EH86&lt;&gt;"",N86:EH86,,,-1)," ")</f>
        <v>24.7</v>
      </c>
      <c r="K86" s="45"/>
      <c r="L86" s="45">
        <v>25</v>
      </c>
      <c r="M86" s="285" t="s">
        <v>28</v>
      </c>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57"/>
      <c r="AS86" s="57"/>
      <c r="AT86" s="57"/>
      <c r="AU86" s="61"/>
      <c r="AV86" s="61"/>
      <c r="AW86" s="57"/>
      <c r="AX86" s="61"/>
      <c r="AY86" s="57"/>
      <c r="AZ86" s="57"/>
      <c r="BA86" s="57"/>
      <c r="BB86" s="61">
        <v>19.399999999999999</v>
      </c>
      <c r="BC86" s="61"/>
      <c r="BD86" s="57"/>
      <c r="BE86" s="57"/>
      <c r="BF86" s="57"/>
      <c r="BG86" s="57"/>
      <c r="BH86" s="57"/>
      <c r="BI86" s="61">
        <v>21.4</v>
      </c>
      <c r="BJ86" s="61"/>
      <c r="BK86" s="57"/>
      <c r="BL86" s="57"/>
      <c r="BM86" s="58"/>
      <c r="BN86" s="57"/>
      <c r="BO86" s="57"/>
      <c r="BP86" s="57">
        <v>22.2</v>
      </c>
      <c r="BQ86" s="61"/>
      <c r="BR86" s="57"/>
      <c r="BS86" s="61"/>
      <c r="BT86" s="61"/>
      <c r="BU86" s="61"/>
      <c r="BV86" s="61"/>
      <c r="BW86" s="61"/>
      <c r="BX86" s="61"/>
      <c r="BY86" s="61"/>
      <c r="BZ86" s="61"/>
      <c r="CA86" s="58">
        <v>23.9</v>
      </c>
      <c r="CB86" s="10"/>
      <c r="CC86" s="27"/>
      <c r="CD86" s="61"/>
      <c r="CE86" s="160">
        <v>23.3</v>
      </c>
      <c r="CF86" s="57"/>
      <c r="CG86" s="61"/>
      <c r="CH86" s="57"/>
      <c r="CI86" s="61"/>
      <c r="CJ86" s="57"/>
      <c r="CK86" s="61">
        <v>25.3</v>
      </c>
      <c r="CL86" s="160"/>
      <c r="CM86" s="160">
        <v>24.7</v>
      </c>
      <c r="CN86" s="61"/>
      <c r="CO86" s="61"/>
      <c r="CP86" s="61"/>
      <c r="CQ86" s="61"/>
      <c r="CR86" s="61"/>
      <c r="CS86" s="61"/>
      <c r="CT86" s="61"/>
      <c r="CU86" s="61"/>
      <c r="CV86" s="61"/>
      <c r="CW86" s="61"/>
      <c r="CX86" s="61"/>
      <c r="CY86" s="61"/>
      <c r="CZ86" s="61"/>
      <c r="DA86" s="61"/>
      <c r="DB86" s="61"/>
      <c r="DC86" s="61"/>
      <c r="DD86" s="61"/>
      <c r="DE86" s="61"/>
      <c r="DF86" s="61"/>
      <c r="DG86" s="61"/>
      <c r="DH86" s="61"/>
      <c r="DI86" s="61"/>
      <c r="DJ86" s="61"/>
      <c r="DK86" s="61"/>
      <c r="DL86" s="61"/>
      <c r="DM86" s="61"/>
      <c r="DN86" s="61"/>
      <c r="DO86" s="61"/>
      <c r="DP86" s="61"/>
      <c r="DQ86" s="156"/>
      <c r="DR86" s="156"/>
      <c r="DS86" s="156"/>
      <c r="DT86" s="156"/>
      <c r="DU86" s="156"/>
      <c r="DV86" s="156"/>
      <c r="DW86" s="156"/>
      <c r="DX86" s="156"/>
      <c r="DY86" s="156"/>
      <c r="DZ86" s="65"/>
      <c r="EA86" s="65"/>
      <c r="EB86" s="65"/>
      <c r="EC86" s="65"/>
      <c r="ED86" s="65"/>
      <c r="EE86" s="65"/>
      <c r="EF86" s="65"/>
      <c r="EG86" s="65"/>
    </row>
    <row r="87" spans="1:138" s="10" customFormat="1" ht="15.9" customHeight="1" outlineLevel="1" x14ac:dyDescent="0.3">
      <c r="A87" s="6" t="s">
        <v>22</v>
      </c>
      <c r="B87" s="6"/>
      <c r="C87" s="50" t="s">
        <v>44</v>
      </c>
      <c r="D87" s="147">
        <v>20.23</v>
      </c>
      <c r="E87" s="6" t="s">
        <v>189</v>
      </c>
      <c r="F87" s="6" t="s">
        <v>197</v>
      </c>
      <c r="G87" s="11" t="s">
        <v>198</v>
      </c>
      <c r="H87" s="11"/>
      <c r="I87" s="205" cm="1">
        <f t="array" ref="I87">IFERROR(LOOKUP(2,1/(N87:GR87&lt;&gt;""),N$4:DRA$4),"")</f>
        <v>45211</v>
      </c>
      <c r="J87" s="271" cm="1">
        <f t="array" ref="J87">IFERROR(_xlfn.XLOOKUP(TRUE,N87:EH87&lt;&gt;"",N87:EH87,,,-1)," ")</f>
        <v>24.1</v>
      </c>
      <c r="K87" s="49"/>
      <c r="L87" s="49">
        <v>25</v>
      </c>
      <c r="M87" s="287" t="s">
        <v>28</v>
      </c>
      <c r="N87" s="62"/>
      <c r="O87" s="62"/>
      <c r="P87" s="62"/>
      <c r="Q87" s="62"/>
      <c r="R87" s="62"/>
      <c r="S87" s="62"/>
      <c r="T87" s="62"/>
      <c r="U87" s="62"/>
      <c r="V87" s="62"/>
      <c r="W87" s="62"/>
      <c r="X87" s="62"/>
      <c r="Y87" s="62"/>
      <c r="Z87" s="62"/>
      <c r="AA87" s="62"/>
      <c r="AB87" s="62"/>
      <c r="AC87" s="62"/>
      <c r="AD87" s="62"/>
      <c r="AE87" s="62"/>
      <c r="AF87" s="62"/>
      <c r="AG87" s="62"/>
      <c r="AH87" s="62"/>
      <c r="AI87" s="62"/>
      <c r="AJ87" s="62"/>
      <c r="AK87" s="62"/>
      <c r="AL87" s="62"/>
      <c r="AM87" s="62"/>
      <c r="AN87" s="62"/>
      <c r="AO87" s="62"/>
      <c r="AP87" s="62"/>
      <c r="AQ87" s="62"/>
      <c r="AR87" s="62"/>
      <c r="AS87" s="62"/>
      <c r="AT87" s="62"/>
      <c r="AU87" s="63"/>
      <c r="AV87" s="63"/>
      <c r="AW87" s="62"/>
      <c r="AX87" s="63"/>
      <c r="AY87" s="62"/>
      <c r="AZ87" s="62"/>
      <c r="BA87" s="62"/>
      <c r="BB87" s="63">
        <v>19.399999999999999</v>
      </c>
      <c r="BC87" s="63"/>
      <c r="BD87" s="62"/>
      <c r="BE87" s="62"/>
      <c r="BF87" s="62"/>
      <c r="BG87" s="62"/>
      <c r="BH87" s="64"/>
      <c r="BI87" s="63">
        <v>20.399999999999999</v>
      </c>
      <c r="BJ87" s="63"/>
      <c r="BK87" s="62"/>
      <c r="BL87" s="62"/>
      <c r="BM87" s="64"/>
      <c r="BN87" s="62"/>
      <c r="BO87" s="62"/>
      <c r="BP87" s="62">
        <v>22.2</v>
      </c>
      <c r="BQ87" s="63"/>
      <c r="BR87" s="62"/>
      <c r="BS87" s="62"/>
      <c r="BT87" s="62"/>
      <c r="BU87" s="62"/>
      <c r="BV87" s="62"/>
      <c r="BW87" s="62"/>
      <c r="BX87" s="62"/>
      <c r="BY87" s="62"/>
      <c r="BZ87" s="62"/>
      <c r="CA87" s="64">
        <v>24.1</v>
      </c>
      <c r="CB87" s="5"/>
      <c r="CC87" s="51"/>
      <c r="CD87" s="63"/>
      <c r="CE87" s="159">
        <v>22.7</v>
      </c>
      <c r="CF87" s="62"/>
      <c r="CG87" s="63"/>
      <c r="CH87" s="62"/>
      <c r="CI87" s="63"/>
      <c r="CJ87" s="62"/>
      <c r="CK87" s="63">
        <v>25.4</v>
      </c>
      <c r="CL87" s="159">
        <v>24.1</v>
      </c>
      <c r="CM87" s="63"/>
      <c r="CN87" s="63"/>
      <c r="CO87" s="63"/>
      <c r="CP87" s="63"/>
      <c r="CQ87" s="63"/>
      <c r="CR87" s="63"/>
      <c r="CS87" s="63"/>
      <c r="CT87" s="63"/>
      <c r="CU87" s="63"/>
      <c r="CV87" s="63"/>
      <c r="CW87" s="63"/>
      <c r="CX87" s="63"/>
      <c r="CY87" s="63"/>
      <c r="CZ87" s="63"/>
      <c r="DA87" s="63"/>
      <c r="DB87" s="63"/>
      <c r="DC87" s="63"/>
      <c r="DD87" s="63"/>
      <c r="DE87" s="63"/>
      <c r="DF87" s="63"/>
      <c r="DG87" s="63"/>
      <c r="DH87" s="63"/>
      <c r="DI87" s="63"/>
      <c r="DJ87" s="63"/>
      <c r="DK87" s="63"/>
      <c r="DL87" s="63"/>
      <c r="DM87" s="63"/>
      <c r="DN87" s="63"/>
      <c r="DO87" s="63"/>
      <c r="DP87" s="63"/>
      <c r="DQ87" s="158"/>
      <c r="DR87" s="158"/>
      <c r="DS87" s="158"/>
      <c r="DT87" s="158"/>
      <c r="DU87" s="158"/>
      <c r="DV87" s="158"/>
      <c r="DW87" s="158"/>
      <c r="DX87" s="158"/>
      <c r="DY87" s="158"/>
      <c r="DZ87" s="65"/>
      <c r="EA87" s="65"/>
      <c r="EB87" s="65"/>
      <c r="EC87" s="65"/>
      <c r="ED87" s="65"/>
      <c r="EE87" s="65"/>
      <c r="EF87" s="65"/>
      <c r="EG87" s="65"/>
    </row>
    <row r="88" spans="1:138" s="5" customFormat="1" ht="15.9" customHeight="1" outlineLevel="1" x14ac:dyDescent="0.3">
      <c r="A88" s="7" t="s">
        <v>22</v>
      </c>
      <c r="B88" s="7"/>
      <c r="C88" s="54" t="s">
        <v>44</v>
      </c>
      <c r="D88" s="148">
        <v>22.56</v>
      </c>
      <c r="E88" s="53" t="s">
        <v>189</v>
      </c>
      <c r="F88" s="53" t="s">
        <v>199</v>
      </c>
      <c r="G88" s="52" t="s">
        <v>200</v>
      </c>
      <c r="H88" s="52"/>
      <c r="I88" s="204" cm="1">
        <f t="array" ref="I88">IFERROR(LOOKUP(2,1/(N88:GR88&lt;&gt;""),N$4:DRA$4),"")</f>
        <v>45181</v>
      </c>
      <c r="J88" s="266" cm="1">
        <f t="array" ref="J88">IFERROR(_xlfn.XLOOKUP(TRUE,N88:EH88&lt;&gt;"",N88:EH88,,,-1)," ")</f>
        <v>25.6</v>
      </c>
      <c r="K88" s="45"/>
      <c r="L88" s="45">
        <v>25</v>
      </c>
      <c r="M88" s="285" t="s">
        <v>28</v>
      </c>
      <c r="N88" s="57"/>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57"/>
      <c r="AT88" s="57"/>
      <c r="AU88" s="61"/>
      <c r="AV88" s="61"/>
      <c r="AW88" s="57"/>
      <c r="AX88" s="61">
        <v>23.2</v>
      </c>
      <c r="AY88" s="57"/>
      <c r="AZ88" s="57"/>
      <c r="BA88" s="57"/>
      <c r="BB88" s="160">
        <v>23.5</v>
      </c>
      <c r="BC88" s="61"/>
      <c r="BD88" s="57"/>
      <c r="BE88" s="57"/>
      <c r="BF88" s="57"/>
      <c r="BG88" s="57"/>
      <c r="BH88" s="58">
        <v>25.6</v>
      </c>
      <c r="BI88" s="61"/>
      <c r="BJ88" s="61"/>
      <c r="BK88" s="57"/>
      <c r="BL88" s="57"/>
      <c r="BM88" s="58"/>
      <c r="BN88" s="57"/>
      <c r="BO88" s="57"/>
      <c r="BP88" s="58"/>
      <c r="BQ88" s="61"/>
      <c r="BR88" s="57"/>
      <c r="BS88" s="57"/>
      <c r="BT88" s="57"/>
      <c r="BU88" s="57"/>
      <c r="BV88" s="57"/>
      <c r="BW88" s="57"/>
      <c r="BX88" s="57"/>
      <c r="BY88" s="57"/>
      <c r="BZ88" s="57"/>
      <c r="CA88" s="57"/>
      <c r="CB88" s="10"/>
      <c r="CC88" s="61"/>
      <c r="CD88" s="61"/>
      <c r="CE88" s="61"/>
      <c r="CF88" s="57"/>
      <c r="CG88" s="61"/>
      <c r="CH88" s="57"/>
      <c r="CI88" s="61"/>
      <c r="CJ88" s="57"/>
      <c r="CK88" s="61"/>
      <c r="CL88" s="61"/>
      <c r="CM88" s="61"/>
      <c r="CN88" s="61"/>
      <c r="CO88" s="61"/>
      <c r="CP88" s="61"/>
      <c r="CQ88" s="61"/>
      <c r="CR88" s="61"/>
      <c r="CS88" s="61"/>
      <c r="CT88" s="61"/>
      <c r="CU88" s="61"/>
      <c r="CV88" s="61"/>
      <c r="CW88" s="61"/>
      <c r="CX88" s="61"/>
      <c r="CY88" s="61"/>
      <c r="CZ88" s="61"/>
      <c r="DA88" s="61"/>
      <c r="DB88" s="61"/>
      <c r="DC88" s="61"/>
      <c r="DD88" s="61"/>
      <c r="DE88" s="61"/>
      <c r="DF88" s="61"/>
      <c r="DG88" s="61"/>
      <c r="DH88" s="61"/>
      <c r="DI88" s="61"/>
      <c r="DJ88" s="61"/>
      <c r="DK88" s="61"/>
      <c r="DL88" s="61"/>
      <c r="DM88" s="61"/>
      <c r="DN88" s="61"/>
      <c r="DO88" s="61"/>
      <c r="DP88" s="61"/>
      <c r="DQ88" s="156"/>
      <c r="DR88" s="156"/>
      <c r="DS88" s="156"/>
      <c r="DT88" s="156"/>
      <c r="DU88" s="156"/>
      <c r="DV88" s="156"/>
      <c r="DW88" s="156"/>
      <c r="DX88" s="156"/>
      <c r="DY88" s="156"/>
      <c r="DZ88" s="59"/>
      <c r="EA88" s="59"/>
      <c r="EB88" s="59"/>
      <c r="EC88" s="59"/>
      <c r="ED88" s="59"/>
      <c r="EE88" s="59"/>
      <c r="EF88" s="59"/>
      <c r="EG88" s="59"/>
    </row>
    <row r="89" spans="1:138" s="10" customFormat="1" ht="15.9" customHeight="1" outlineLevel="1" x14ac:dyDescent="0.3">
      <c r="A89" s="6" t="s">
        <v>23</v>
      </c>
      <c r="B89" s="6"/>
      <c r="C89" s="129" t="s">
        <v>44</v>
      </c>
      <c r="D89" s="149">
        <v>38.49</v>
      </c>
      <c r="E89" s="130" t="s">
        <v>189</v>
      </c>
      <c r="F89" s="130" t="s">
        <v>201</v>
      </c>
      <c r="G89" s="131" t="s">
        <v>202</v>
      </c>
      <c r="H89" s="131"/>
      <c r="I89" s="205" cm="1">
        <f t="array" ref="I89">IFERROR(LOOKUP(2,1/(N89:GR89&lt;&gt;""),N$4:DRA$4),"")</f>
        <v>45202</v>
      </c>
      <c r="J89" s="170" cm="1">
        <f t="array" ref="J89">IFERROR(_xlfn.XLOOKUP(TRUE,N89:EH89&lt;&gt;"",N89:EH89,,,-1)," ")</f>
        <v>25.7</v>
      </c>
      <c r="K89" s="49"/>
      <c r="L89" s="49">
        <v>25</v>
      </c>
      <c r="M89" s="287" t="s">
        <v>28</v>
      </c>
      <c r="N89" s="62"/>
      <c r="O89" s="62"/>
      <c r="P89" s="62"/>
      <c r="Q89" s="62"/>
      <c r="R89" s="62"/>
      <c r="S89" s="62"/>
      <c r="T89" s="62"/>
      <c r="U89" s="62"/>
      <c r="V89" s="62"/>
      <c r="W89" s="62"/>
      <c r="X89" s="62"/>
      <c r="Y89" s="62"/>
      <c r="Z89" s="62"/>
      <c r="AA89" s="62"/>
      <c r="AB89" s="62"/>
      <c r="AC89" s="62"/>
      <c r="AD89" s="62"/>
      <c r="AE89" s="62"/>
      <c r="AF89" s="62"/>
      <c r="AG89" s="62"/>
      <c r="AH89" s="62"/>
      <c r="AI89" s="62"/>
      <c r="AJ89" s="62"/>
      <c r="AK89" s="62"/>
      <c r="AL89" s="62"/>
      <c r="AM89" s="62"/>
      <c r="AN89" s="62"/>
      <c r="AO89" s="62"/>
      <c r="AP89" s="62"/>
      <c r="AQ89" s="62"/>
      <c r="AR89" s="62"/>
      <c r="AS89" s="62"/>
      <c r="AT89" s="62"/>
      <c r="AU89" s="63"/>
      <c r="AV89" s="63"/>
      <c r="AW89" s="62"/>
      <c r="AX89" s="63">
        <v>20.6</v>
      </c>
      <c r="AY89" s="62"/>
      <c r="AZ89" s="62"/>
      <c r="BA89" s="62"/>
      <c r="BB89" s="63"/>
      <c r="BC89" s="318"/>
      <c r="BD89" s="62"/>
      <c r="BE89" s="62"/>
      <c r="BF89" s="62"/>
      <c r="BG89" s="62"/>
      <c r="BH89" s="62">
        <v>22.8</v>
      </c>
      <c r="BI89" s="63"/>
      <c r="BJ89" s="63"/>
      <c r="BK89" s="62"/>
      <c r="BL89" s="62"/>
      <c r="BM89" s="64"/>
      <c r="BN89" s="62"/>
      <c r="BO89" s="62"/>
      <c r="BP89" s="64"/>
      <c r="BQ89" s="63">
        <v>22.9</v>
      </c>
      <c r="BR89" s="62"/>
      <c r="BS89" s="62"/>
      <c r="BT89" s="62"/>
      <c r="BU89" s="62"/>
      <c r="BV89" s="62"/>
      <c r="BW89" s="62">
        <v>23.9</v>
      </c>
      <c r="BX89" s="62"/>
      <c r="BY89" s="62"/>
      <c r="BZ89" s="62"/>
      <c r="CA89" s="64">
        <v>25.1</v>
      </c>
      <c r="CB89" s="5"/>
      <c r="CC89" s="403">
        <v>25.7</v>
      </c>
      <c r="CD89" s="63"/>
      <c r="CE89" s="63"/>
      <c r="CF89" s="62"/>
      <c r="CG89" s="63"/>
      <c r="CH89" s="62"/>
      <c r="CI89" s="63"/>
      <c r="CJ89" s="62"/>
      <c r="CK89" s="63"/>
      <c r="CL89" s="63"/>
      <c r="CM89" s="63"/>
      <c r="CN89" s="63"/>
      <c r="CO89" s="63"/>
      <c r="CP89" s="63"/>
      <c r="CQ89" s="63"/>
      <c r="CR89" s="63"/>
      <c r="CS89" s="63"/>
      <c r="CT89" s="63"/>
      <c r="CU89" s="63"/>
      <c r="CV89" s="63"/>
      <c r="CW89" s="63"/>
      <c r="CX89" s="63"/>
      <c r="CY89" s="63"/>
      <c r="CZ89" s="63"/>
      <c r="DA89" s="63"/>
      <c r="DB89" s="63"/>
      <c r="DC89" s="63"/>
      <c r="DD89" s="63"/>
      <c r="DE89" s="63"/>
      <c r="DF89" s="63"/>
      <c r="DG89" s="63"/>
      <c r="DH89" s="63"/>
      <c r="DI89" s="63"/>
      <c r="DJ89" s="63"/>
      <c r="DK89" s="63"/>
      <c r="DL89" s="63"/>
      <c r="DM89" s="63"/>
      <c r="DN89" s="63"/>
      <c r="DO89" s="63"/>
      <c r="DP89" s="63"/>
      <c r="DQ89" s="158"/>
      <c r="DR89" s="158"/>
      <c r="DS89" s="158"/>
      <c r="DT89" s="158"/>
      <c r="DU89" s="158"/>
      <c r="DV89" s="158"/>
      <c r="DW89" s="158"/>
      <c r="DX89" s="158"/>
      <c r="DY89" s="158"/>
      <c r="DZ89" s="65"/>
      <c r="EA89" s="65"/>
      <c r="EB89" s="65"/>
      <c r="EC89" s="65"/>
      <c r="ED89" s="65"/>
      <c r="EE89" s="65"/>
      <c r="EF89" s="65"/>
      <c r="EG89" s="65"/>
    </row>
    <row r="90" spans="1:138" s="5" customFormat="1" ht="15.9" customHeight="1" outlineLevel="1" x14ac:dyDescent="0.3">
      <c r="A90" s="7"/>
      <c r="B90" s="7"/>
      <c r="C90" s="8" t="s">
        <v>44</v>
      </c>
      <c r="D90" s="146">
        <v>45.32</v>
      </c>
      <c r="E90" s="7" t="s">
        <v>189</v>
      </c>
      <c r="F90" s="7" t="s">
        <v>203</v>
      </c>
      <c r="G90" s="9" t="s">
        <v>204</v>
      </c>
      <c r="H90" s="9"/>
      <c r="I90" s="204" cm="1">
        <f t="array" ref="I90">IFERROR(LOOKUP(2,1/(N90:GR90&lt;&gt;""),N$4:DRA$4),"")</f>
        <v>45176</v>
      </c>
      <c r="J90" s="169" cm="1">
        <f t="array" ref="J90">IFERROR(_xlfn.XLOOKUP(TRUE,N90:EH90&lt;&gt;"",N90:EH90,,,-1)," ")</f>
        <v>19</v>
      </c>
      <c r="K90" s="45">
        <v>22.5</v>
      </c>
      <c r="L90" s="45"/>
      <c r="M90" s="282" t="s">
        <v>205</v>
      </c>
      <c r="N90" s="57"/>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c r="AR90" s="57"/>
      <c r="AS90" s="57"/>
      <c r="AT90" s="57"/>
      <c r="AU90" s="61"/>
      <c r="AV90" s="61"/>
      <c r="AW90" s="57"/>
      <c r="AX90" s="61"/>
      <c r="AY90" s="57"/>
      <c r="AZ90" s="57"/>
      <c r="BA90" s="57"/>
      <c r="BB90" s="61"/>
      <c r="BC90" s="318">
        <v>19</v>
      </c>
      <c r="BD90" s="57"/>
      <c r="BE90" s="57"/>
      <c r="BF90" s="57"/>
      <c r="BG90" s="57"/>
      <c r="BH90" s="57"/>
      <c r="BI90" s="61"/>
      <c r="BJ90" s="61"/>
      <c r="BK90" s="57"/>
      <c r="BL90" s="57"/>
      <c r="BM90" s="57"/>
      <c r="BN90" s="57"/>
      <c r="BO90" s="57"/>
      <c r="BP90" s="58"/>
      <c r="BQ90" s="61"/>
      <c r="BR90" s="57"/>
      <c r="BS90" s="57"/>
      <c r="BT90" s="57"/>
      <c r="BU90" s="57"/>
      <c r="BV90" s="57"/>
      <c r="BW90" s="57"/>
      <c r="BX90" s="57"/>
      <c r="BY90" s="57"/>
      <c r="BZ90" s="57"/>
      <c r="CA90" s="57"/>
      <c r="CB90" s="57"/>
      <c r="CC90" s="27"/>
      <c r="CD90" s="61"/>
      <c r="CE90" s="61"/>
      <c r="CF90" s="57"/>
      <c r="CG90" s="57"/>
      <c r="CH90" s="57"/>
      <c r="CI90" s="61"/>
      <c r="CJ90" s="57"/>
      <c r="CK90" s="61"/>
      <c r="CL90" s="61"/>
      <c r="CM90" s="61"/>
      <c r="CN90" s="61"/>
      <c r="CO90" s="61"/>
      <c r="CP90" s="61"/>
      <c r="CQ90" s="61"/>
      <c r="CR90" s="61"/>
      <c r="CS90" s="61"/>
      <c r="CT90" s="61"/>
      <c r="CU90" s="61"/>
      <c r="CV90" s="61"/>
      <c r="CW90" s="61"/>
      <c r="CX90" s="61"/>
      <c r="CY90" s="61"/>
      <c r="CZ90" s="61"/>
      <c r="DA90" s="61"/>
      <c r="DB90" s="61"/>
      <c r="DC90" s="61"/>
      <c r="DD90" s="61"/>
      <c r="DE90" s="61"/>
      <c r="DF90" s="61"/>
      <c r="DG90" s="61"/>
      <c r="DH90" s="61"/>
      <c r="DI90" s="61"/>
      <c r="DJ90" s="61"/>
      <c r="DK90" s="61"/>
      <c r="DL90" s="61"/>
      <c r="DM90" s="61"/>
      <c r="DN90" s="61"/>
      <c r="DO90" s="61"/>
      <c r="DP90" s="61"/>
      <c r="DQ90" s="156"/>
      <c r="DR90" s="156"/>
      <c r="DS90" s="156"/>
      <c r="DT90" s="156"/>
      <c r="DU90" s="156"/>
      <c r="DV90" s="156"/>
      <c r="DW90" s="156"/>
      <c r="DX90" s="156"/>
      <c r="DY90" s="156"/>
      <c r="DZ90" s="65"/>
      <c r="EA90" s="65"/>
      <c r="EB90" s="65"/>
      <c r="EC90" s="65"/>
      <c r="ED90" s="65"/>
      <c r="EE90" s="65"/>
      <c r="EF90" s="65"/>
      <c r="EG90" s="65"/>
    </row>
    <row r="91" spans="1:138" s="10" customFormat="1" ht="15.9" customHeight="1" outlineLevel="1" x14ac:dyDescent="0.3">
      <c r="A91" s="7"/>
      <c r="B91" s="7"/>
      <c r="C91" s="8" t="s">
        <v>44</v>
      </c>
      <c r="D91" s="146"/>
      <c r="E91" s="7" t="s">
        <v>189</v>
      </c>
      <c r="F91" s="7" t="s">
        <v>203</v>
      </c>
      <c r="G91" s="9" t="s">
        <v>206</v>
      </c>
      <c r="H91" s="9"/>
      <c r="I91" s="204" cm="1">
        <f t="array" ref="I91">IFERROR(LOOKUP(2,1/(N91:GR91&lt;&gt;""),N$4:DRA$4),"")</f>
        <v>45212</v>
      </c>
      <c r="J91" s="169" cm="1">
        <f t="array" ref="J91">IFERROR(_xlfn.XLOOKUP(TRUE,N91:EH91&lt;&gt;"",N91:EH91,,,-1)," ")</f>
        <v>24</v>
      </c>
      <c r="K91" s="45">
        <v>22.5</v>
      </c>
      <c r="L91" s="45"/>
      <c r="M91" s="282" t="s">
        <v>205</v>
      </c>
      <c r="N91" s="57"/>
      <c r="O91" s="57"/>
      <c r="P91" s="57"/>
      <c r="Q91" s="57"/>
      <c r="R91" s="57"/>
      <c r="S91" s="57"/>
      <c r="T91" s="57"/>
      <c r="U91" s="57"/>
      <c r="V91" s="57"/>
      <c r="W91" s="57"/>
      <c r="X91" s="57"/>
      <c r="Y91" s="57"/>
      <c r="Z91" s="57"/>
      <c r="AA91" s="57"/>
      <c r="AB91" s="57"/>
      <c r="AC91" s="57"/>
      <c r="AD91" s="57"/>
      <c r="AE91" s="57"/>
      <c r="AF91" s="57"/>
      <c r="AG91" s="57"/>
      <c r="AH91" s="57"/>
      <c r="AI91" s="57"/>
      <c r="AJ91" s="57"/>
      <c r="AK91" s="57"/>
      <c r="AL91" s="57"/>
      <c r="AM91" s="57"/>
      <c r="AN91" s="57"/>
      <c r="AO91" s="57"/>
      <c r="AP91" s="57"/>
      <c r="AQ91" s="57"/>
      <c r="AR91" s="57"/>
      <c r="AS91" s="57"/>
      <c r="AT91" s="57"/>
      <c r="AU91" s="61"/>
      <c r="AV91" s="61"/>
      <c r="AW91" s="57"/>
      <c r="AX91" s="61"/>
      <c r="AY91" s="57"/>
      <c r="AZ91" s="57"/>
      <c r="BA91" s="57"/>
      <c r="BB91" s="61"/>
      <c r="BC91" s="61"/>
      <c r="BD91" s="57"/>
      <c r="BE91" s="57"/>
      <c r="BF91" s="57"/>
      <c r="BG91" s="57"/>
      <c r="BH91" s="57"/>
      <c r="BI91" s="61"/>
      <c r="BJ91" s="61"/>
      <c r="BK91" s="57"/>
      <c r="BL91" s="57"/>
      <c r="BM91" s="57"/>
      <c r="BN91" s="57"/>
      <c r="BO91" s="57"/>
      <c r="BP91" s="58"/>
      <c r="BQ91" s="61"/>
      <c r="BR91" s="57"/>
      <c r="BS91" s="57"/>
      <c r="BT91" s="57"/>
      <c r="BU91" s="57"/>
      <c r="BV91" s="57"/>
      <c r="BW91" s="57"/>
      <c r="BX91" s="57"/>
      <c r="BY91" s="57"/>
      <c r="BZ91" s="57"/>
      <c r="CA91" s="57"/>
      <c r="CB91" s="57"/>
      <c r="CC91" s="27"/>
      <c r="CD91" s="61"/>
      <c r="CE91" s="61"/>
      <c r="CF91" s="57"/>
      <c r="CG91" s="57">
        <v>22.2</v>
      </c>
      <c r="CH91" s="57"/>
      <c r="CI91" s="61"/>
      <c r="CJ91" s="57"/>
      <c r="CK91" s="61"/>
      <c r="CL91" s="61"/>
      <c r="CM91" s="61">
        <v>24</v>
      </c>
      <c r="CN91" s="61"/>
      <c r="CO91" s="61"/>
      <c r="CP91" s="61"/>
      <c r="CQ91" s="61"/>
      <c r="CR91" s="61"/>
      <c r="CS91" s="61"/>
      <c r="CT91" s="61"/>
      <c r="CU91" s="61"/>
      <c r="CV91" s="61"/>
      <c r="CW91" s="61"/>
      <c r="CX91" s="61"/>
      <c r="CY91" s="61"/>
      <c r="CZ91" s="61"/>
      <c r="DA91" s="61"/>
      <c r="DB91" s="61"/>
      <c r="DC91" s="61"/>
      <c r="DD91" s="61"/>
      <c r="DE91" s="61"/>
      <c r="DF91" s="61"/>
      <c r="DG91" s="61"/>
      <c r="DH91" s="61"/>
      <c r="DI91" s="61"/>
      <c r="DJ91" s="61"/>
      <c r="DK91" s="61"/>
      <c r="DL91" s="61"/>
      <c r="DM91" s="61"/>
      <c r="DN91" s="61"/>
      <c r="DO91" s="61"/>
      <c r="DP91" s="61"/>
      <c r="DQ91" s="156"/>
      <c r="DR91" s="156"/>
      <c r="DS91" s="156"/>
      <c r="DT91" s="156"/>
      <c r="DU91" s="156"/>
      <c r="DV91" s="156"/>
      <c r="DW91" s="156"/>
      <c r="DX91" s="156"/>
      <c r="DY91" s="156"/>
      <c r="DZ91" s="65"/>
      <c r="EA91" s="65"/>
      <c r="EB91" s="65"/>
      <c r="EC91" s="65"/>
      <c r="ED91" s="65"/>
      <c r="EE91" s="65"/>
      <c r="EF91" s="65"/>
      <c r="EG91" s="65"/>
    </row>
    <row r="92" spans="1:138" s="10" customFormat="1" ht="15.9" customHeight="1" outlineLevel="1" x14ac:dyDescent="0.3">
      <c r="A92" s="7"/>
      <c r="B92" s="7"/>
      <c r="C92" s="8" t="s">
        <v>44</v>
      </c>
      <c r="D92" s="146"/>
      <c r="E92" s="7" t="s">
        <v>189</v>
      </c>
      <c r="F92" s="7" t="s">
        <v>203</v>
      </c>
      <c r="G92" s="9" t="s">
        <v>207</v>
      </c>
      <c r="H92" s="9"/>
      <c r="I92" s="204" cm="1">
        <f t="array" ref="I92">IFERROR(LOOKUP(2,1/(N92:GR92&lt;&gt;""),N$4:DRA$4),"")</f>
        <v>45212</v>
      </c>
      <c r="J92" s="169" t="str" cm="1">
        <f t="array" ref="J92">IFERROR(_xlfn.XLOOKUP(TRUE,N92:EH92&lt;&gt;"",N92:EH92,,,-1)," ")</f>
        <v>25.4*</v>
      </c>
      <c r="K92" s="45">
        <v>22.5</v>
      </c>
      <c r="L92" s="45"/>
      <c r="M92" s="282" t="s">
        <v>205</v>
      </c>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61"/>
      <c r="AV92" s="61"/>
      <c r="AW92" s="57"/>
      <c r="AX92" s="61"/>
      <c r="AY92" s="57"/>
      <c r="AZ92" s="57"/>
      <c r="BA92" s="57"/>
      <c r="BB92" s="61"/>
      <c r="BC92" s="61"/>
      <c r="BD92" s="57"/>
      <c r="BE92" s="57"/>
      <c r="BF92" s="57"/>
      <c r="BG92" s="57"/>
      <c r="BH92" s="57"/>
      <c r="BI92" s="61"/>
      <c r="BJ92" s="61"/>
      <c r="BK92" s="57"/>
      <c r="BL92" s="57"/>
      <c r="BM92" s="57"/>
      <c r="BN92" s="57"/>
      <c r="BO92" s="57"/>
      <c r="BP92" s="58"/>
      <c r="BQ92" s="61"/>
      <c r="BR92" s="57"/>
      <c r="BS92" s="57"/>
      <c r="BT92" s="57"/>
      <c r="BU92" s="57"/>
      <c r="BV92" s="57"/>
      <c r="BW92" s="57"/>
      <c r="BX92" s="57"/>
      <c r="BY92" s="57"/>
      <c r="BZ92" s="57"/>
      <c r="CA92" s="57"/>
      <c r="CB92" s="57"/>
      <c r="CC92" s="27"/>
      <c r="CD92" s="61"/>
      <c r="CE92" s="61"/>
      <c r="CF92" s="57"/>
      <c r="CG92" s="57">
        <v>22.7</v>
      </c>
      <c r="CH92" s="57"/>
      <c r="CI92" s="61"/>
      <c r="CJ92" s="57"/>
      <c r="CK92" s="61"/>
      <c r="CL92" s="61"/>
      <c r="CM92" s="61" t="s">
        <v>208</v>
      </c>
      <c r="CN92" s="61"/>
      <c r="CO92" s="61"/>
      <c r="CP92" s="61"/>
      <c r="CQ92" s="61"/>
      <c r="CR92" s="61"/>
      <c r="CS92" s="61"/>
      <c r="CT92" s="61"/>
      <c r="CU92" s="61"/>
      <c r="CV92" s="61"/>
      <c r="CW92" s="61"/>
      <c r="CX92" s="61"/>
      <c r="CY92" s="61"/>
      <c r="CZ92" s="61"/>
      <c r="DA92" s="61"/>
      <c r="DB92" s="61"/>
      <c r="DC92" s="61"/>
      <c r="DD92" s="61"/>
      <c r="DE92" s="61"/>
      <c r="DF92" s="61"/>
      <c r="DG92" s="61"/>
      <c r="DH92" s="61"/>
      <c r="DI92" s="61"/>
      <c r="DJ92" s="61"/>
      <c r="DK92" s="61"/>
      <c r="DL92" s="61"/>
      <c r="DM92" s="61"/>
      <c r="DN92" s="61"/>
      <c r="DO92" s="61"/>
      <c r="DP92" s="61"/>
      <c r="DQ92" s="156"/>
      <c r="DR92" s="156"/>
      <c r="DS92" s="156"/>
      <c r="DT92" s="156"/>
      <c r="DU92" s="156"/>
      <c r="DV92" s="156"/>
      <c r="DW92" s="156"/>
      <c r="DX92" s="156"/>
      <c r="DY92" s="156"/>
      <c r="DZ92" s="65"/>
      <c r="EA92" s="65"/>
      <c r="EB92" s="65"/>
      <c r="EC92" s="65"/>
      <c r="ED92" s="65"/>
      <c r="EE92" s="65"/>
      <c r="EF92" s="65"/>
      <c r="EG92" s="65"/>
    </row>
    <row r="93" spans="1:138" s="10" customFormat="1" ht="15.9" customHeight="1" outlineLevel="1" x14ac:dyDescent="0.3">
      <c r="A93" s="7"/>
      <c r="B93" s="7"/>
      <c r="C93" s="8" t="s">
        <v>44</v>
      </c>
      <c r="D93" s="146"/>
      <c r="E93" s="7" t="s">
        <v>189</v>
      </c>
      <c r="F93" s="7" t="s">
        <v>203</v>
      </c>
      <c r="G93" s="9" t="s">
        <v>209</v>
      </c>
      <c r="H93" s="9"/>
      <c r="I93" s="204" cm="1">
        <f t="array" ref="I93">IFERROR(LOOKUP(2,1/(N93:GR93&lt;&gt;""),N$4:DRA$4),"")</f>
        <v>45212</v>
      </c>
      <c r="J93" s="169" t="str" cm="1">
        <f t="array" ref="J93">IFERROR(_xlfn.XLOOKUP(TRUE,N93:EH93&lt;&gt;"",N93:EH93,,,-1)," ")</f>
        <v>23.6*</v>
      </c>
      <c r="K93" s="45">
        <v>22.5</v>
      </c>
      <c r="L93" s="45"/>
      <c r="M93" s="282" t="s">
        <v>205</v>
      </c>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c r="AT93" s="57"/>
      <c r="AU93" s="61"/>
      <c r="AV93" s="61"/>
      <c r="AW93" s="57"/>
      <c r="AX93" s="61"/>
      <c r="AY93" s="57"/>
      <c r="AZ93" s="57"/>
      <c r="BA93" s="57"/>
      <c r="BB93" s="61"/>
      <c r="BC93" s="61"/>
      <c r="BD93" s="57"/>
      <c r="BE93" s="57"/>
      <c r="BF93" s="57"/>
      <c r="BG93" s="57"/>
      <c r="BH93" s="57"/>
      <c r="BI93" s="61"/>
      <c r="BJ93" s="61"/>
      <c r="BK93" s="57"/>
      <c r="BL93" s="57"/>
      <c r="BM93" s="57"/>
      <c r="BN93" s="57"/>
      <c r="BO93" s="57"/>
      <c r="BP93" s="58"/>
      <c r="BQ93" s="61"/>
      <c r="BR93" s="57"/>
      <c r="BS93" s="57"/>
      <c r="BT93" s="57"/>
      <c r="BU93" s="57"/>
      <c r="BV93" s="57"/>
      <c r="BW93" s="57"/>
      <c r="BX93" s="57"/>
      <c r="BY93" s="57"/>
      <c r="BZ93" s="57"/>
      <c r="CA93" s="57"/>
      <c r="CB93" s="57"/>
      <c r="CC93" s="27"/>
      <c r="CD93" s="61"/>
      <c r="CE93" s="61"/>
      <c r="CF93" s="57"/>
      <c r="CG93" s="57">
        <v>22.1</v>
      </c>
      <c r="CH93" s="57"/>
      <c r="CI93" s="61"/>
      <c r="CJ93" s="57"/>
      <c r="CK93" s="61"/>
      <c r="CL93" s="61"/>
      <c r="CM93" s="61" t="s">
        <v>210</v>
      </c>
      <c r="CN93" s="61"/>
      <c r="CO93" s="61"/>
      <c r="CP93" s="61"/>
      <c r="CQ93" s="61"/>
      <c r="CR93" s="61"/>
      <c r="CS93" s="61"/>
      <c r="CT93" s="61"/>
      <c r="CU93" s="61"/>
      <c r="CV93" s="61"/>
      <c r="CW93" s="61"/>
      <c r="CX93" s="61"/>
      <c r="CY93" s="61"/>
      <c r="CZ93" s="61"/>
      <c r="DA93" s="61"/>
      <c r="DB93" s="61"/>
      <c r="DC93" s="61"/>
      <c r="DD93" s="61"/>
      <c r="DE93" s="61"/>
      <c r="DF93" s="61"/>
      <c r="DG93" s="61"/>
      <c r="DH93" s="61"/>
      <c r="DI93" s="61"/>
      <c r="DJ93" s="61"/>
      <c r="DK93" s="61"/>
      <c r="DL93" s="61"/>
      <c r="DM93" s="61"/>
      <c r="DN93" s="61"/>
      <c r="DO93" s="61"/>
      <c r="DP93" s="61"/>
      <c r="DQ93" s="156"/>
      <c r="DR93" s="156"/>
      <c r="DS93" s="156"/>
      <c r="DT93" s="156"/>
      <c r="DU93" s="156"/>
      <c r="DV93" s="156"/>
      <c r="DW93" s="156"/>
      <c r="DX93" s="156"/>
      <c r="DY93" s="156"/>
      <c r="DZ93" s="65"/>
      <c r="EA93" s="65"/>
      <c r="EB93" s="65"/>
      <c r="EC93" s="65"/>
      <c r="ED93" s="65"/>
      <c r="EE93" s="65"/>
      <c r="EF93" s="65"/>
      <c r="EG93" s="65"/>
    </row>
    <row r="94" spans="1:138" s="10" customFormat="1" ht="15.9" customHeight="1" outlineLevel="1" x14ac:dyDescent="0.3">
      <c r="A94" s="7"/>
      <c r="B94" s="7"/>
      <c r="C94" s="8" t="s">
        <v>44</v>
      </c>
      <c r="D94" s="146"/>
      <c r="E94" s="7" t="s">
        <v>189</v>
      </c>
      <c r="F94" s="7" t="s">
        <v>203</v>
      </c>
      <c r="G94" s="9" t="s">
        <v>211</v>
      </c>
      <c r="H94" s="9"/>
      <c r="I94" s="204" cm="1">
        <f t="array" ref="I94">IFERROR(LOOKUP(2,1/(N94:GR94&lt;&gt;""),N$4:DRA$4),"")</f>
        <v>45226</v>
      </c>
      <c r="J94" s="169" cm="1">
        <f t="array" ref="J94">IFERROR(_xlfn.XLOOKUP(TRUE,N94:EH94&lt;&gt;"",N94:EH94,,,-1)," ")</f>
        <v>25.2</v>
      </c>
      <c r="K94" s="45">
        <v>22.5</v>
      </c>
      <c r="L94" s="45"/>
      <c r="M94" s="282" t="s">
        <v>205</v>
      </c>
      <c r="N94" s="57"/>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57"/>
      <c r="AT94" s="57"/>
      <c r="AU94" s="61"/>
      <c r="AV94" s="61"/>
      <c r="AW94" s="57"/>
      <c r="AX94" s="61"/>
      <c r="AY94" s="57"/>
      <c r="AZ94" s="57"/>
      <c r="BA94" s="57"/>
      <c r="BB94" s="61"/>
      <c r="BC94" s="61"/>
      <c r="BD94" s="57"/>
      <c r="BE94" s="57"/>
      <c r="BF94" s="57"/>
      <c r="BG94" s="57"/>
      <c r="BH94" s="57"/>
      <c r="BI94" s="61"/>
      <c r="BJ94" s="61"/>
      <c r="BK94" s="57"/>
      <c r="BL94" s="57"/>
      <c r="BM94" s="57"/>
      <c r="BN94" s="57"/>
      <c r="BO94" s="57"/>
      <c r="BP94" s="58"/>
      <c r="BQ94" s="61"/>
      <c r="BR94" s="57"/>
      <c r="BS94" s="57"/>
      <c r="BT94" s="57"/>
      <c r="BU94" s="57"/>
      <c r="BV94" s="57"/>
      <c r="BW94" s="57"/>
      <c r="BX94" s="57"/>
      <c r="BY94" s="57"/>
      <c r="BZ94" s="57"/>
      <c r="CA94" s="57"/>
      <c r="CB94" s="57"/>
      <c r="CC94" s="27"/>
      <c r="CD94" s="61"/>
      <c r="CE94" s="61"/>
      <c r="CF94" s="57"/>
      <c r="CG94" s="57">
        <v>23</v>
      </c>
      <c r="CH94" s="57"/>
      <c r="CI94" s="61"/>
      <c r="CJ94" s="57"/>
      <c r="CK94" s="61"/>
      <c r="CL94" s="61"/>
      <c r="CM94" s="61" t="s">
        <v>212</v>
      </c>
      <c r="CN94" s="61"/>
      <c r="CO94" s="61"/>
      <c r="CP94" s="61"/>
      <c r="CQ94" s="61"/>
      <c r="CR94" s="61"/>
      <c r="CS94" s="61"/>
      <c r="CT94" s="61"/>
      <c r="CU94" s="61"/>
      <c r="CV94" s="61"/>
      <c r="CW94" s="61"/>
      <c r="CX94" s="61"/>
      <c r="CY94" s="61"/>
      <c r="CZ94" s="61"/>
      <c r="DA94" s="61">
        <v>25.2</v>
      </c>
      <c r="DB94" s="61"/>
      <c r="DC94" s="61"/>
      <c r="DD94" s="61"/>
      <c r="DE94" s="61"/>
      <c r="DF94" s="61"/>
      <c r="DG94" s="61"/>
      <c r="DH94" s="61"/>
      <c r="DI94" s="61"/>
      <c r="DJ94" s="61"/>
      <c r="DK94" s="61"/>
      <c r="DL94" s="61"/>
      <c r="DM94" s="61"/>
      <c r="DN94" s="61"/>
      <c r="DO94" s="61"/>
      <c r="DP94" s="61"/>
      <c r="DQ94" s="156"/>
      <c r="DR94" s="156"/>
      <c r="DS94" s="156"/>
      <c r="DT94" s="156"/>
      <c r="DU94" s="156"/>
      <c r="DV94" s="156"/>
      <c r="DW94" s="156"/>
      <c r="DX94" s="156"/>
      <c r="DY94" s="156"/>
      <c r="DZ94" s="59"/>
      <c r="EA94" s="59"/>
      <c r="EB94" s="59"/>
      <c r="EC94" s="59"/>
      <c r="ED94" s="59"/>
      <c r="EE94" s="59"/>
      <c r="EF94" s="59"/>
      <c r="EG94" s="59"/>
    </row>
    <row r="95" spans="1:138" s="10" customFormat="1" ht="15.9" customHeight="1" outlineLevel="1" x14ac:dyDescent="0.3">
      <c r="A95" s="7"/>
      <c r="B95" s="7"/>
      <c r="C95" s="8" t="s">
        <v>44</v>
      </c>
      <c r="D95" s="146"/>
      <c r="E95" s="7" t="s">
        <v>189</v>
      </c>
      <c r="F95" s="7" t="s">
        <v>203</v>
      </c>
      <c r="G95" s="9" t="s">
        <v>213</v>
      </c>
      <c r="H95" s="9"/>
      <c r="I95" s="204" cm="1">
        <f t="array" ref="I95">IFERROR(LOOKUP(2,1/(N95:GR95&lt;&gt;""),N$4:DRA$4),"")</f>
        <v>45226</v>
      </c>
      <c r="J95" s="169" cm="1">
        <f t="array" ref="J95">IFERROR(_xlfn.XLOOKUP(TRUE,N95:EH95&lt;&gt;"",N95:EH95,,,-1)," ")</f>
        <v>24</v>
      </c>
      <c r="K95" s="45">
        <v>22.5</v>
      </c>
      <c r="L95" s="45"/>
      <c r="M95" s="282" t="s">
        <v>205</v>
      </c>
      <c r="N95" s="57"/>
      <c r="O95" s="57"/>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c r="AR95" s="57"/>
      <c r="AS95" s="57"/>
      <c r="AT95" s="57"/>
      <c r="AU95" s="61"/>
      <c r="AV95" s="61"/>
      <c r="AW95" s="57"/>
      <c r="AX95" s="61"/>
      <c r="AY95" s="57"/>
      <c r="AZ95" s="57"/>
      <c r="BA95" s="57"/>
      <c r="BB95" s="61"/>
      <c r="BC95" s="61"/>
      <c r="BD95" s="57"/>
      <c r="BE95" s="57"/>
      <c r="BF95" s="57"/>
      <c r="BG95" s="57"/>
      <c r="BH95" s="57"/>
      <c r="BI95" s="61"/>
      <c r="BJ95" s="61"/>
      <c r="BK95" s="57"/>
      <c r="BL95" s="57"/>
      <c r="BM95" s="57"/>
      <c r="BN95" s="57"/>
      <c r="BO95" s="57"/>
      <c r="BP95" s="58"/>
      <c r="BQ95" s="61"/>
      <c r="BR95" s="57"/>
      <c r="BS95" s="57"/>
      <c r="BT95" s="57"/>
      <c r="BU95" s="57"/>
      <c r="BV95" s="57"/>
      <c r="BW95" s="57"/>
      <c r="BX95" s="57"/>
      <c r="BY95" s="57"/>
      <c r="BZ95" s="57"/>
      <c r="CA95" s="57"/>
      <c r="CB95" s="57"/>
      <c r="CC95" s="27"/>
      <c r="CD95" s="61"/>
      <c r="CE95" s="61"/>
      <c r="CF95" s="57"/>
      <c r="CG95" s="61"/>
      <c r="CH95" s="57"/>
      <c r="CI95" s="61"/>
      <c r="CJ95" s="57"/>
      <c r="CK95" s="61"/>
      <c r="CL95" s="61"/>
      <c r="CM95" s="61"/>
      <c r="CN95" s="61"/>
      <c r="CO95" s="61"/>
      <c r="CP95" s="61"/>
      <c r="CQ95" s="61"/>
      <c r="CR95" s="61"/>
      <c r="CS95" s="61"/>
      <c r="CT95" s="61"/>
      <c r="CU95" s="61"/>
      <c r="CV95" s="61"/>
      <c r="CW95" s="61"/>
      <c r="CX95" s="61"/>
      <c r="CY95" s="61"/>
      <c r="CZ95" s="61"/>
      <c r="DA95" s="61">
        <v>24</v>
      </c>
      <c r="DB95" s="61"/>
      <c r="DC95" s="61"/>
      <c r="DD95" s="61"/>
      <c r="DE95" s="61"/>
      <c r="DF95" s="61"/>
      <c r="DG95" s="61"/>
      <c r="DH95" s="61"/>
      <c r="DI95" s="61"/>
      <c r="DJ95" s="61"/>
      <c r="DK95" s="61"/>
      <c r="DL95" s="61"/>
      <c r="DM95" s="61"/>
      <c r="DN95" s="61"/>
      <c r="DO95" s="61"/>
      <c r="DP95" s="61"/>
      <c r="DQ95" s="156"/>
      <c r="DR95" s="156"/>
      <c r="DS95" s="156"/>
      <c r="DT95" s="156"/>
      <c r="DU95" s="156"/>
      <c r="DV95" s="156"/>
      <c r="DW95" s="156"/>
      <c r="DX95" s="156"/>
      <c r="DY95" s="156"/>
      <c r="DZ95" s="65"/>
      <c r="EA95" s="65"/>
      <c r="EB95" s="65"/>
      <c r="EC95" s="65"/>
      <c r="ED95" s="65"/>
      <c r="EE95" s="65"/>
      <c r="EF95" s="65"/>
      <c r="EG95" s="65"/>
    </row>
    <row r="96" spans="1:138" s="10" customFormat="1" ht="15.9" customHeight="1" outlineLevel="1" x14ac:dyDescent="0.3">
      <c r="A96" s="7"/>
      <c r="B96" s="7"/>
      <c r="C96" s="8" t="s">
        <v>44</v>
      </c>
      <c r="D96" s="146"/>
      <c r="E96" s="7" t="s">
        <v>189</v>
      </c>
      <c r="F96" s="7" t="s">
        <v>203</v>
      </c>
      <c r="G96" s="9" t="s">
        <v>214</v>
      </c>
      <c r="H96" s="9"/>
      <c r="I96" s="204" cm="1">
        <f t="array" ref="I96">IFERROR(LOOKUP(2,1/(N96:GR96&lt;&gt;""),N$4:DRA$4),"")</f>
        <v>45226</v>
      </c>
      <c r="J96" s="169" cm="1">
        <f t="array" ref="J96">IFERROR(_xlfn.XLOOKUP(TRUE,N96:EH96&lt;&gt;"",N96:EH96,,,-1)," ")</f>
        <v>25.4</v>
      </c>
      <c r="K96" s="45">
        <v>22.5</v>
      </c>
      <c r="L96" s="45"/>
      <c r="M96" s="282" t="s">
        <v>205</v>
      </c>
      <c r="N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c r="AT96" s="57"/>
      <c r="AU96" s="61"/>
      <c r="AV96" s="61"/>
      <c r="AW96" s="57"/>
      <c r="AX96" s="61"/>
      <c r="AY96" s="57"/>
      <c r="AZ96" s="57"/>
      <c r="BA96" s="57"/>
      <c r="BB96" s="61"/>
      <c r="BC96" s="61"/>
      <c r="BD96" s="57"/>
      <c r="BE96" s="57"/>
      <c r="BF96" s="57"/>
      <c r="BG96" s="57"/>
      <c r="BH96" s="57"/>
      <c r="BI96" s="61"/>
      <c r="BJ96" s="61"/>
      <c r="BK96" s="57"/>
      <c r="BL96" s="57"/>
      <c r="BM96" s="57"/>
      <c r="BN96" s="57"/>
      <c r="BO96" s="57"/>
      <c r="BP96" s="58"/>
      <c r="BQ96" s="61"/>
      <c r="BR96" s="57"/>
      <c r="BS96" s="57"/>
      <c r="BT96" s="57"/>
      <c r="BU96" s="57"/>
      <c r="BV96" s="57"/>
      <c r="BW96" s="57"/>
      <c r="BX96" s="57"/>
      <c r="BY96" s="57"/>
      <c r="BZ96" s="57"/>
      <c r="CA96" s="57"/>
      <c r="CB96" s="57"/>
      <c r="CC96" s="27"/>
      <c r="CD96" s="61"/>
      <c r="CE96" s="61"/>
      <c r="CF96" s="57"/>
      <c r="CG96" s="57"/>
      <c r="CH96" s="57"/>
      <c r="CI96" s="61"/>
      <c r="CJ96" s="57"/>
      <c r="CK96" s="61"/>
      <c r="CL96" s="61"/>
      <c r="CM96" s="61"/>
      <c r="CN96" s="61"/>
      <c r="CO96" s="61"/>
      <c r="CP96" s="61"/>
      <c r="CQ96" s="61"/>
      <c r="CR96" s="61"/>
      <c r="CS96" s="61"/>
      <c r="CT96" s="61"/>
      <c r="CU96" s="61"/>
      <c r="CV96" s="61"/>
      <c r="CW96" s="61"/>
      <c r="CX96" s="61"/>
      <c r="CY96" s="61"/>
      <c r="CZ96" s="61"/>
      <c r="DA96" s="61">
        <v>25.4</v>
      </c>
      <c r="DB96" s="61"/>
      <c r="DC96" s="61"/>
      <c r="DD96" s="61"/>
      <c r="DE96" s="61"/>
      <c r="DF96" s="61"/>
      <c r="DG96" s="61"/>
      <c r="DH96" s="61"/>
      <c r="DI96" s="61"/>
      <c r="DJ96" s="61"/>
      <c r="DK96" s="61"/>
      <c r="DL96" s="61"/>
      <c r="DM96" s="61"/>
      <c r="DN96" s="61"/>
      <c r="DO96" s="61"/>
      <c r="DP96" s="61"/>
      <c r="DQ96" s="156"/>
      <c r="DR96" s="156"/>
      <c r="DS96" s="156"/>
      <c r="DT96" s="156"/>
      <c r="DU96" s="156"/>
      <c r="DV96" s="156"/>
      <c r="DW96" s="156"/>
      <c r="DX96" s="156"/>
      <c r="DY96" s="156"/>
      <c r="DZ96" s="65"/>
      <c r="EA96" s="65"/>
      <c r="EB96" s="65"/>
      <c r="EC96" s="65"/>
      <c r="ED96" s="65"/>
      <c r="EE96" s="65"/>
      <c r="EF96" s="65"/>
      <c r="EG96" s="65"/>
    </row>
    <row r="97" spans="1:137" s="10" customFormat="1" ht="15.9" customHeight="1" outlineLevel="1" x14ac:dyDescent="0.3">
      <c r="A97" s="6"/>
      <c r="B97" s="6" t="s">
        <v>23</v>
      </c>
      <c r="C97" s="50" t="s">
        <v>44</v>
      </c>
      <c r="D97" s="147">
        <v>5</v>
      </c>
      <c r="E97" s="6" t="s">
        <v>189</v>
      </c>
      <c r="F97" s="6" t="s">
        <v>215</v>
      </c>
      <c r="G97" s="11" t="s">
        <v>216</v>
      </c>
      <c r="H97" s="11"/>
      <c r="I97" s="205" cm="1">
        <f t="array" ref="I97">IFERROR(LOOKUP(2,1/(N97:GR97&lt;&gt;""),N$4:DRA$4),"")</f>
        <v>45230</v>
      </c>
      <c r="J97" s="170" cm="1">
        <f t="array" ref="J97">IFERROR(_xlfn.XLOOKUP(TRUE,N97:EH97&lt;&gt;"",N97:EH97,,,-1)," ")</f>
        <v>24.5</v>
      </c>
      <c r="K97" s="49">
        <v>24</v>
      </c>
      <c r="L97" s="49"/>
      <c r="M97" s="284" t="s">
        <v>131</v>
      </c>
      <c r="N97" s="62"/>
      <c r="O97" s="62"/>
      <c r="P97" s="62"/>
      <c r="Q97" s="62"/>
      <c r="R97" s="62"/>
      <c r="S97" s="62"/>
      <c r="T97" s="62"/>
      <c r="U97" s="62"/>
      <c r="V97" s="62"/>
      <c r="W97" s="62"/>
      <c r="X97" s="62"/>
      <c r="Y97" s="62"/>
      <c r="Z97" s="62"/>
      <c r="AA97" s="62"/>
      <c r="AB97" s="62"/>
      <c r="AC97" s="62"/>
      <c r="AD97" s="62"/>
      <c r="AE97" s="62"/>
      <c r="AF97" s="62"/>
      <c r="AG97" s="62"/>
      <c r="AH97" s="62"/>
      <c r="AI97" s="62"/>
      <c r="AJ97" s="62"/>
      <c r="AK97" s="62"/>
      <c r="AL97" s="62"/>
      <c r="AM97" s="62"/>
      <c r="AN97" s="62"/>
      <c r="AO97" s="62"/>
      <c r="AP97" s="62"/>
      <c r="AQ97" s="62"/>
      <c r="AR97" s="62"/>
      <c r="AS97" s="62"/>
      <c r="AT97" s="62"/>
      <c r="AU97" s="63"/>
      <c r="AV97" s="63"/>
      <c r="AW97" s="62"/>
      <c r="AX97" s="63"/>
      <c r="AY97" s="62"/>
      <c r="AZ97" s="62"/>
      <c r="BA97" s="62"/>
      <c r="BB97" s="63"/>
      <c r="BC97" s="63"/>
      <c r="BD97" s="62"/>
      <c r="BE97" s="62"/>
      <c r="BF97" s="62"/>
      <c r="BG97" s="62"/>
      <c r="BH97" s="62"/>
      <c r="BI97" s="63"/>
      <c r="BJ97" s="63">
        <v>19</v>
      </c>
      <c r="BK97" s="62"/>
      <c r="BL97" s="62"/>
      <c r="BM97" s="62"/>
      <c r="BN97" s="62"/>
      <c r="BO97" s="62"/>
      <c r="BP97" s="64"/>
      <c r="BQ97" s="63"/>
      <c r="BR97" s="62">
        <v>20</v>
      </c>
      <c r="BS97" s="62"/>
      <c r="BT97" s="62"/>
      <c r="BU97" s="62"/>
      <c r="BV97" s="62"/>
      <c r="BW97" s="62"/>
      <c r="BX97" s="62"/>
      <c r="BY97" s="62"/>
      <c r="BZ97" s="62"/>
      <c r="CA97" s="62"/>
      <c r="CB97" s="62"/>
      <c r="CC97" s="51"/>
      <c r="CD97" s="63"/>
      <c r="CE97" s="63"/>
      <c r="CF97" s="62">
        <v>20.9</v>
      </c>
      <c r="CG97" s="62"/>
      <c r="CH97" s="62"/>
      <c r="CI97" s="62"/>
      <c r="CJ97" s="62"/>
      <c r="CK97" s="63"/>
      <c r="CL97" s="63"/>
      <c r="CM97" s="62">
        <v>22.8</v>
      </c>
      <c r="CN97" s="62"/>
      <c r="CO97" s="62"/>
      <c r="CP97" s="62"/>
      <c r="CQ97" s="62"/>
      <c r="CR97" s="63"/>
      <c r="CS97" s="63">
        <v>22.7</v>
      </c>
      <c r="CT97" s="62"/>
      <c r="CU97" s="62"/>
      <c r="CV97" s="63"/>
      <c r="CW97" s="63"/>
      <c r="CX97" s="63"/>
      <c r="CY97" s="63"/>
      <c r="CZ97" s="63"/>
      <c r="DA97" s="63"/>
      <c r="DB97" s="63"/>
      <c r="DC97" s="63"/>
      <c r="DD97" s="63"/>
      <c r="DE97" s="63">
        <v>24.5</v>
      </c>
      <c r="DF97" s="63"/>
      <c r="DG97" s="63"/>
      <c r="DH97" s="63"/>
      <c r="DI97" s="63"/>
      <c r="DJ97" s="63"/>
      <c r="DK97" s="63"/>
      <c r="DL97" s="63"/>
      <c r="DM97" s="63"/>
      <c r="DN97" s="63"/>
      <c r="DO97" s="63"/>
      <c r="DP97" s="63"/>
      <c r="DQ97" s="158"/>
      <c r="DR97" s="158"/>
      <c r="DS97" s="158"/>
      <c r="DT97" s="158"/>
      <c r="DU97" s="158"/>
      <c r="DV97" s="158"/>
      <c r="DW97" s="158"/>
      <c r="DX97" s="158"/>
      <c r="DY97" s="158"/>
      <c r="DZ97" s="65"/>
      <c r="EA97" s="65"/>
      <c r="EB97" s="65"/>
      <c r="EC97" s="65"/>
      <c r="ED97" s="65"/>
      <c r="EE97" s="65"/>
      <c r="EF97" s="65"/>
      <c r="EG97" s="65"/>
    </row>
    <row r="98" spans="1:137" s="10" customFormat="1" ht="15.9" customHeight="1" outlineLevel="1" x14ac:dyDescent="0.3">
      <c r="A98" s="7"/>
      <c r="B98" s="7" t="s">
        <v>23</v>
      </c>
      <c r="C98" s="8" t="s">
        <v>44</v>
      </c>
      <c r="D98" s="146">
        <v>104.19</v>
      </c>
      <c r="E98" s="7" t="s">
        <v>189</v>
      </c>
      <c r="F98" s="7" t="s">
        <v>217</v>
      </c>
      <c r="G98" s="9" t="s">
        <v>218</v>
      </c>
      <c r="H98" s="9"/>
      <c r="I98" s="204" t="str" cm="1">
        <f t="array" ref="I98">IFERROR(LOOKUP(2,1/(N98:GR98&lt;&gt;""),N$4:DRA$4),"")</f>
        <v/>
      </c>
      <c r="J98" s="169" t="str" cm="1">
        <f t="array" ref="J98">IFERROR(_xlfn.XLOOKUP(TRUE,N98:EH98&lt;&gt;"",N98:EH98,,,-1)," ")</f>
        <v xml:space="preserve"> </v>
      </c>
      <c r="K98" s="45"/>
      <c r="L98" s="45">
        <v>24.5</v>
      </c>
      <c r="M98" s="282" t="s">
        <v>28</v>
      </c>
      <c r="N98" s="57"/>
      <c r="O98" s="57"/>
      <c r="P98" s="57"/>
      <c r="Q98" s="57"/>
      <c r="R98" s="57"/>
      <c r="S98" s="57"/>
      <c r="T98" s="57"/>
      <c r="U98" s="57"/>
      <c r="V98" s="57"/>
      <c r="W98" s="57"/>
      <c r="X98" s="57"/>
      <c r="Y98" s="57"/>
      <c r="Z98" s="57"/>
      <c r="AA98" s="57"/>
      <c r="AB98" s="57"/>
      <c r="AC98" s="57"/>
      <c r="AD98" s="57"/>
      <c r="AE98" s="57"/>
      <c r="AF98" s="57"/>
      <c r="AG98" s="57"/>
      <c r="AH98" s="57"/>
      <c r="AI98" s="57"/>
      <c r="AJ98" s="57"/>
      <c r="AK98" s="57"/>
      <c r="AL98" s="57"/>
      <c r="AM98" s="57"/>
      <c r="AN98" s="57"/>
      <c r="AO98" s="57"/>
      <c r="AP98" s="57"/>
      <c r="AQ98" s="57"/>
      <c r="AR98" s="57"/>
      <c r="AS98" s="57"/>
      <c r="AT98" s="57"/>
      <c r="AU98" s="61"/>
      <c r="AV98" s="61"/>
      <c r="AW98" s="57"/>
      <c r="AX98" s="61"/>
      <c r="AY98" s="57"/>
      <c r="AZ98" s="57"/>
      <c r="BA98" s="57"/>
      <c r="BB98" s="61"/>
      <c r="BC98" s="61"/>
      <c r="BD98" s="57"/>
      <c r="BE98" s="57"/>
      <c r="BF98" s="57"/>
      <c r="BG98" s="57"/>
      <c r="BH98" s="57"/>
      <c r="BI98" s="61"/>
      <c r="BJ98" s="61"/>
      <c r="BK98" s="57"/>
      <c r="BL98" s="57"/>
      <c r="BM98" s="57"/>
      <c r="BN98" s="57"/>
      <c r="BO98" s="57"/>
      <c r="BP98" s="58"/>
      <c r="BQ98" s="61"/>
      <c r="BR98" s="57"/>
      <c r="BS98" s="57"/>
      <c r="BT98" s="57"/>
      <c r="BU98" s="57"/>
      <c r="BV98" s="58"/>
      <c r="BW98" s="57"/>
      <c r="BX98" s="57"/>
      <c r="BY98" s="57"/>
      <c r="BZ98" s="57"/>
      <c r="CA98" s="57"/>
      <c r="CB98" s="57"/>
      <c r="CC98" s="27"/>
      <c r="CD98" s="61"/>
      <c r="CE98" s="61"/>
      <c r="CF98" s="57"/>
      <c r="CG98" s="61"/>
      <c r="CH98" s="57"/>
      <c r="CI98" s="61"/>
      <c r="CJ98" s="57"/>
      <c r="CK98" s="61"/>
      <c r="CL98" s="61"/>
      <c r="CM98" s="61"/>
      <c r="CN98" s="61"/>
      <c r="CO98" s="61"/>
      <c r="CP98" s="61"/>
      <c r="CQ98" s="61"/>
      <c r="CR98" s="61"/>
      <c r="CS98" s="61"/>
      <c r="CT98" s="61"/>
      <c r="CU98" s="61"/>
      <c r="CV98" s="61"/>
      <c r="CW98" s="61"/>
      <c r="CX98" s="61"/>
      <c r="CY98" s="61"/>
      <c r="CZ98" s="61"/>
      <c r="DA98" s="61"/>
      <c r="DB98" s="61"/>
      <c r="DC98" s="61"/>
      <c r="DD98" s="61"/>
      <c r="DE98" s="61"/>
      <c r="DF98" s="61"/>
      <c r="DG98" s="61"/>
      <c r="DH98" s="61"/>
      <c r="DI98" s="61"/>
      <c r="DJ98" s="61"/>
      <c r="DK98" s="61"/>
      <c r="DL98" s="61"/>
      <c r="DM98" s="61"/>
      <c r="DN98" s="61"/>
      <c r="DO98" s="61"/>
      <c r="DP98" s="61"/>
      <c r="DQ98" s="156"/>
      <c r="DR98" s="156"/>
      <c r="DS98" s="156"/>
      <c r="DT98" s="156"/>
      <c r="DU98" s="156"/>
      <c r="DV98" s="156"/>
      <c r="DW98" s="156"/>
      <c r="DX98" s="156"/>
      <c r="DY98" s="156"/>
      <c r="DZ98" s="65"/>
      <c r="EA98" s="65"/>
      <c r="EB98" s="65"/>
      <c r="EC98" s="65"/>
      <c r="ED98" s="65"/>
      <c r="EE98" s="65"/>
      <c r="EF98" s="65"/>
      <c r="EG98" s="65"/>
    </row>
    <row r="99" spans="1:137" s="10" customFormat="1" ht="15.9" customHeight="1" outlineLevel="1" x14ac:dyDescent="0.3">
      <c r="A99" s="7"/>
      <c r="B99" s="7" t="s">
        <v>23</v>
      </c>
      <c r="C99" s="8" t="s">
        <v>44</v>
      </c>
      <c r="D99" s="146"/>
      <c r="E99" s="7" t="s">
        <v>189</v>
      </c>
      <c r="F99" s="7" t="s">
        <v>217</v>
      </c>
      <c r="G99" s="9" t="s">
        <v>219</v>
      </c>
      <c r="H99" s="9"/>
      <c r="I99" s="204" t="str" cm="1">
        <f t="array" ref="I99">IFERROR(LOOKUP(2,1/(N99:GR99&lt;&gt;""),N$4:DRA$4),"")</f>
        <v/>
      </c>
      <c r="J99" s="169" t="str" cm="1">
        <f t="array" ref="J99">IFERROR(_xlfn.XLOOKUP(TRUE,N99:EH99&lt;&gt;"",N99:EH99,,,-1)," ")</f>
        <v xml:space="preserve"> </v>
      </c>
      <c r="K99" s="45"/>
      <c r="L99" s="45">
        <v>24.5</v>
      </c>
      <c r="M99" s="282" t="s">
        <v>28</v>
      </c>
      <c r="N99" s="57"/>
      <c r="O99" s="57"/>
      <c r="P99" s="57"/>
      <c r="Q99" s="57"/>
      <c r="R99" s="57"/>
      <c r="S99" s="57"/>
      <c r="T99" s="57"/>
      <c r="U99" s="57"/>
      <c r="V99" s="57"/>
      <c r="W99" s="57"/>
      <c r="X99" s="57"/>
      <c r="Y99" s="57"/>
      <c r="Z99" s="57"/>
      <c r="AA99" s="57"/>
      <c r="AB99" s="57"/>
      <c r="AC99" s="57"/>
      <c r="AD99" s="57"/>
      <c r="AE99" s="57"/>
      <c r="AF99" s="57"/>
      <c r="AG99" s="57"/>
      <c r="AH99" s="57"/>
      <c r="AI99" s="57"/>
      <c r="AJ99" s="57"/>
      <c r="AK99" s="57"/>
      <c r="AL99" s="57"/>
      <c r="AM99" s="57"/>
      <c r="AN99" s="57"/>
      <c r="AO99" s="57"/>
      <c r="AP99" s="57"/>
      <c r="AQ99" s="57"/>
      <c r="AR99" s="57"/>
      <c r="AS99" s="57"/>
      <c r="AT99" s="57"/>
      <c r="AU99" s="61"/>
      <c r="AV99" s="61"/>
      <c r="AW99" s="57"/>
      <c r="AX99" s="61"/>
      <c r="AY99" s="57"/>
      <c r="AZ99" s="57"/>
      <c r="BA99" s="57"/>
      <c r="BB99" s="61"/>
      <c r="BC99" s="61"/>
      <c r="BD99" s="57"/>
      <c r="BE99" s="57"/>
      <c r="BF99" s="57"/>
      <c r="BG99" s="57"/>
      <c r="BH99" s="57"/>
      <c r="BI99" s="61"/>
      <c r="BJ99" s="61"/>
      <c r="BK99" s="57"/>
      <c r="BL99" s="57"/>
      <c r="BM99" s="57"/>
      <c r="BN99" s="57"/>
      <c r="BO99" s="57"/>
      <c r="BP99" s="58"/>
      <c r="BQ99" s="61"/>
      <c r="BR99" s="57"/>
      <c r="BS99" s="57"/>
      <c r="BT99" s="57"/>
      <c r="BU99" s="57"/>
      <c r="BV99" s="57"/>
      <c r="BW99" s="57"/>
      <c r="BX99" s="57"/>
      <c r="BY99" s="57"/>
      <c r="BZ99" s="57"/>
      <c r="CA99" s="57"/>
      <c r="CB99" s="57"/>
      <c r="CC99" s="27"/>
      <c r="CD99" s="61"/>
      <c r="CE99" s="61"/>
      <c r="CF99" s="57"/>
      <c r="CG99" s="61"/>
      <c r="CH99" s="57"/>
      <c r="CI99" s="61"/>
      <c r="CJ99" s="57"/>
      <c r="CK99" s="61"/>
      <c r="CL99" s="61"/>
      <c r="CM99" s="61"/>
      <c r="CN99" s="61"/>
      <c r="CO99" s="61"/>
      <c r="CP99" s="61"/>
      <c r="CQ99" s="61"/>
      <c r="CR99" s="61"/>
      <c r="CS99" s="61"/>
      <c r="CT99" s="61"/>
      <c r="CU99" s="61"/>
      <c r="CV99" s="61"/>
      <c r="CW99" s="61"/>
      <c r="CX99" s="61"/>
      <c r="CY99" s="61"/>
      <c r="CZ99" s="61"/>
      <c r="DA99" s="61"/>
      <c r="DB99" s="61"/>
      <c r="DC99" s="61"/>
      <c r="DD99" s="61"/>
      <c r="DE99" s="61"/>
      <c r="DF99" s="61"/>
      <c r="DG99" s="61"/>
      <c r="DH99" s="61"/>
      <c r="DI99" s="61"/>
      <c r="DJ99" s="61"/>
      <c r="DK99" s="61"/>
      <c r="DL99" s="61"/>
      <c r="DM99" s="61"/>
      <c r="DN99" s="61"/>
      <c r="DO99" s="61"/>
      <c r="DP99" s="61"/>
      <c r="DQ99" s="156"/>
      <c r="DR99" s="156"/>
      <c r="DS99" s="156"/>
      <c r="DT99" s="156"/>
      <c r="DU99" s="156"/>
      <c r="DV99" s="156"/>
      <c r="DW99" s="156"/>
      <c r="DX99" s="156"/>
      <c r="DY99" s="156"/>
      <c r="DZ99" s="65"/>
      <c r="EA99" s="65"/>
      <c r="EB99" s="65"/>
      <c r="EC99" s="65"/>
      <c r="ED99" s="65"/>
      <c r="EE99" s="65"/>
      <c r="EF99" s="65"/>
      <c r="EG99" s="65"/>
    </row>
    <row r="100" spans="1:137" s="10" customFormat="1" ht="15.9" customHeight="1" outlineLevel="1" x14ac:dyDescent="0.3">
      <c r="A100" s="7"/>
      <c r="B100" s="7" t="s">
        <v>23</v>
      </c>
      <c r="C100" s="8" t="s">
        <v>44</v>
      </c>
      <c r="D100" s="146"/>
      <c r="E100" s="7" t="s">
        <v>189</v>
      </c>
      <c r="F100" s="7" t="s">
        <v>217</v>
      </c>
      <c r="G100" s="9" t="s">
        <v>220</v>
      </c>
      <c r="H100" s="9"/>
      <c r="I100" s="204" cm="1">
        <f t="array" ref="I100">IFERROR(LOOKUP(2,1/(N100:GR100&lt;&gt;""),N$4:DRA$4),"")</f>
        <v>45223</v>
      </c>
      <c r="J100" s="266" cm="1">
        <f t="array" ref="J100">IFERROR(_xlfn.XLOOKUP(TRUE,N100:EH100&lt;&gt;"",N100:EH100,,,-1)," ")</f>
        <v>26.6</v>
      </c>
      <c r="K100" s="45"/>
      <c r="L100" s="45">
        <v>24.5</v>
      </c>
      <c r="M100" s="282" t="s">
        <v>28</v>
      </c>
      <c r="N100" s="57"/>
      <c r="O100" s="57"/>
      <c r="P100" s="57"/>
      <c r="Q100" s="57"/>
      <c r="R100" s="57"/>
      <c r="S100" s="57"/>
      <c r="T100" s="57"/>
      <c r="U100" s="57"/>
      <c r="V100" s="57"/>
      <c r="W100" s="57"/>
      <c r="X100" s="57"/>
      <c r="Y100" s="57"/>
      <c r="Z100" s="57"/>
      <c r="AA100" s="57"/>
      <c r="AB100" s="57"/>
      <c r="AC100" s="57"/>
      <c r="AD100" s="57"/>
      <c r="AE100" s="57"/>
      <c r="AF100" s="57"/>
      <c r="AG100" s="57"/>
      <c r="AH100" s="57"/>
      <c r="AI100" s="57"/>
      <c r="AJ100" s="57"/>
      <c r="AK100" s="57"/>
      <c r="AL100" s="57"/>
      <c r="AM100" s="57"/>
      <c r="AN100" s="57"/>
      <c r="AO100" s="57"/>
      <c r="AP100" s="57"/>
      <c r="AQ100" s="57"/>
      <c r="AR100" s="57"/>
      <c r="AS100" s="57"/>
      <c r="AT100" s="57"/>
      <c r="AU100" s="61"/>
      <c r="AV100" s="61"/>
      <c r="AW100" s="57"/>
      <c r="AX100" s="61"/>
      <c r="AY100" s="57"/>
      <c r="AZ100" s="57"/>
      <c r="BA100" s="57"/>
      <c r="BB100" s="61">
        <v>19.600000000000001</v>
      </c>
      <c r="BC100" s="61"/>
      <c r="BD100" s="57"/>
      <c r="BE100" s="57"/>
      <c r="BF100" s="57"/>
      <c r="BG100" s="57"/>
      <c r="BH100" s="57"/>
      <c r="BI100" s="61"/>
      <c r="BJ100" s="61"/>
      <c r="BK100" s="57"/>
      <c r="BL100" s="57"/>
      <c r="BM100" s="57"/>
      <c r="BN100" s="57">
        <v>22.2</v>
      </c>
      <c r="BO100" s="57"/>
      <c r="BP100" s="58"/>
      <c r="BQ100" s="61"/>
      <c r="BR100" s="57"/>
      <c r="BS100" s="57"/>
      <c r="BT100" s="57"/>
      <c r="BU100" s="57"/>
      <c r="BV100" s="58">
        <v>22.3</v>
      </c>
      <c r="BW100" s="57"/>
      <c r="BX100" s="57"/>
      <c r="BY100" s="57"/>
      <c r="BZ100" s="57"/>
      <c r="CA100" s="57"/>
      <c r="CB100" s="57"/>
      <c r="CC100" s="27"/>
      <c r="CD100" s="61"/>
      <c r="CE100" s="61"/>
      <c r="CF100" s="57">
        <v>24.6</v>
      </c>
      <c r="CG100" s="61"/>
      <c r="CH100" s="57"/>
      <c r="CI100" s="160">
        <v>23.6</v>
      </c>
      <c r="CJ100" s="57"/>
      <c r="CK100" s="61"/>
      <c r="CL100" s="61"/>
      <c r="CM100" s="61"/>
      <c r="CN100" s="61"/>
      <c r="CO100" s="61"/>
      <c r="CP100" s="160">
        <v>25.5</v>
      </c>
      <c r="CQ100" s="61"/>
      <c r="CR100" s="61"/>
      <c r="CS100" s="61"/>
      <c r="CT100" s="160">
        <v>26</v>
      </c>
      <c r="CU100" s="61"/>
      <c r="CV100" s="61"/>
      <c r="CW100" s="61"/>
      <c r="CX100" s="61">
        <v>26.6</v>
      </c>
      <c r="CY100" s="61"/>
      <c r="CZ100" s="61"/>
      <c r="DA100" s="61"/>
      <c r="DB100" s="61"/>
      <c r="DC100" s="61"/>
      <c r="DD100" s="61"/>
      <c r="DE100" s="61"/>
      <c r="DF100" s="61"/>
      <c r="DG100" s="61"/>
      <c r="DH100" s="61"/>
      <c r="DI100" s="61"/>
      <c r="DJ100" s="61"/>
      <c r="DK100" s="61"/>
      <c r="DL100" s="61"/>
      <c r="DM100" s="61"/>
      <c r="DN100" s="61"/>
      <c r="DO100" s="61"/>
      <c r="DP100" s="61"/>
      <c r="DQ100" s="156"/>
      <c r="DR100" s="156"/>
      <c r="DS100" s="156"/>
      <c r="DT100" s="156"/>
      <c r="DU100" s="156"/>
      <c r="DV100" s="156"/>
      <c r="DW100" s="156"/>
      <c r="DX100" s="156"/>
      <c r="DY100" s="156"/>
      <c r="DZ100" s="59"/>
      <c r="EA100" s="59"/>
      <c r="EB100" s="59"/>
      <c r="EC100" s="59"/>
      <c r="ED100" s="59"/>
      <c r="EE100" s="59"/>
      <c r="EF100" s="59"/>
      <c r="EG100" s="59"/>
    </row>
    <row r="101" spans="1:137" s="10" customFormat="1" ht="15.9" customHeight="1" outlineLevel="1" x14ac:dyDescent="0.3">
      <c r="A101" s="7"/>
      <c r="B101" s="7" t="s">
        <v>23</v>
      </c>
      <c r="C101" s="8" t="s">
        <v>44</v>
      </c>
      <c r="D101" s="146"/>
      <c r="E101" s="7" t="s">
        <v>189</v>
      </c>
      <c r="F101" s="7" t="s">
        <v>217</v>
      </c>
      <c r="G101" s="9" t="s">
        <v>221</v>
      </c>
      <c r="H101" s="9"/>
      <c r="I101" s="204" cm="1">
        <f t="array" ref="I101">IFERROR(LOOKUP(2,1/(N101:GR101&lt;&gt;""),N$4:DRA$4),"")</f>
        <v>45215</v>
      </c>
      <c r="J101" s="266" cm="1">
        <f t="array" ref="J101">IFERROR(_xlfn.XLOOKUP(TRUE,N101:EH101&lt;&gt;"",N101:EH101,,,-1)," ")</f>
        <v>25.6</v>
      </c>
      <c r="K101" s="45"/>
      <c r="L101" s="45">
        <v>24.5</v>
      </c>
      <c r="M101" s="282" t="s">
        <v>28</v>
      </c>
      <c r="N101" s="57"/>
      <c r="O101" s="57"/>
      <c r="P101" s="57"/>
      <c r="Q101" s="57"/>
      <c r="R101" s="57"/>
      <c r="S101" s="57"/>
      <c r="T101" s="57"/>
      <c r="U101" s="57"/>
      <c r="V101" s="57"/>
      <c r="W101" s="57"/>
      <c r="X101" s="57"/>
      <c r="Y101" s="57"/>
      <c r="Z101" s="57"/>
      <c r="AA101" s="57"/>
      <c r="AB101" s="57"/>
      <c r="AC101" s="57"/>
      <c r="AD101" s="57"/>
      <c r="AE101" s="57"/>
      <c r="AF101" s="57"/>
      <c r="AG101" s="57"/>
      <c r="AH101" s="57"/>
      <c r="AI101" s="57"/>
      <c r="AJ101" s="57"/>
      <c r="AK101" s="57"/>
      <c r="AL101" s="57"/>
      <c r="AM101" s="57"/>
      <c r="AN101" s="57"/>
      <c r="AO101" s="57"/>
      <c r="AP101" s="57"/>
      <c r="AQ101" s="57"/>
      <c r="AR101" s="57"/>
      <c r="AS101" s="57"/>
      <c r="AT101" s="57"/>
      <c r="AU101" s="61"/>
      <c r="AV101" s="61"/>
      <c r="AW101" s="57"/>
      <c r="AX101" s="61"/>
      <c r="AY101" s="57"/>
      <c r="AZ101" s="57"/>
      <c r="BA101" s="57"/>
      <c r="BB101" s="61">
        <v>20</v>
      </c>
      <c r="BC101" s="61"/>
      <c r="BD101" s="57"/>
      <c r="BE101" s="57"/>
      <c r="BF101" s="57"/>
      <c r="BG101" s="57"/>
      <c r="BH101" s="57"/>
      <c r="BI101" s="61"/>
      <c r="BJ101" s="61"/>
      <c r="BK101" s="57"/>
      <c r="BL101" s="57"/>
      <c r="BM101" s="57"/>
      <c r="BN101" s="57">
        <v>22.3</v>
      </c>
      <c r="BO101" s="57"/>
      <c r="BP101" s="58"/>
      <c r="BQ101" s="61"/>
      <c r="BR101" s="57"/>
      <c r="BS101" s="57"/>
      <c r="BT101" s="57"/>
      <c r="BU101" s="57"/>
      <c r="BV101" s="58">
        <v>22.8</v>
      </c>
      <c r="BW101" s="57"/>
      <c r="BX101" s="57"/>
      <c r="BY101" s="57"/>
      <c r="BZ101" s="57"/>
      <c r="CA101" s="57"/>
      <c r="CB101" s="57"/>
      <c r="CC101" s="27"/>
      <c r="CD101" s="61"/>
      <c r="CE101" s="61"/>
      <c r="CF101" s="57">
        <v>24.8</v>
      </c>
      <c r="CG101" s="61"/>
      <c r="CH101" s="57"/>
      <c r="CI101" s="160">
        <v>25.2</v>
      </c>
      <c r="CJ101" s="57"/>
      <c r="CK101" s="61"/>
      <c r="CL101" s="61"/>
      <c r="CM101" s="61"/>
      <c r="CN101" s="61"/>
      <c r="CO101" s="61"/>
      <c r="CP101" s="160">
        <v>25.6</v>
      </c>
      <c r="CQ101" s="61"/>
      <c r="CR101" s="61"/>
      <c r="CS101" s="61"/>
      <c r="CT101" s="61"/>
      <c r="CU101" s="61"/>
      <c r="CV101" s="61"/>
      <c r="CW101" s="61"/>
      <c r="CX101" s="61"/>
      <c r="CY101" s="61"/>
      <c r="CZ101" s="61"/>
      <c r="DA101" s="61"/>
      <c r="DB101" s="61"/>
      <c r="DC101" s="61"/>
      <c r="DD101" s="61"/>
      <c r="DE101" s="61"/>
      <c r="DF101" s="61"/>
      <c r="DG101" s="61"/>
      <c r="DH101" s="61"/>
      <c r="DI101" s="61"/>
      <c r="DJ101" s="61"/>
      <c r="DK101" s="61"/>
      <c r="DL101" s="61"/>
      <c r="DM101" s="61"/>
      <c r="DN101" s="61"/>
      <c r="DO101" s="61"/>
      <c r="DP101" s="61"/>
      <c r="DQ101" s="156"/>
      <c r="DR101" s="156"/>
      <c r="DS101" s="156"/>
      <c r="DT101" s="156"/>
      <c r="DU101" s="156"/>
      <c r="DV101" s="156"/>
      <c r="DW101" s="156"/>
      <c r="DX101" s="156"/>
      <c r="DY101" s="156"/>
      <c r="DZ101" s="65"/>
      <c r="EA101" s="65"/>
      <c r="EB101" s="65"/>
      <c r="EC101" s="65"/>
      <c r="ED101" s="65"/>
      <c r="EE101" s="65"/>
      <c r="EF101" s="65"/>
      <c r="EG101" s="65"/>
    </row>
    <row r="102" spans="1:137" s="5" customFormat="1" ht="15.9" customHeight="1" outlineLevel="1" x14ac:dyDescent="0.3">
      <c r="A102" s="6" t="s">
        <v>22</v>
      </c>
      <c r="B102" s="6" t="s">
        <v>23</v>
      </c>
      <c r="C102" s="50" t="s">
        <v>44</v>
      </c>
      <c r="D102" s="147">
        <v>53</v>
      </c>
      <c r="E102" s="6" t="s">
        <v>189</v>
      </c>
      <c r="F102" s="6" t="s">
        <v>222</v>
      </c>
      <c r="G102" s="11" t="s">
        <v>223</v>
      </c>
      <c r="H102" s="11"/>
      <c r="I102" s="205" cm="1">
        <f t="array" ref="I102">IFERROR(LOOKUP(2,1/(N102:GR102&lt;&gt;""),N$4:DRA$4),"")</f>
        <v>45215</v>
      </c>
      <c r="J102" s="271" cm="1">
        <f t="array" ref="J102">IFERROR(_xlfn.XLOOKUP(TRUE,N102:EH102&lt;&gt;"",N102:EH102,,,-1)," ")</f>
        <v>25.1</v>
      </c>
      <c r="K102" s="49">
        <v>24</v>
      </c>
      <c r="L102" s="49">
        <v>24.5</v>
      </c>
      <c r="M102" s="284" t="s">
        <v>28</v>
      </c>
      <c r="N102" s="62"/>
      <c r="O102" s="62"/>
      <c r="P102" s="62"/>
      <c r="Q102" s="62"/>
      <c r="R102" s="62"/>
      <c r="S102" s="62"/>
      <c r="T102" s="62"/>
      <c r="U102" s="62"/>
      <c r="V102" s="62"/>
      <c r="W102" s="62"/>
      <c r="X102" s="62"/>
      <c r="Y102" s="62"/>
      <c r="Z102" s="62"/>
      <c r="AA102" s="62"/>
      <c r="AB102" s="62"/>
      <c r="AC102" s="62"/>
      <c r="AD102" s="62"/>
      <c r="AE102" s="62"/>
      <c r="AF102" s="62"/>
      <c r="AG102" s="62"/>
      <c r="AH102" s="62"/>
      <c r="AI102" s="62"/>
      <c r="AJ102" s="62"/>
      <c r="AK102" s="62"/>
      <c r="AL102" s="62"/>
      <c r="AM102" s="62"/>
      <c r="AN102" s="62"/>
      <c r="AO102" s="62"/>
      <c r="AP102" s="62"/>
      <c r="AQ102" s="62"/>
      <c r="AR102" s="62"/>
      <c r="AS102" s="62"/>
      <c r="AT102" s="62"/>
      <c r="AU102" s="63"/>
      <c r="AV102" s="63"/>
      <c r="AW102" s="62"/>
      <c r="AX102" s="63"/>
      <c r="AY102" s="62"/>
      <c r="AZ102" s="62"/>
      <c r="BA102" s="62"/>
      <c r="BB102" s="63"/>
      <c r="BC102" s="63"/>
      <c r="BD102" s="62"/>
      <c r="BE102" s="62"/>
      <c r="BF102" s="62"/>
      <c r="BG102" s="62"/>
      <c r="BH102" s="62"/>
      <c r="BI102" s="63"/>
      <c r="BJ102" s="63"/>
      <c r="BK102" s="62"/>
      <c r="BL102" s="62"/>
      <c r="BM102" s="62"/>
      <c r="BN102" s="62"/>
      <c r="BO102" s="62"/>
      <c r="BP102" s="64"/>
      <c r="BQ102" s="63"/>
      <c r="BR102" s="62"/>
      <c r="BS102" s="62"/>
      <c r="BT102" s="62"/>
      <c r="BU102" s="62"/>
      <c r="BV102" s="64"/>
      <c r="BW102" s="62"/>
      <c r="BX102" s="62"/>
      <c r="BY102" s="62"/>
      <c r="BZ102" s="62"/>
      <c r="CA102" s="62"/>
      <c r="CB102" s="62"/>
      <c r="CC102" s="51">
        <v>22.9</v>
      </c>
      <c r="CD102" s="63"/>
      <c r="CE102" s="63"/>
      <c r="CF102" s="64"/>
      <c r="CG102" s="62"/>
      <c r="CH102" s="62"/>
      <c r="CI102" s="62"/>
      <c r="CJ102" s="62">
        <v>25</v>
      </c>
      <c r="CK102" s="63"/>
      <c r="CL102" s="63"/>
      <c r="CM102" s="62"/>
      <c r="CN102" s="62"/>
      <c r="CO102" s="62"/>
      <c r="CP102" s="64">
        <v>25.1</v>
      </c>
      <c r="CQ102" s="62"/>
      <c r="CR102" s="63"/>
      <c r="CS102" s="63"/>
      <c r="CT102" s="62"/>
      <c r="CU102" s="63"/>
      <c r="CV102" s="63"/>
      <c r="CW102" s="63"/>
      <c r="CX102" s="63"/>
      <c r="CY102" s="63"/>
      <c r="CZ102" s="63"/>
      <c r="DA102" s="63"/>
      <c r="DB102" s="63"/>
      <c r="DC102" s="63"/>
      <c r="DD102" s="63"/>
      <c r="DE102" s="63"/>
      <c r="DF102" s="63"/>
      <c r="DG102" s="63"/>
      <c r="DH102" s="63"/>
      <c r="DI102" s="63"/>
      <c r="DJ102" s="63"/>
      <c r="DK102" s="63"/>
      <c r="DL102" s="63"/>
      <c r="DM102" s="63"/>
      <c r="DN102" s="63"/>
      <c r="DO102" s="63"/>
      <c r="DP102" s="63"/>
      <c r="DQ102" s="158"/>
      <c r="DR102" s="158"/>
      <c r="DS102" s="158"/>
      <c r="DT102" s="158"/>
      <c r="DU102" s="158"/>
      <c r="DV102" s="158"/>
      <c r="DW102" s="158"/>
      <c r="DX102" s="158"/>
      <c r="DY102" s="158"/>
      <c r="DZ102" s="65"/>
      <c r="EA102" s="65"/>
      <c r="EB102" s="65"/>
      <c r="EC102" s="65"/>
      <c r="ED102" s="65"/>
      <c r="EE102" s="65"/>
      <c r="EF102" s="65"/>
      <c r="EG102" s="65"/>
    </row>
    <row r="103" spans="1:137" s="10" customFormat="1" ht="15.9" customHeight="1" outlineLevel="1" x14ac:dyDescent="0.3">
      <c r="A103" s="7"/>
      <c r="B103" s="7"/>
      <c r="C103" s="8" t="s">
        <v>44</v>
      </c>
      <c r="D103" s="146">
        <v>39.83</v>
      </c>
      <c r="E103" s="7" t="s">
        <v>189</v>
      </c>
      <c r="F103" s="7" t="s">
        <v>224</v>
      </c>
      <c r="G103" s="9" t="s">
        <v>225</v>
      </c>
      <c r="H103" s="9"/>
      <c r="I103" s="204" cm="1">
        <f t="array" ref="I103">IFERROR(LOOKUP(2,1/(N103:GR103&lt;&gt;""),N$4:DRA$4),"")</f>
        <v>45230</v>
      </c>
      <c r="J103" s="169" cm="1">
        <f t="array" ref="J103">IFERROR(_xlfn.XLOOKUP(TRUE,N103:EH103&lt;&gt;"",N103:EH103,,,-1)," ")</f>
        <v>25.5</v>
      </c>
      <c r="K103" s="45">
        <v>24.5</v>
      </c>
      <c r="L103" s="45"/>
      <c r="M103" s="282" t="s">
        <v>184</v>
      </c>
      <c r="N103" s="57"/>
      <c r="O103" s="57"/>
      <c r="P103" s="57"/>
      <c r="Q103" s="57"/>
      <c r="R103" s="57"/>
      <c r="S103" s="57"/>
      <c r="T103" s="57"/>
      <c r="U103" s="57"/>
      <c r="V103" s="57"/>
      <c r="W103" s="57"/>
      <c r="X103" s="57"/>
      <c r="Y103" s="57"/>
      <c r="Z103" s="57"/>
      <c r="AA103" s="57"/>
      <c r="AB103" s="57"/>
      <c r="AC103" s="57"/>
      <c r="AD103" s="57"/>
      <c r="AE103" s="57"/>
      <c r="AF103" s="57"/>
      <c r="AG103" s="57"/>
      <c r="AH103" s="57"/>
      <c r="AI103" s="57"/>
      <c r="AJ103" s="57"/>
      <c r="AK103" s="57"/>
      <c r="AL103" s="57"/>
      <c r="AM103" s="57"/>
      <c r="AN103" s="57"/>
      <c r="AO103" s="57"/>
      <c r="AP103" s="57"/>
      <c r="AQ103" s="57"/>
      <c r="AR103" s="57"/>
      <c r="AS103" s="57"/>
      <c r="AT103" s="57"/>
      <c r="AU103" s="61"/>
      <c r="AV103" s="61"/>
      <c r="AW103" s="57"/>
      <c r="AX103" s="61"/>
      <c r="AY103" s="57"/>
      <c r="AZ103" s="57"/>
      <c r="BA103" s="57"/>
      <c r="BB103" s="61"/>
      <c r="BC103" s="61"/>
      <c r="BD103" s="57"/>
      <c r="BE103" s="57"/>
      <c r="BF103" s="57"/>
      <c r="BG103" s="57"/>
      <c r="BH103" s="57"/>
      <c r="BI103" s="61"/>
      <c r="BJ103" s="61"/>
      <c r="BK103" s="57"/>
      <c r="BL103" s="57"/>
      <c r="BM103" s="57"/>
      <c r="BN103" s="57"/>
      <c r="BO103" s="57"/>
      <c r="BP103" s="58"/>
      <c r="BQ103" s="61"/>
      <c r="BR103" s="57"/>
      <c r="BS103" s="57"/>
      <c r="BT103" s="57"/>
      <c r="BU103" s="57"/>
      <c r="BV103" s="57"/>
      <c r="BW103" s="57"/>
      <c r="BX103" s="57"/>
      <c r="BY103" s="57"/>
      <c r="BZ103" s="57"/>
      <c r="CA103" s="57"/>
      <c r="CB103" s="57"/>
      <c r="CC103" s="27"/>
      <c r="CD103" s="61"/>
      <c r="CE103" s="61"/>
      <c r="CF103" s="57"/>
      <c r="CG103" s="57"/>
      <c r="CH103" s="57"/>
      <c r="CI103" s="57"/>
      <c r="CJ103" s="57">
        <v>24.3</v>
      </c>
      <c r="CK103" s="61"/>
      <c r="CL103" s="61"/>
      <c r="CM103" s="57"/>
      <c r="CN103" s="57"/>
      <c r="CO103" s="57"/>
      <c r="CP103" s="57"/>
      <c r="CQ103" s="57">
        <v>24</v>
      </c>
      <c r="CR103" s="61"/>
      <c r="CS103" s="61"/>
      <c r="CT103" s="57"/>
      <c r="CU103" s="57"/>
      <c r="CV103" s="61"/>
      <c r="CW103" s="61"/>
      <c r="CX103" s="61"/>
      <c r="CY103" s="61"/>
      <c r="CZ103" s="61"/>
      <c r="DA103" s="61"/>
      <c r="DB103" s="61"/>
      <c r="DC103" s="61"/>
      <c r="DD103" s="61"/>
      <c r="DE103" s="61">
        <v>25.5</v>
      </c>
      <c r="DF103" s="61"/>
      <c r="DG103" s="61"/>
      <c r="DH103" s="61"/>
      <c r="DI103" s="61"/>
      <c r="DJ103" s="61"/>
      <c r="DK103" s="61"/>
      <c r="DL103" s="61"/>
      <c r="DM103" s="61"/>
      <c r="DN103" s="61"/>
      <c r="DO103" s="61"/>
      <c r="DP103" s="61"/>
      <c r="DQ103" s="156"/>
      <c r="DR103" s="156"/>
      <c r="DS103" s="156"/>
      <c r="DT103" s="156"/>
      <c r="DU103" s="156"/>
      <c r="DV103" s="156"/>
      <c r="DW103" s="156"/>
      <c r="DX103" s="156"/>
      <c r="DY103" s="156"/>
      <c r="DZ103" s="65"/>
      <c r="EA103" s="65"/>
      <c r="EB103" s="65"/>
      <c r="EC103" s="65"/>
      <c r="ED103" s="65"/>
      <c r="EE103" s="65"/>
      <c r="EF103" s="65"/>
      <c r="EG103" s="65"/>
    </row>
    <row r="104" spans="1:137" s="5" customFormat="1" ht="15.9" customHeight="1" outlineLevel="1" x14ac:dyDescent="0.3">
      <c r="A104" s="6"/>
      <c r="B104" s="6"/>
      <c r="C104" s="50" t="s">
        <v>44</v>
      </c>
      <c r="D104" s="147">
        <v>34.92</v>
      </c>
      <c r="E104" s="6" t="s">
        <v>189</v>
      </c>
      <c r="F104" s="6" t="s">
        <v>226</v>
      </c>
      <c r="G104" s="11" t="s">
        <v>227</v>
      </c>
      <c r="H104" s="11"/>
      <c r="I104" s="205" cm="1">
        <f t="array" ref="I104">IFERROR(LOOKUP(2,1/(N104:GR104&lt;&gt;""),N$4:DRA$4),"")</f>
        <v>45230</v>
      </c>
      <c r="J104" s="170" cm="1">
        <f t="array" ref="J104">IFERROR(_xlfn.XLOOKUP(TRUE,N104:EH104&lt;&gt;"",N104:EH104,,,-1)," ")</f>
        <v>26.7</v>
      </c>
      <c r="K104" s="49">
        <v>24.5</v>
      </c>
      <c r="L104" s="49"/>
      <c r="M104" s="284" t="s">
        <v>184</v>
      </c>
      <c r="N104" s="62"/>
      <c r="O104" s="62"/>
      <c r="P104" s="62"/>
      <c r="Q104" s="62"/>
      <c r="R104" s="62"/>
      <c r="S104" s="62"/>
      <c r="T104" s="62"/>
      <c r="U104" s="62"/>
      <c r="V104" s="62"/>
      <c r="W104" s="62"/>
      <c r="X104" s="62"/>
      <c r="Y104" s="62"/>
      <c r="Z104" s="62"/>
      <c r="AA104" s="62"/>
      <c r="AB104" s="62"/>
      <c r="AC104" s="62"/>
      <c r="AD104" s="62"/>
      <c r="AE104" s="62"/>
      <c r="AF104" s="62"/>
      <c r="AG104" s="62"/>
      <c r="AH104" s="62"/>
      <c r="AI104" s="62"/>
      <c r="AJ104" s="62"/>
      <c r="AK104" s="62"/>
      <c r="AL104" s="62"/>
      <c r="AM104" s="62"/>
      <c r="AN104" s="62"/>
      <c r="AO104" s="62"/>
      <c r="AP104" s="62"/>
      <c r="AQ104" s="62"/>
      <c r="AR104" s="62"/>
      <c r="AS104" s="62"/>
      <c r="AT104" s="62"/>
      <c r="AU104" s="63"/>
      <c r="AV104" s="63"/>
      <c r="AW104" s="62"/>
      <c r="AX104" s="63"/>
      <c r="AY104" s="62"/>
      <c r="AZ104" s="62"/>
      <c r="BA104" s="62"/>
      <c r="BB104" s="63"/>
      <c r="BC104" s="63"/>
      <c r="BD104" s="62"/>
      <c r="BE104" s="62"/>
      <c r="BF104" s="62"/>
      <c r="BG104" s="62"/>
      <c r="BH104" s="62"/>
      <c r="BI104" s="63"/>
      <c r="BJ104" s="63"/>
      <c r="BK104" s="62"/>
      <c r="BL104" s="62"/>
      <c r="BM104" s="62"/>
      <c r="BN104" s="62"/>
      <c r="BO104" s="62"/>
      <c r="BP104" s="64"/>
      <c r="BQ104" s="63"/>
      <c r="BR104" s="62"/>
      <c r="BS104" s="62"/>
      <c r="BT104" s="62"/>
      <c r="BU104" s="62"/>
      <c r="BV104" s="62"/>
      <c r="BW104" s="62"/>
      <c r="BX104" s="62"/>
      <c r="BY104" s="62"/>
      <c r="BZ104" s="62"/>
      <c r="CA104" s="62"/>
      <c r="CB104" s="62"/>
      <c r="CC104" s="51"/>
      <c r="CD104" s="63"/>
      <c r="CE104" s="63"/>
      <c r="CF104" s="62"/>
      <c r="CG104" s="62"/>
      <c r="CH104" s="62"/>
      <c r="CI104" s="62"/>
      <c r="CJ104" s="62">
        <v>24.1</v>
      </c>
      <c r="CK104" s="63"/>
      <c r="CL104" s="63"/>
      <c r="CM104" s="62"/>
      <c r="CN104" s="62"/>
      <c r="CO104" s="62"/>
      <c r="CP104" s="62"/>
      <c r="CQ104" s="62">
        <v>26.6</v>
      </c>
      <c r="CR104" s="63"/>
      <c r="CS104" s="63"/>
      <c r="CT104" s="62"/>
      <c r="CU104" s="62"/>
      <c r="CV104" s="63"/>
      <c r="CW104" s="63"/>
      <c r="CX104" s="63"/>
      <c r="CY104" s="63"/>
      <c r="CZ104" s="63"/>
      <c r="DA104" s="63"/>
      <c r="DB104" s="63"/>
      <c r="DC104" s="63"/>
      <c r="DD104" s="63"/>
      <c r="DE104" s="63">
        <v>26.7</v>
      </c>
      <c r="DF104" s="63"/>
      <c r="DG104" s="63"/>
      <c r="DH104" s="63"/>
      <c r="DI104" s="63"/>
      <c r="DJ104" s="63"/>
      <c r="DK104" s="63"/>
      <c r="DL104" s="63"/>
      <c r="DM104" s="63"/>
      <c r="DN104" s="63"/>
      <c r="DO104" s="63"/>
      <c r="DP104" s="63"/>
      <c r="DQ104" s="158"/>
      <c r="DR104" s="158"/>
      <c r="DS104" s="158"/>
      <c r="DT104" s="158"/>
      <c r="DU104" s="158"/>
      <c r="DV104" s="158"/>
      <c r="DW104" s="158"/>
      <c r="DX104" s="158"/>
      <c r="DY104" s="158"/>
      <c r="DZ104" s="59"/>
      <c r="EA104" s="59"/>
      <c r="EB104" s="59"/>
      <c r="EC104" s="59"/>
      <c r="ED104" s="59"/>
      <c r="EE104" s="59"/>
      <c r="EF104" s="59"/>
      <c r="EG104" s="59"/>
    </row>
    <row r="105" spans="1:137" s="10" customFormat="1" ht="15.9" customHeight="1" outlineLevel="1" x14ac:dyDescent="0.3">
      <c r="A105" s="7"/>
      <c r="B105" s="7"/>
      <c r="C105" s="8" t="s">
        <v>44</v>
      </c>
      <c r="D105" s="146">
        <v>59.72</v>
      </c>
      <c r="E105" s="7" t="s">
        <v>189</v>
      </c>
      <c r="F105" s="7" t="s">
        <v>228</v>
      </c>
      <c r="G105" s="9" t="s">
        <v>229</v>
      </c>
      <c r="H105" s="9"/>
      <c r="I105" s="204" cm="1">
        <f t="array" ref="I105">IFERROR(LOOKUP(2,1/(N105:GR105&lt;&gt;""),N$4:DRA$4),"")</f>
        <v>45210</v>
      </c>
      <c r="J105" s="169" cm="1">
        <f t="array" ref="J105">IFERROR(_xlfn.XLOOKUP(TRUE,N105:EH105&lt;&gt;"",N105:EH105,,,-1)," ")</f>
        <v>24.7</v>
      </c>
      <c r="K105" s="45">
        <v>22.5</v>
      </c>
      <c r="L105" s="45"/>
      <c r="M105" s="282" t="s">
        <v>230</v>
      </c>
      <c r="N105" s="57"/>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c r="AM105" s="57"/>
      <c r="AN105" s="57"/>
      <c r="AO105" s="57"/>
      <c r="AP105" s="57"/>
      <c r="AQ105" s="57"/>
      <c r="AR105" s="57"/>
      <c r="AS105" s="57"/>
      <c r="AT105" s="57"/>
      <c r="AU105" s="61"/>
      <c r="AV105" s="61"/>
      <c r="AW105" s="57"/>
      <c r="AX105" s="61"/>
      <c r="AY105" s="57"/>
      <c r="AZ105" s="57"/>
      <c r="BA105" s="57"/>
      <c r="BB105" s="61"/>
      <c r="BC105" s="61"/>
      <c r="BD105" s="57"/>
      <c r="BE105" s="57"/>
      <c r="BF105" s="57"/>
      <c r="BG105" s="57"/>
      <c r="BH105" s="57"/>
      <c r="BI105" s="61"/>
      <c r="BJ105" s="61"/>
      <c r="BK105" s="57"/>
      <c r="BL105" s="57"/>
      <c r="BM105" s="57"/>
      <c r="BN105" s="57"/>
      <c r="BO105" s="57"/>
      <c r="BP105" s="58"/>
      <c r="BQ105" s="61"/>
      <c r="BR105" s="57"/>
      <c r="BS105" s="57"/>
      <c r="BT105" s="70"/>
      <c r="BU105" s="57"/>
      <c r="BV105" s="57"/>
      <c r="BW105" s="57"/>
      <c r="BX105" s="57"/>
      <c r="BY105" s="57"/>
      <c r="BZ105" s="57"/>
      <c r="CA105" s="57"/>
      <c r="CB105" s="57"/>
      <c r="CC105" s="27"/>
      <c r="CD105" s="61"/>
      <c r="CE105" s="61"/>
      <c r="CF105" s="57"/>
      <c r="CG105" s="57"/>
      <c r="CH105" s="57"/>
      <c r="CI105" s="57">
        <v>25</v>
      </c>
      <c r="CJ105" s="57"/>
      <c r="CK105" s="61">
        <v>24.7</v>
      </c>
      <c r="CL105" s="61"/>
      <c r="CM105" s="57"/>
      <c r="CN105" s="57"/>
      <c r="CO105" s="57"/>
      <c r="CP105" s="57"/>
      <c r="CQ105" s="61"/>
      <c r="CR105" s="61"/>
      <c r="CS105" s="61"/>
      <c r="CT105" s="61"/>
      <c r="CU105" s="61"/>
      <c r="CV105" s="61"/>
      <c r="CW105" s="61"/>
      <c r="CX105" s="61"/>
      <c r="CY105" s="61"/>
      <c r="CZ105" s="61"/>
      <c r="DA105" s="61"/>
      <c r="DB105" s="61"/>
      <c r="DC105" s="61"/>
      <c r="DD105" s="61"/>
      <c r="DE105" s="61"/>
      <c r="DF105" s="61"/>
      <c r="DG105" s="61"/>
      <c r="DH105" s="61"/>
      <c r="DI105" s="61"/>
      <c r="DJ105" s="61"/>
      <c r="DK105" s="61"/>
      <c r="DL105" s="61"/>
      <c r="DM105" s="61"/>
      <c r="DN105" s="61"/>
      <c r="DO105" s="61"/>
      <c r="DP105" s="61"/>
      <c r="DQ105" s="156"/>
      <c r="DR105" s="156"/>
      <c r="DS105" s="156"/>
      <c r="DT105" s="156"/>
      <c r="DU105" s="156"/>
      <c r="DV105" s="156"/>
      <c r="DW105" s="156"/>
      <c r="DX105" s="156"/>
      <c r="DY105" s="156"/>
      <c r="DZ105" s="59"/>
      <c r="EA105" s="59"/>
      <c r="EB105" s="59"/>
      <c r="EC105" s="59"/>
      <c r="ED105" s="59"/>
      <c r="EE105" s="59"/>
      <c r="EF105" s="59"/>
      <c r="EG105" s="59"/>
    </row>
    <row r="106" spans="1:137" s="5" customFormat="1" ht="15.9" customHeight="1" outlineLevel="1" x14ac:dyDescent="0.3">
      <c r="A106" s="6"/>
      <c r="B106" s="6"/>
      <c r="C106" s="50" t="s">
        <v>44</v>
      </c>
      <c r="D106" s="147">
        <v>86.1</v>
      </c>
      <c r="E106" s="6" t="s">
        <v>189</v>
      </c>
      <c r="F106" s="6" t="s">
        <v>231</v>
      </c>
      <c r="G106" s="11" t="s">
        <v>232</v>
      </c>
      <c r="H106" s="11"/>
      <c r="I106" s="205" cm="1">
        <f t="array" ref="I106">IFERROR(LOOKUP(2,1/(N106:GR106&lt;&gt;""),N$4:DRA$4),"")</f>
        <v>45210</v>
      </c>
      <c r="J106" s="170" t="str" cm="1">
        <f t="array" ref="J106">IFERROR(_xlfn.XLOOKUP(TRUE,N106:EH106&lt;&gt;"",N106:EH106,,,-1)," ")</f>
        <v>24.3*</v>
      </c>
      <c r="K106" s="49">
        <v>24</v>
      </c>
      <c r="L106" s="49"/>
      <c r="M106" s="284" t="s">
        <v>34</v>
      </c>
      <c r="N106" s="62"/>
      <c r="O106" s="62"/>
      <c r="P106" s="62"/>
      <c r="Q106" s="62"/>
      <c r="R106" s="62"/>
      <c r="S106" s="62"/>
      <c r="T106" s="62"/>
      <c r="U106" s="62"/>
      <c r="V106" s="62"/>
      <c r="W106" s="62"/>
      <c r="X106" s="62"/>
      <c r="Y106" s="62"/>
      <c r="Z106" s="62"/>
      <c r="AA106" s="62"/>
      <c r="AB106" s="62"/>
      <c r="AC106" s="62"/>
      <c r="AD106" s="62"/>
      <c r="AE106" s="62"/>
      <c r="AF106" s="62"/>
      <c r="AG106" s="62"/>
      <c r="AH106" s="62"/>
      <c r="AI106" s="62"/>
      <c r="AJ106" s="62"/>
      <c r="AK106" s="62"/>
      <c r="AL106" s="62"/>
      <c r="AM106" s="62"/>
      <c r="AN106" s="62"/>
      <c r="AO106" s="62"/>
      <c r="AP106" s="62"/>
      <c r="AQ106" s="62"/>
      <c r="AR106" s="62"/>
      <c r="AS106" s="62"/>
      <c r="AT106" s="62"/>
      <c r="AU106" s="63"/>
      <c r="AV106" s="63"/>
      <c r="AW106" s="62"/>
      <c r="AX106" s="63"/>
      <c r="AY106" s="62"/>
      <c r="AZ106" s="62"/>
      <c r="BA106" s="62"/>
      <c r="BB106" s="63"/>
      <c r="BC106" s="63"/>
      <c r="BD106" s="62"/>
      <c r="BE106" s="62"/>
      <c r="BF106" s="62"/>
      <c r="BG106" s="62"/>
      <c r="BH106" s="62"/>
      <c r="BI106" s="63"/>
      <c r="BJ106" s="63"/>
      <c r="BK106" s="62"/>
      <c r="BL106" s="62"/>
      <c r="BM106" s="62"/>
      <c r="BN106" s="62"/>
      <c r="BO106" s="62"/>
      <c r="BP106" s="64"/>
      <c r="BQ106" s="63"/>
      <c r="BR106" s="62"/>
      <c r="BS106" s="62"/>
      <c r="BT106" s="62"/>
      <c r="BU106" s="62"/>
      <c r="BV106" s="62"/>
      <c r="BW106" s="62"/>
      <c r="BX106" s="62"/>
      <c r="BY106" s="62"/>
      <c r="BZ106" s="62"/>
      <c r="CA106" s="62"/>
      <c r="CB106" s="62"/>
      <c r="CC106" s="51"/>
      <c r="CD106" s="63"/>
      <c r="CE106" s="63"/>
      <c r="CF106" s="62"/>
      <c r="CG106" s="62"/>
      <c r="CH106" s="62"/>
      <c r="CI106" s="62"/>
      <c r="CJ106" s="62"/>
      <c r="CK106" s="63" t="s">
        <v>233</v>
      </c>
      <c r="CL106" s="63"/>
      <c r="CM106" s="62"/>
      <c r="CN106" s="62"/>
      <c r="CO106" s="62"/>
      <c r="CP106" s="62"/>
      <c r="CQ106" s="62"/>
      <c r="CR106" s="63"/>
      <c r="CS106" s="63"/>
      <c r="CT106" s="62"/>
      <c r="CU106" s="62"/>
      <c r="CV106" s="63"/>
      <c r="CW106" s="63"/>
      <c r="CX106" s="63"/>
      <c r="CY106" s="63"/>
      <c r="CZ106" s="63"/>
      <c r="DA106" s="63"/>
      <c r="DB106" s="63"/>
      <c r="DC106" s="63"/>
      <c r="DD106" s="63"/>
      <c r="DE106" s="63"/>
      <c r="DF106" s="63"/>
      <c r="DG106" s="63"/>
      <c r="DH106" s="63"/>
      <c r="DI106" s="63"/>
      <c r="DJ106" s="63"/>
      <c r="DK106" s="63"/>
      <c r="DL106" s="63"/>
      <c r="DM106" s="63"/>
      <c r="DN106" s="63"/>
      <c r="DO106" s="63"/>
      <c r="DP106" s="63"/>
      <c r="DQ106" s="158"/>
      <c r="DR106" s="158"/>
      <c r="DS106" s="158"/>
      <c r="DT106" s="158"/>
      <c r="DU106" s="158"/>
      <c r="DV106" s="158"/>
      <c r="DW106" s="158"/>
      <c r="DX106" s="158"/>
      <c r="DY106" s="158"/>
      <c r="DZ106" s="59"/>
      <c r="EA106" s="59"/>
      <c r="EB106" s="59"/>
      <c r="EC106" s="59"/>
      <c r="ED106" s="59"/>
      <c r="EE106" s="59"/>
      <c r="EF106" s="59"/>
      <c r="EG106" s="59"/>
    </row>
    <row r="107" spans="1:137" s="5" customFormat="1" ht="15.9" customHeight="1" outlineLevel="1" x14ac:dyDescent="0.3">
      <c r="A107" s="6"/>
      <c r="B107" s="6"/>
      <c r="C107" s="50" t="s">
        <v>44</v>
      </c>
      <c r="D107" s="147"/>
      <c r="E107" s="6" t="s">
        <v>189</v>
      </c>
      <c r="F107" s="6" t="s">
        <v>231</v>
      </c>
      <c r="G107" s="11" t="s">
        <v>234</v>
      </c>
      <c r="H107" s="11"/>
      <c r="I107" s="205" cm="1">
        <f t="array" ref="I107">IFERROR(LOOKUP(2,1/(N107:GR107&lt;&gt;""),N$4:DRA$4),"")</f>
        <v>45222</v>
      </c>
      <c r="J107" s="170" cm="1">
        <f t="array" ref="J107">IFERROR(_xlfn.XLOOKUP(TRUE,N107:EH107&lt;&gt;"",N107:EH107,,,-1)," ")</f>
        <v>22.6</v>
      </c>
      <c r="K107" s="49">
        <v>24</v>
      </c>
      <c r="L107" s="49"/>
      <c r="M107" s="284" t="s">
        <v>34</v>
      </c>
      <c r="N107" s="62"/>
      <c r="O107" s="62"/>
      <c r="P107" s="62"/>
      <c r="Q107" s="62"/>
      <c r="R107" s="62"/>
      <c r="S107" s="62"/>
      <c r="T107" s="62"/>
      <c r="U107" s="62"/>
      <c r="V107" s="62"/>
      <c r="W107" s="62"/>
      <c r="X107" s="62"/>
      <c r="Y107" s="62"/>
      <c r="Z107" s="62"/>
      <c r="AA107" s="62"/>
      <c r="AB107" s="62"/>
      <c r="AC107" s="62"/>
      <c r="AD107" s="62"/>
      <c r="AE107" s="62"/>
      <c r="AF107" s="62"/>
      <c r="AG107" s="62"/>
      <c r="AH107" s="62"/>
      <c r="AI107" s="62"/>
      <c r="AJ107" s="62"/>
      <c r="AK107" s="62"/>
      <c r="AL107" s="62"/>
      <c r="AM107" s="62"/>
      <c r="AN107" s="62"/>
      <c r="AO107" s="62"/>
      <c r="AP107" s="62"/>
      <c r="AQ107" s="62"/>
      <c r="AR107" s="62"/>
      <c r="AS107" s="62"/>
      <c r="AT107" s="62"/>
      <c r="AU107" s="63"/>
      <c r="AV107" s="63"/>
      <c r="AW107" s="62"/>
      <c r="AX107" s="63"/>
      <c r="AY107" s="62"/>
      <c r="AZ107" s="62"/>
      <c r="BA107" s="62"/>
      <c r="BB107" s="63"/>
      <c r="BC107" s="63"/>
      <c r="BD107" s="62"/>
      <c r="BE107" s="62"/>
      <c r="BF107" s="62"/>
      <c r="BG107" s="62"/>
      <c r="BH107" s="62"/>
      <c r="BI107" s="63"/>
      <c r="BJ107" s="63"/>
      <c r="BK107" s="62"/>
      <c r="BL107" s="62"/>
      <c r="BM107" s="62"/>
      <c r="BN107" s="62"/>
      <c r="BO107" s="62"/>
      <c r="BP107" s="64"/>
      <c r="BQ107" s="63"/>
      <c r="BR107" s="62"/>
      <c r="BS107" s="62"/>
      <c r="BT107" s="62"/>
      <c r="BU107" s="62"/>
      <c r="BV107" s="62"/>
      <c r="BW107" s="62"/>
      <c r="BX107" s="62"/>
      <c r="BY107" s="62"/>
      <c r="BZ107" s="62"/>
      <c r="CA107" s="62"/>
      <c r="CB107" s="62"/>
      <c r="CC107" s="51"/>
      <c r="CD107" s="63"/>
      <c r="CE107" s="63"/>
      <c r="CF107" s="62"/>
      <c r="CG107" s="62"/>
      <c r="CH107" s="62"/>
      <c r="CI107" s="62"/>
      <c r="CJ107" s="62"/>
      <c r="CK107" s="63"/>
      <c r="CL107" s="63"/>
      <c r="CM107" s="62"/>
      <c r="CN107" s="62"/>
      <c r="CO107" s="62"/>
      <c r="CP107" s="62"/>
      <c r="CQ107" s="62"/>
      <c r="CR107" s="63"/>
      <c r="CS107" s="63"/>
      <c r="CT107" s="62"/>
      <c r="CU107" s="62"/>
      <c r="CV107" s="63"/>
      <c r="CW107" s="63">
        <v>22.6</v>
      </c>
      <c r="CX107" s="63"/>
      <c r="CY107" s="63"/>
      <c r="CZ107" s="63"/>
      <c r="DA107" s="63"/>
      <c r="DB107" s="63"/>
      <c r="DC107" s="63"/>
      <c r="DD107" s="63"/>
      <c r="DE107" s="63"/>
      <c r="DF107" s="63"/>
      <c r="DG107" s="63"/>
      <c r="DH107" s="63"/>
      <c r="DI107" s="63"/>
      <c r="DJ107" s="63"/>
      <c r="DK107" s="63"/>
      <c r="DL107" s="63"/>
      <c r="DM107" s="63"/>
      <c r="DN107" s="63"/>
      <c r="DO107" s="63"/>
      <c r="DP107" s="63"/>
      <c r="DQ107" s="158"/>
      <c r="DR107" s="158"/>
      <c r="DS107" s="158"/>
      <c r="DT107" s="158"/>
      <c r="DU107" s="158"/>
      <c r="DV107" s="158"/>
      <c r="DW107" s="158"/>
      <c r="DX107" s="158"/>
      <c r="DY107" s="158"/>
      <c r="DZ107" s="65"/>
      <c r="EA107" s="65"/>
      <c r="EB107" s="65"/>
      <c r="EC107" s="65"/>
      <c r="ED107" s="65"/>
      <c r="EE107" s="65"/>
      <c r="EF107" s="65"/>
      <c r="EG107" s="65"/>
    </row>
    <row r="108" spans="1:137" s="5" customFormat="1" ht="15.9" customHeight="1" outlineLevel="1" x14ac:dyDescent="0.3">
      <c r="A108" s="6"/>
      <c r="B108" s="6"/>
      <c r="C108" s="50" t="s">
        <v>44</v>
      </c>
      <c r="D108" s="147"/>
      <c r="E108" s="6" t="s">
        <v>189</v>
      </c>
      <c r="F108" s="6" t="s">
        <v>231</v>
      </c>
      <c r="G108" s="11" t="s">
        <v>235</v>
      </c>
      <c r="H108" s="11"/>
      <c r="I108" s="205" cm="1">
        <f t="array" ref="I108">IFERROR(LOOKUP(2,1/(N108:GR108&lt;&gt;""),N$4:DRA$4),"")</f>
        <v>45222</v>
      </c>
      <c r="J108" s="170" cm="1">
        <f t="array" ref="J108">IFERROR(_xlfn.XLOOKUP(TRUE,N108:EH108&lt;&gt;"",N108:EH108,,,-1)," ")</f>
        <v>24.4</v>
      </c>
      <c r="K108" s="49">
        <v>24</v>
      </c>
      <c r="L108" s="49"/>
      <c r="M108" s="284" t="s">
        <v>34</v>
      </c>
      <c r="N108" s="62"/>
      <c r="O108" s="62"/>
      <c r="P108" s="62"/>
      <c r="Q108" s="62"/>
      <c r="R108" s="62"/>
      <c r="S108" s="62"/>
      <c r="T108" s="62"/>
      <c r="U108" s="62"/>
      <c r="V108" s="62"/>
      <c r="W108" s="62"/>
      <c r="X108" s="62"/>
      <c r="Y108" s="62"/>
      <c r="Z108" s="62"/>
      <c r="AA108" s="62"/>
      <c r="AB108" s="62"/>
      <c r="AC108" s="62"/>
      <c r="AD108" s="62"/>
      <c r="AE108" s="62"/>
      <c r="AF108" s="62"/>
      <c r="AG108" s="62"/>
      <c r="AH108" s="62"/>
      <c r="AI108" s="62"/>
      <c r="AJ108" s="62"/>
      <c r="AK108" s="62"/>
      <c r="AL108" s="62"/>
      <c r="AM108" s="62"/>
      <c r="AN108" s="62"/>
      <c r="AO108" s="62"/>
      <c r="AP108" s="62"/>
      <c r="AQ108" s="62"/>
      <c r="AR108" s="62"/>
      <c r="AS108" s="62"/>
      <c r="AT108" s="62"/>
      <c r="AU108" s="63"/>
      <c r="AV108" s="63"/>
      <c r="AW108" s="62"/>
      <c r="AX108" s="63"/>
      <c r="AY108" s="62"/>
      <c r="AZ108" s="62"/>
      <c r="BA108" s="62"/>
      <c r="BB108" s="63"/>
      <c r="BC108" s="63"/>
      <c r="BD108" s="62"/>
      <c r="BE108" s="62"/>
      <c r="BF108" s="62"/>
      <c r="BG108" s="62"/>
      <c r="BH108" s="62"/>
      <c r="BI108" s="63"/>
      <c r="BJ108" s="63"/>
      <c r="BK108" s="62"/>
      <c r="BL108" s="62"/>
      <c r="BM108" s="62"/>
      <c r="BN108" s="62"/>
      <c r="BO108" s="62"/>
      <c r="BP108" s="64"/>
      <c r="BQ108" s="63"/>
      <c r="BR108" s="62"/>
      <c r="BS108" s="62"/>
      <c r="BT108" s="62"/>
      <c r="BU108" s="62"/>
      <c r="BV108" s="62"/>
      <c r="BW108" s="62"/>
      <c r="BX108" s="62"/>
      <c r="BY108" s="62"/>
      <c r="BZ108" s="62"/>
      <c r="CA108" s="62"/>
      <c r="CB108" s="62"/>
      <c r="CC108" s="51"/>
      <c r="CD108" s="63"/>
      <c r="CE108" s="63"/>
      <c r="CF108" s="62"/>
      <c r="CG108" s="62"/>
      <c r="CH108" s="62"/>
      <c r="CI108" s="62"/>
      <c r="CJ108" s="62"/>
      <c r="CK108" s="63"/>
      <c r="CL108" s="63"/>
      <c r="CM108" s="62"/>
      <c r="CN108" s="62"/>
      <c r="CO108" s="62"/>
      <c r="CP108" s="62"/>
      <c r="CQ108" s="62"/>
      <c r="CR108" s="63"/>
      <c r="CS108" s="63"/>
      <c r="CT108" s="62"/>
      <c r="CU108" s="62"/>
      <c r="CV108" s="63"/>
      <c r="CW108" s="63">
        <v>24.4</v>
      </c>
      <c r="CX108" s="63"/>
      <c r="CY108" s="63"/>
      <c r="CZ108" s="63"/>
      <c r="DA108" s="63"/>
      <c r="DB108" s="63"/>
      <c r="DC108" s="63"/>
      <c r="DD108" s="63"/>
      <c r="DE108" s="63"/>
      <c r="DF108" s="63"/>
      <c r="DG108" s="63"/>
      <c r="DH108" s="63"/>
      <c r="DI108" s="63"/>
      <c r="DJ108" s="63"/>
      <c r="DK108" s="63"/>
      <c r="DL108" s="63"/>
      <c r="DM108" s="63"/>
      <c r="DN108" s="63"/>
      <c r="DO108" s="63"/>
      <c r="DP108" s="63"/>
      <c r="DQ108" s="158"/>
      <c r="DR108" s="158"/>
      <c r="DS108" s="158"/>
      <c r="DT108" s="158"/>
      <c r="DU108" s="158"/>
      <c r="DV108" s="158"/>
      <c r="DW108" s="158"/>
      <c r="DX108" s="158"/>
      <c r="DY108" s="158"/>
      <c r="DZ108" s="65"/>
      <c r="EA108" s="65"/>
      <c r="EB108" s="65"/>
      <c r="EC108" s="65"/>
      <c r="ED108" s="65"/>
      <c r="EE108" s="65"/>
      <c r="EF108" s="65"/>
      <c r="EG108" s="65"/>
    </row>
    <row r="109" spans="1:137" s="10" customFormat="1" ht="15.9" customHeight="1" outlineLevel="1" x14ac:dyDescent="0.3">
      <c r="A109" s="7" t="s">
        <v>23</v>
      </c>
      <c r="B109" s="7" t="s">
        <v>23</v>
      </c>
      <c r="C109" s="8" t="s">
        <v>44</v>
      </c>
      <c r="D109" s="146">
        <v>83.51</v>
      </c>
      <c r="E109" s="7" t="s">
        <v>189</v>
      </c>
      <c r="F109" s="7" t="s">
        <v>236</v>
      </c>
      <c r="G109" s="9" t="s">
        <v>237</v>
      </c>
      <c r="H109" s="9"/>
      <c r="I109" s="204" cm="1">
        <f t="array" ref="I109">IFERROR(LOOKUP(2,1/(N109:GR109&lt;&gt;""),N$4:DRA$4),"")</f>
        <v>45203</v>
      </c>
      <c r="J109" s="266" cm="1">
        <f t="array" ref="J109">IFERROR(_xlfn.XLOOKUP(TRUE,N109:EH109&lt;&gt;"",N109:EH109,,,-1)," ")</f>
        <v>24.7</v>
      </c>
      <c r="K109" s="45">
        <v>24</v>
      </c>
      <c r="L109" s="45">
        <v>24.5</v>
      </c>
      <c r="M109" s="282" t="s">
        <v>238</v>
      </c>
      <c r="N109" s="57"/>
      <c r="O109" s="57"/>
      <c r="P109" s="57"/>
      <c r="Q109" s="57"/>
      <c r="R109" s="57"/>
      <c r="S109" s="57"/>
      <c r="T109" s="57"/>
      <c r="U109" s="57"/>
      <c r="V109" s="57"/>
      <c r="W109" s="57"/>
      <c r="X109" s="57"/>
      <c r="Y109" s="57"/>
      <c r="Z109" s="57"/>
      <c r="AA109" s="57"/>
      <c r="AB109" s="57"/>
      <c r="AC109" s="57"/>
      <c r="AD109" s="57"/>
      <c r="AE109" s="57"/>
      <c r="AF109" s="57"/>
      <c r="AG109" s="57"/>
      <c r="AH109" s="57"/>
      <c r="AI109" s="57"/>
      <c r="AJ109" s="57"/>
      <c r="AK109" s="57"/>
      <c r="AL109" s="57"/>
      <c r="AM109" s="57"/>
      <c r="AN109" s="57"/>
      <c r="AO109" s="57"/>
      <c r="AP109" s="57"/>
      <c r="AQ109" s="57"/>
      <c r="AR109" s="57"/>
      <c r="AS109" s="57"/>
      <c r="AT109" s="57"/>
      <c r="AU109" s="61"/>
      <c r="AV109" s="61"/>
      <c r="AW109" s="57"/>
      <c r="AX109" s="61"/>
      <c r="AY109" s="57"/>
      <c r="AZ109" s="57"/>
      <c r="BA109" s="57"/>
      <c r="BB109" s="61"/>
      <c r="BC109" s="61"/>
      <c r="BD109" s="57"/>
      <c r="BE109" s="57"/>
      <c r="BF109" s="57"/>
      <c r="BG109" s="57"/>
      <c r="BH109" s="57"/>
      <c r="BI109" s="61"/>
      <c r="BJ109" s="61"/>
      <c r="BK109" s="57"/>
      <c r="BL109" s="57"/>
      <c r="BM109" s="57"/>
      <c r="BN109" s="57"/>
      <c r="BO109" s="58"/>
      <c r="BP109" s="58"/>
      <c r="BQ109" s="61"/>
      <c r="BR109" s="57"/>
      <c r="BS109" s="57"/>
      <c r="BT109" s="57"/>
      <c r="BU109" s="57"/>
      <c r="BV109" s="57"/>
      <c r="BW109" s="57"/>
      <c r="BX109" s="57"/>
      <c r="BY109" s="57"/>
      <c r="BZ109" s="57"/>
      <c r="CA109" s="57"/>
      <c r="CB109" s="57"/>
      <c r="CC109" s="27"/>
      <c r="CD109" s="160">
        <v>24.7</v>
      </c>
      <c r="CE109" s="61"/>
      <c r="CF109" s="57"/>
      <c r="CG109" s="61"/>
      <c r="CH109" s="57"/>
      <c r="CI109" s="61"/>
      <c r="CJ109" s="57"/>
      <c r="CK109" s="61"/>
      <c r="CL109" s="61"/>
      <c r="CM109" s="61"/>
      <c r="CN109" s="61"/>
      <c r="CO109" s="61"/>
      <c r="CP109" s="61"/>
      <c r="CQ109" s="61"/>
      <c r="CR109" s="61"/>
      <c r="CS109" s="61"/>
      <c r="CT109" s="61"/>
      <c r="CU109" s="61"/>
      <c r="CV109" s="61"/>
      <c r="CW109" s="61"/>
      <c r="CX109" s="61"/>
      <c r="CY109" s="61"/>
      <c r="CZ109" s="61"/>
      <c r="DA109" s="61"/>
      <c r="DB109" s="61"/>
      <c r="DC109" s="61"/>
      <c r="DD109" s="61"/>
      <c r="DE109" s="61"/>
      <c r="DF109" s="61"/>
      <c r="DG109" s="61"/>
      <c r="DH109" s="61"/>
      <c r="DI109" s="61"/>
      <c r="DJ109" s="61"/>
      <c r="DK109" s="61"/>
      <c r="DL109" s="61"/>
      <c r="DM109" s="61"/>
      <c r="DN109" s="61"/>
      <c r="DO109" s="61"/>
      <c r="DP109" s="61"/>
      <c r="DQ109" s="156"/>
      <c r="DR109" s="156"/>
      <c r="DS109" s="156"/>
      <c r="DT109" s="156"/>
      <c r="DU109" s="156"/>
      <c r="DV109" s="156"/>
      <c r="DW109" s="156"/>
      <c r="DX109" s="156"/>
      <c r="DY109" s="156"/>
      <c r="DZ109" s="59"/>
      <c r="EA109" s="59"/>
      <c r="EB109" s="59"/>
      <c r="EC109" s="59"/>
      <c r="ED109" s="59"/>
      <c r="EE109" s="59"/>
      <c r="EF109" s="59"/>
      <c r="EG109" s="59"/>
    </row>
    <row r="110" spans="1:137" s="10" customFormat="1" ht="15.9" customHeight="1" outlineLevel="1" x14ac:dyDescent="0.3">
      <c r="A110" s="7" t="s">
        <v>23</v>
      </c>
      <c r="B110" s="7" t="s">
        <v>23</v>
      </c>
      <c r="C110" s="8" t="s">
        <v>44</v>
      </c>
      <c r="D110" s="146"/>
      <c r="E110" s="7" t="s">
        <v>189</v>
      </c>
      <c r="F110" s="7" t="s">
        <v>236</v>
      </c>
      <c r="G110" s="9" t="s">
        <v>239</v>
      </c>
      <c r="H110" s="9"/>
      <c r="I110" s="204" t="str" cm="1">
        <f t="array" ref="I110">IFERROR(LOOKUP(2,1/(N110:GR110&lt;&gt;""),N$4:DRA$4),"")</f>
        <v/>
      </c>
      <c r="J110" s="169" t="str" cm="1">
        <f t="array" ref="J110">IFERROR(_xlfn.XLOOKUP(TRUE,N110:EH110&lt;&gt;"",N110:EH110,,,-1)," ")</f>
        <v xml:space="preserve"> </v>
      </c>
      <c r="K110" s="45">
        <v>24</v>
      </c>
      <c r="L110" s="45">
        <v>24.5</v>
      </c>
      <c r="M110" s="282" t="s">
        <v>238</v>
      </c>
      <c r="N110" s="57"/>
      <c r="O110" s="57"/>
      <c r="P110" s="57"/>
      <c r="Q110" s="57"/>
      <c r="R110" s="57"/>
      <c r="S110" s="57"/>
      <c r="T110" s="57"/>
      <c r="U110" s="57"/>
      <c r="V110" s="57"/>
      <c r="W110" s="57"/>
      <c r="X110" s="57"/>
      <c r="Y110" s="57"/>
      <c r="Z110" s="57"/>
      <c r="AA110" s="57"/>
      <c r="AB110" s="57"/>
      <c r="AC110" s="57"/>
      <c r="AD110" s="57"/>
      <c r="AE110" s="57"/>
      <c r="AF110" s="57"/>
      <c r="AG110" s="57"/>
      <c r="AH110" s="57"/>
      <c r="AI110" s="57"/>
      <c r="AJ110" s="57"/>
      <c r="AK110" s="57"/>
      <c r="AL110" s="57"/>
      <c r="AM110" s="57"/>
      <c r="AN110" s="57"/>
      <c r="AO110" s="57"/>
      <c r="AP110" s="57"/>
      <c r="AQ110" s="57"/>
      <c r="AR110" s="57"/>
      <c r="AS110" s="57"/>
      <c r="AT110" s="57"/>
      <c r="AU110" s="61"/>
      <c r="AV110" s="61"/>
      <c r="AW110" s="57"/>
      <c r="AX110" s="61"/>
      <c r="AY110" s="57"/>
      <c r="AZ110" s="57"/>
      <c r="BA110" s="57"/>
      <c r="BB110" s="61"/>
      <c r="BC110" s="61"/>
      <c r="BD110" s="57"/>
      <c r="BE110" s="57"/>
      <c r="BF110" s="57"/>
      <c r="BG110" s="57"/>
      <c r="BH110" s="57"/>
      <c r="BI110" s="61"/>
      <c r="BJ110" s="61"/>
      <c r="BK110" s="57"/>
      <c r="BL110" s="57"/>
      <c r="BM110" s="57"/>
      <c r="BN110" s="57"/>
      <c r="BO110" s="57"/>
      <c r="BP110" s="58"/>
      <c r="BQ110" s="61"/>
      <c r="BR110" s="57"/>
      <c r="BS110" s="57"/>
      <c r="BT110" s="57"/>
      <c r="BU110" s="57"/>
      <c r="BV110" s="57"/>
      <c r="BW110" s="57"/>
      <c r="BX110" s="57"/>
      <c r="BY110" s="57"/>
      <c r="BZ110" s="57"/>
      <c r="CA110" s="57"/>
      <c r="CB110" s="57"/>
      <c r="CC110" s="27"/>
      <c r="CD110" s="61"/>
      <c r="CE110" s="61"/>
      <c r="CF110" s="57"/>
      <c r="CG110" s="61"/>
      <c r="CH110" s="57"/>
      <c r="CI110" s="61"/>
      <c r="CJ110" s="57"/>
      <c r="CK110" s="61"/>
      <c r="CL110" s="61"/>
      <c r="CM110" s="61"/>
      <c r="CN110" s="61"/>
      <c r="CO110" s="61"/>
      <c r="CP110" s="61"/>
      <c r="CQ110" s="61"/>
      <c r="CR110" s="61"/>
      <c r="CS110" s="61"/>
      <c r="CT110" s="61"/>
      <c r="CU110" s="61"/>
      <c r="CV110" s="61"/>
      <c r="CW110" s="61"/>
      <c r="CX110" s="61"/>
      <c r="CY110" s="61"/>
      <c r="CZ110" s="61"/>
      <c r="DA110" s="61"/>
      <c r="DB110" s="61"/>
      <c r="DC110" s="61"/>
      <c r="DD110" s="61"/>
      <c r="DE110" s="61"/>
      <c r="DF110" s="61"/>
      <c r="DG110" s="61"/>
      <c r="DH110" s="61"/>
      <c r="DI110" s="61"/>
      <c r="DJ110" s="61"/>
      <c r="DK110" s="61"/>
      <c r="DL110" s="61"/>
      <c r="DM110" s="61"/>
      <c r="DN110" s="61"/>
      <c r="DO110" s="61"/>
      <c r="DP110" s="61"/>
      <c r="DQ110" s="156"/>
      <c r="DR110" s="156"/>
      <c r="DS110" s="156"/>
      <c r="DT110" s="156"/>
      <c r="DU110" s="156"/>
      <c r="DV110" s="156"/>
      <c r="DW110" s="156"/>
      <c r="DX110" s="156"/>
      <c r="DY110" s="156"/>
      <c r="DZ110" s="65"/>
      <c r="EA110" s="65"/>
      <c r="EB110" s="65"/>
      <c r="EC110" s="65"/>
      <c r="ED110" s="65"/>
      <c r="EE110" s="65"/>
      <c r="EF110" s="65"/>
      <c r="EG110" s="65"/>
    </row>
    <row r="111" spans="1:137" s="10" customFormat="1" ht="15.9" customHeight="1" outlineLevel="1" x14ac:dyDescent="0.3">
      <c r="A111" s="7" t="s">
        <v>23</v>
      </c>
      <c r="B111" s="7" t="s">
        <v>23</v>
      </c>
      <c r="C111" s="8" t="s">
        <v>44</v>
      </c>
      <c r="D111" s="146"/>
      <c r="E111" s="7" t="s">
        <v>189</v>
      </c>
      <c r="F111" s="7" t="s">
        <v>236</v>
      </c>
      <c r="G111" s="9" t="s">
        <v>240</v>
      </c>
      <c r="H111" s="9"/>
      <c r="I111" s="204" t="str" cm="1">
        <f t="array" ref="I111">IFERROR(LOOKUP(2,1/(N111:GR111&lt;&gt;""),N$4:DRA$4),"")</f>
        <v/>
      </c>
      <c r="J111" s="169" t="str" cm="1">
        <f t="array" ref="J111">IFERROR(_xlfn.XLOOKUP(TRUE,N111:EH111&lt;&gt;"",N111:EH111,,,-1)," ")</f>
        <v xml:space="preserve"> </v>
      </c>
      <c r="K111" s="45">
        <v>24</v>
      </c>
      <c r="L111" s="45">
        <v>24.5</v>
      </c>
      <c r="M111" s="282" t="s">
        <v>238</v>
      </c>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7"/>
      <c r="AT111" s="57"/>
      <c r="AU111" s="61"/>
      <c r="AV111" s="61"/>
      <c r="AW111" s="57"/>
      <c r="AX111" s="61"/>
      <c r="AY111" s="57"/>
      <c r="AZ111" s="57"/>
      <c r="BA111" s="57"/>
      <c r="BB111" s="61"/>
      <c r="BC111" s="61"/>
      <c r="BD111" s="57"/>
      <c r="BE111" s="57"/>
      <c r="BF111" s="57"/>
      <c r="BG111" s="57"/>
      <c r="BH111" s="57"/>
      <c r="BI111" s="61"/>
      <c r="BJ111" s="61"/>
      <c r="BK111" s="57"/>
      <c r="BL111" s="57"/>
      <c r="BM111" s="57"/>
      <c r="BN111" s="57"/>
      <c r="BO111" s="57"/>
      <c r="BP111" s="58"/>
      <c r="BQ111" s="61"/>
      <c r="BR111" s="57"/>
      <c r="BS111" s="57"/>
      <c r="BT111" s="57"/>
      <c r="BU111" s="57"/>
      <c r="BV111" s="57"/>
      <c r="BW111" s="57"/>
      <c r="BX111" s="57"/>
      <c r="BY111" s="57"/>
      <c r="BZ111" s="57"/>
      <c r="CA111" s="57"/>
      <c r="CB111" s="57"/>
      <c r="CC111" s="27"/>
      <c r="CD111" s="61"/>
      <c r="CE111" s="61"/>
      <c r="CF111" s="57"/>
      <c r="CG111" s="61"/>
      <c r="CH111" s="57"/>
      <c r="CI111" s="61"/>
      <c r="CJ111" s="57"/>
      <c r="CK111" s="61"/>
      <c r="CL111" s="61"/>
      <c r="CM111" s="61"/>
      <c r="CN111" s="61"/>
      <c r="CO111" s="61"/>
      <c r="CP111" s="61"/>
      <c r="CQ111" s="61"/>
      <c r="CR111" s="61"/>
      <c r="CS111" s="61"/>
      <c r="CT111" s="61"/>
      <c r="CU111" s="61"/>
      <c r="CV111" s="61"/>
      <c r="CW111" s="61"/>
      <c r="CX111" s="61"/>
      <c r="CY111" s="61"/>
      <c r="CZ111" s="61"/>
      <c r="DA111" s="61"/>
      <c r="DB111" s="61"/>
      <c r="DC111" s="61"/>
      <c r="DD111" s="61"/>
      <c r="DE111" s="61"/>
      <c r="DF111" s="61"/>
      <c r="DG111" s="61"/>
      <c r="DH111" s="61"/>
      <c r="DI111" s="61"/>
      <c r="DJ111" s="61"/>
      <c r="DK111" s="61"/>
      <c r="DL111" s="61"/>
      <c r="DM111" s="61"/>
      <c r="DN111" s="61"/>
      <c r="DO111" s="61"/>
      <c r="DP111" s="61"/>
      <c r="DQ111" s="156"/>
      <c r="DR111" s="156"/>
      <c r="DS111" s="156"/>
      <c r="DT111" s="156"/>
      <c r="DU111" s="156"/>
      <c r="DV111" s="156"/>
      <c r="DW111" s="156"/>
      <c r="DX111" s="156"/>
      <c r="DY111" s="156"/>
      <c r="DZ111" s="65"/>
      <c r="EA111" s="65"/>
      <c r="EB111" s="65"/>
      <c r="EC111" s="65"/>
      <c r="ED111" s="65"/>
      <c r="EE111" s="65"/>
      <c r="EF111" s="65"/>
      <c r="EG111" s="65"/>
    </row>
    <row r="112" spans="1:137" s="5" customFormat="1" ht="15.9" customHeight="1" outlineLevel="1" x14ac:dyDescent="0.3">
      <c r="A112" s="6" t="s">
        <v>23</v>
      </c>
      <c r="B112" s="6" t="s">
        <v>23</v>
      </c>
      <c r="C112" s="50" t="s">
        <v>44</v>
      </c>
      <c r="D112" s="147">
        <v>33.39</v>
      </c>
      <c r="E112" s="6" t="s">
        <v>189</v>
      </c>
      <c r="F112" s="6" t="s">
        <v>241</v>
      </c>
      <c r="G112" s="11" t="s">
        <v>242</v>
      </c>
      <c r="H112" s="11"/>
      <c r="I112" s="205" cm="1">
        <f t="array" ref="I112">IFERROR(LOOKUP(2,1/(N112:GR112&lt;&gt;""),N$4:DRA$4),"")</f>
        <v>45208</v>
      </c>
      <c r="J112" s="170" cm="1">
        <f t="array" ref="J112">IFERROR(_xlfn.XLOOKUP(TRUE,N112:EH112&lt;&gt;"",N112:EH112,,,-1)," ")</f>
        <v>20.7</v>
      </c>
      <c r="K112" s="49">
        <v>24</v>
      </c>
      <c r="L112" s="49">
        <v>24.5</v>
      </c>
      <c r="M112" s="284" t="s">
        <v>28</v>
      </c>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2"/>
      <c r="AQ112" s="62"/>
      <c r="AR112" s="62"/>
      <c r="AS112" s="62"/>
      <c r="AT112" s="62"/>
      <c r="AU112" s="63"/>
      <c r="AV112" s="63"/>
      <c r="AW112" s="62"/>
      <c r="AX112" s="63"/>
      <c r="AY112" s="62"/>
      <c r="AZ112" s="62"/>
      <c r="BA112" s="62"/>
      <c r="BB112" s="63"/>
      <c r="BC112" s="63"/>
      <c r="BD112" s="62"/>
      <c r="BE112" s="62"/>
      <c r="BF112" s="62"/>
      <c r="BG112" s="62"/>
      <c r="BH112" s="62"/>
      <c r="BI112" s="63"/>
      <c r="BJ112" s="63"/>
      <c r="BK112" s="62"/>
      <c r="BL112" s="62"/>
      <c r="BM112" s="62"/>
      <c r="BN112" s="62"/>
      <c r="BO112" s="62"/>
      <c r="BP112" s="64"/>
      <c r="BQ112" s="63"/>
      <c r="BR112" s="64"/>
      <c r="BS112" s="62"/>
      <c r="BT112" s="62"/>
      <c r="BU112" s="62"/>
      <c r="BV112" s="62"/>
      <c r="BW112" s="62"/>
      <c r="BX112" s="62"/>
      <c r="BY112" s="62"/>
      <c r="BZ112" s="62">
        <v>23</v>
      </c>
      <c r="CA112" s="62"/>
      <c r="CB112" s="62"/>
      <c r="CC112" s="51"/>
      <c r="CD112" s="63"/>
      <c r="CE112" s="63"/>
      <c r="CF112" s="62"/>
      <c r="CG112" s="62"/>
      <c r="CH112" s="62"/>
      <c r="CI112" s="64">
        <v>20.7</v>
      </c>
      <c r="CJ112" s="62"/>
      <c r="CK112" s="63"/>
      <c r="CL112" s="63"/>
      <c r="CM112" s="62"/>
      <c r="CN112" s="63"/>
      <c r="CO112" s="63"/>
      <c r="CP112" s="63"/>
      <c r="CQ112" s="63"/>
      <c r="CR112" s="63"/>
      <c r="CS112" s="63"/>
      <c r="CT112" s="63"/>
      <c r="CU112" s="63"/>
      <c r="CV112" s="63"/>
      <c r="CW112" s="63"/>
      <c r="CX112" s="63"/>
      <c r="CY112" s="63"/>
      <c r="CZ112" s="63"/>
      <c r="DA112" s="63"/>
      <c r="DB112" s="63"/>
      <c r="DC112" s="63"/>
      <c r="DD112" s="63"/>
      <c r="DE112" s="63"/>
      <c r="DF112" s="63"/>
      <c r="DG112" s="63"/>
      <c r="DH112" s="63"/>
      <c r="DI112" s="63"/>
      <c r="DJ112" s="63"/>
      <c r="DK112" s="63"/>
      <c r="DL112" s="63"/>
      <c r="DM112" s="63"/>
      <c r="DN112" s="63"/>
      <c r="DO112" s="63"/>
      <c r="DP112" s="63"/>
      <c r="DQ112" s="158"/>
      <c r="DR112" s="158"/>
      <c r="DS112" s="158"/>
      <c r="DT112" s="158"/>
      <c r="DU112" s="158"/>
      <c r="DV112" s="158"/>
      <c r="DW112" s="158"/>
      <c r="DX112" s="158"/>
      <c r="DY112" s="158"/>
      <c r="DZ112" s="65"/>
      <c r="EA112" s="65"/>
      <c r="EB112" s="65"/>
      <c r="EC112" s="65"/>
      <c r="ED112" s="65"/>
      <c r="EE112" s="65"/>
      <c r="EF112" s="65"/>
      <c r="EG112" s="65"/>
    </row>
    <row r="113" spans="1:137" s="5" customFormat="1" ht="15.9" customHeight="1" outlineLevel="1" x14ac:dyDescent="0.3">
      <c r="A113" s="6" t="s">
        <v>23</v>
      </c>
      <c r="B113" s="6"/>
      <c r="C113" s="50" t="s">
        <v>44</v>
      </c>
      <c r="D113" s="147"/>
      <c r="E113" s="6" t="s">
        <v>189</v>
      </c>
      <c r="F113" s="6"/>
      <c r="G113" s="11" t="s">
        <v>243</v>
      </c>
      <c r="H113" s="11"/>
      <c r="I113" s="205" cm="1">
        <f t="array" ref="I113">IFERROR(LOOKUP(2,1/(N113:GR113&lt;&gt;""),N$4:DRA$4),"")</f>
        <v>45219</v>
      </c>
      <c r="J113" s="170" cm="1">
        <f t="array" ref="J113">IFERROR(_xlfn.XLOOKUP(TRUE,N113:EH113&lt;&gt;"",N113:EH113,,,-1)," ")</f>
        <v>23</v>
      </c>
      <c r="K113" s="49">
        <v>24</v>
      </c>
      <c r="L113" s="49">
        <v>24.5</v>
      </c>
      <c r="M113" s="284" t="s">
        <v>28</v>
      </c>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2"/>
      <c r="AQ113" s="62"/>
      <c r="AR113" s="62"/>
      <c r="AS113" s="62"/>
      <c r="AT113" s="62"/>
      <c r="AU113" s="63"/>
      <c r="AV113" s="63"/>
      <c r="AW113" s="62"/>
      <c r="AX113" s="63"/>
      <c r="AY113" s="62"/>
      <c r="AZ113" s="62"/>
      <c r="BA113" s="62"/>
      <c r="BB113" s="63"/>
      <c r="BC113" s="63"/>
      <c r="BD113" s="62"/>
      <c r="BE113" s="62"/>
      <c r="BF113" s="62"/>
      <c r="BG113" s="62"/>
      <c r="BH113" s="62"/>
      <c r="BI113" s="63"/>
      <c r="BJ113" s="63"/>
      <c r="BK113" s="62"/>
      <c r="BL113" s="62"/>
      <c r="BM113" s="62"/>
      <c r="BN113" s="62"/>
      <c r="BO113" s="62"/>
      <c r="BP113" s="64"/>
      <c r="BQ113" s="63"/>
      <c r="BR113" s="64"/>
      <c r="BS113" s="62"/>
      <c r="BT113" s="62"/>
      <c r="BU113" s="62"/>
      <c r="BV113" s="62"/>
      <c r="BW113" s="62"/>
      <c r="BX113" s="62"/>
      <c r="BY113" s="62"/>
      <c r="BZ113" s="62"/>
      <c r="CA113" s="62"/>
      <c r="CB113" s="62"/>
      <c r="CC113" s="51"/>
      <c r="CD113" s="63"/>
      <c r="CE113" s="63"/>
      <c r="CF113" s="62"/>
      <c r="CG113" s="62"/>
      <c r="CH113" s="62"/>
      <c r="CI113" s="64"/>
      <c r="CJ113" s="62"/>
      <c r="CK113" s="63"/>
      <c r="CL113" s="63"/>
      <c r="CM113" s="62"/>
      <c r="CN113" s="63"/>
      <c r="CO113" s="63"/>
      <c r="CP113" s="63">
        <v>21</v>
      </c>
      <c r="CQ113" s="63"/>
      <c r="CR113" s="63"/>
      <c r="CS113" s="63"/>
      <c r="CT113" s="63">
        <v>23</v>
      </c>
      <c r="CU113" s="63"/>
      <c r="CV113" s="63"/>
      <c r="CW113" s="63"/>
      <c r="CX113" s="63"/>
      <c r="CY113" s="63"/>
      <c r="CZ113" s="63"/>
      <c r="DA113" s="63"/>
      <c r="DB113" s="63"/>
      <c r="DC113" s="63"/>
      <c r="DD113" s="63"/>
      <c r="DE113" s="63"/>
      <c r="DF113" s="63"/>
      <c r="DG113" s="63"/>
      <c r="DH113" s="63"/>
      <c r="DI113" s="63"/>
      <c r="DJ113" s="63"/>
      <c r="DK113" s="63"/>
      <c r="DL113" s="63"/>
      <c r="DM113" s="63"/>
      <c r="DN113" s="63"/>
      <c r="DO113" s="63"/>
      <c r="DP113" s="63"/>
      <c r="DQ113" s="158"/>
      <c r="DR113" s="158"/>
      <c r="DS113" s="158"/>
      <c r="DT113" s="158"/>
      <c r="DU113" s="158"/>
      <c r="DV113" s="158"/>
      <c r="DW113" s="158"/>
      <c r="DX113" s="158"/>
      <c r="DY113" s="158"/>
      <c r="DZ113" s="65"/>
      <c r="EA113" s="65"/>
      <c r="EB113" s="65"/>
      <c r="EC113" s="65"/>
      <c r="ED113" s="65"/>
      <c r="EE113" s="65"/>
      <c r="EF113" s="65"/>
      <c r="EG113" s="65"/>
    </row>
    <row r="114" spans="1:137" s="5" customFormat="1" ht="15.9" customHeight="1" outlineLevel="1" x14ac:dyDescent="0.3">
      <c r="A114" s="6" t="s">
        <v>23</v>
      </c>
      <c r="B114" s="6"/>
      <c r="C114" s="50" t="s">
        <v>44</v>
      </c>
      <c r="D114" s="147"/>
      <c r="E114" s="6" t="s">
        <v>189</v>
      </c>
      <c r="F114" s="6"/>
      <c r="G114" s="11" t="s">
        <v>244</v>
      </c>
      <c r="H114" s="11"/>
      <c r="I114" s="205" cm="1">
        <f t="array" ref="I114">IFERROR(LOOKUP(2,1/(N114:GR114&lt;&gt;""),N$4:DRA$4),"")</f>
        <v>45223</v>
      </c>
      <c r="J114" s="271" cm="1">
        <f t="array" ref="J114">IFERROR(_xlfn.XLOOKUP(TRUE,N114:EH114&lt;&gt;"",N114:EH114,,,-1)," ")</f>
        <v>24.1</v>
      </c>
      <c r="K114" s="49">
        <v>24</v>
      </c>
      <c r="L114" s="49">
        <v>24.5</v>
      </c>
      <c r="M114" s="284" t="s">
        <v>28</v>
      </c>
      <c r="N114" s="62"/>
      <c r="O114" s="62"/>
      <c r="P114" s="62"/>
      <c r="Q114" s="62"/>
      <c r="R114" s="62"/>
      <c r="S114" s="62"/>
      <c r="T114" s="62"/>
      <c r="U114" s="62"/>
      <c r="V114" s="62"/>
      <c r="W114" s="62"/>
      <c r="X114" s="62"/>
      <c r="Y114" s="62"/>
      <c r="Z114" s="62"/>
      <c r="AA114" s="62"/>
      <c r="AB114" s="62"/>
      <c r="AC114" s="62"/>
      <c r="AD114" s="62"/>
      <c r="AE114" s="62"/>
      <c r="AF114" s="62"/>
      <c r="AG114" s="62"/>
      <c r="AH114" s="62"/>
      <c r="AI114" s="62"/>
      <c r="AJ114" s="62"/>
      <c r="AK114" s="62"/>
      <c r="AL114" s="62"/>
      <c r="AM114" s="62"/>
      <c r="AN114" s="62"/>
      <c r="AO114" s="62"/>
      <c r="AP114" s="62"/>
      <c r="AQ114" s="62"/>
      <c r="AR114" s="62"/>
      <c r="AS114" s="62"/>
      <c r="AT114" s="62"/>
      <c r="AU114" s="63"/>
      <c r="AV114" s="63"/>
      <c r="AW114" s="62"/>
      <c r="AX114" s="63"/>
      <c r="AY114" s="62"/>
      <c r="AZ114" s="62"/>
      <c r="BA114" s="62"/>
      <c r="BB114" s="63"/>
      <c r="BC114" s="63"/>
      <c r="BD114" s="62"/>
      <c r="BE114" s="62"/>
      <c r="BF114" s="62"/>
      <c r="BG114" s="62"/>
      <c r="BH114" s="62"/>
      <c r="BI114" s="63"/>
      <c r="BJ114" s="63"/>
      <c r="BK114" s="62"/>
      <c r="BL114" s="62"/>
      <c r="BM114" s="62"/>
      <c r="BN114" s="62"/>
      <c r="BO114" s="62"/>
      <c r="BP114" s="64"/>
      <c r="BQ114" s="63"/>
      <c r="BR114" s="64"/>
      <c r="BS114" s="62"/>
      <c r="BT114" s="62"/>
      <c r="BU114" s="62"/>
      <c r="BV114" s="62"/>
      <c r="BW114" s="62"/>
      <c r="BX114" s="62"/>
      <c r="BY114" s="62"/>
      <c r="BZ114" s="62"/>
      <c r="CA114" s="62"/>
      <c r="CB114" s="62"/>
      <c r="CC114" s="51"/>
      <c r="CD114" s="63"/>
      <c r="CE114" s="63"/>
      <c r="CF114" s="62"/>
      <c r="CG114" s="62"/>
      <c r="CH114" s="62"/>
      <c r="CI114" s="64"/>
      <c r="CJ114" s="62"/>
      <c r="CK114" s="63"/>
      <c r="CL114" s="63"/>
      <c r="CM114" s="62"/>
      <c r="CN114" s="63"/>
      <c r="CO114" s="63"/>
      <c r="CP114" s="63">
        <v>23.9</v>
      </c>
      <c r="CQ114" s="63"/>
      <c r="CR114" s="63"/>
      <c r="CS114" s="63"/>
      <c r="CT114" s="159">
        <v>24.2</v>
      </c>
      <c r="CU114" s="63"/>
      <c r="CV114" s="63"/>
      <c r="CW114" s="63"/>
      <c r="CX114" s="159">
        <v>24.1</v>
      </c>
      <c r="CY114" s="63"/>
      <c r="CZ114" s="63"/>
      <c r="DA114" s="63"/>
      <c r="DB114" s="63"/>
      <c r="DC114" s="63"/>
      <c r="DD114" s="63"/>
      <c r="DE114" s="63"/>
      <c r="DF114" s="63"/>
      <c r="DG114" s="63"/>
      <c r="DH114" s="63"/>
      <c r="DI114" s="63"/>
      <c r="DJ114" s="63"/>
      <c r="DK114" s="63"/>
      <c r="DL114" s="63"/>
      <c r="DM114" s="63"/>
      <c r="DN114" s="63"/>
      <c r="DO114" s="63"/>
      <c r="DP114" s="63"/>
      <c r="DQ114" s="158"/>
      <c r="DR114" s="158"/>
      <c r="DS114" s="158"/>
      <c r="DT114" s="158"/>
      <c r="DU114" s="158"/>
      <c r="DV114" s="158"/>
      <c r="DW114" s="158"/>
      <c r="DX114" s="158"/>
      <c r="DY114" s="158"/>
      <c r="DZ114" s="65"/>
      <c r="EA114" s="65"/>
      <c r="EB114" s="65"/>
      <c r="EC114" s="65"/>
      <c r="ED114" s="65"/>
      <c r="EE114" s="65"/>
      <c r="EF114" s="65"/>
      <c r="EG114" s="65"/>
    </row>
    <row r="115" spans="1:137" s="10" customFormat="1" ht="15.9" customHeight="1" outlineLevel="1" x14ac:dyDescent="0.3">
      <c r="A115" s="7" t="s">
        <v>22</v>
      </c>
      <c r="B115" s="7" t="s">
        <v>23</v>
      </c>
      <c r="C115" s="8" t="s">
        <v>24</v>
      </c>
      <c r="D115" s="146">
        <v>7.58</v>
      </c>
      <c r="E115" s="7" t="s">
        <v>189</v>
      </c>
      <c r="F115" s="7" t="s">
        <v>245</v>
      </c>
      <c r="G115" s="9" t="s">
        <v>246</v>
      </c>
      <c r="H115" s="9"/>
      <c r="I115" s="204" cm="1">
        <f t="array" ref="I115">IFERROR(LOOKUP(2,1/(N115:GR115&lt;&gt;""),N$4:DRA$4),"")</f>
        <v>45208</v>
      </c>
      <c r="J115" s="169" cm="1">
        <f t="array" ref="J115">IFERROR(_xlfn.XLOOKUP(TRUE,N115:EH115&lt;&gt;"",N115:EH115,,,-1)," ")</f>
        <v>21.1</v>
      </c>
      <c r="K115" s="45"/>
      <c r="L115" s="45">
        <v>24.5</v>
      </c>
      <c r="M115" s="282" t="s">
        <v>28</v>
      </c>
      <c r="N115" s="57"/>
      <c r="O115" s="57"/>
      <c r="P115" s="57"/>
      <c r="Q115" s="57"/>
      <c r="R115" s="57"/>
      <c r="S115" s="57"/>
      <c r="T115" s="57"/>
      <c r="U115" s="57"/>
      <c r="V115" s="57"/>
      <c r="W115" s="57"/>
      <c r="X115" s="57"/>
      <c r="Y115" s="57"/>
      <c r="Z115" s="57"/>
      <c r="AA115" s="57"/>
      <c r="AB115" s="57"/>
      <c r="AC115" s="57"/>
      <c r="AD115" s="57"/>
      <c r="AE115" s="57"/>
      <c r="AF115" s="57"/>
      <c r="AG115" s="57"/>
      <c r="AH115" s="57"/>
      <c r="AI115" s="57"/>
      <c r="AJ115" s="57"/>
      <c r="AK115" s="57"/>
      <c r="AL115" s="57"/>
      <c r="AM115" s="57"/>
      <c r="AN115" s="57"/>
      <c r="AO115" s="57"/>
      <c r="AP115" s="57"/>
      <c r="AQ115" s="57"/>
      <c r="AR115" s="57"/>
      <c r="AS115" s="57"/>
      <c r="AT115" s="57"/>
      <c r="AU115" s="61"/>
      <c r="AV115" s="61"/>
      <c r="AW115" s="57"/>
      <c r="AX115" s="61"/>
      <c r="AY115" s="57"/>
      <c r="AZ115" s="57"/>
      <c r="BA115" s="57"/>
      <c r="BB115" s="61">
        <v>15.8</v>
      </c>
      <c r="BC115" s="61"/>
      <c r="BD115" s="57"/>
      <c r="BE115" s="57"/>
      <c r="BF115" s="57"/>
      <c r="BG115" s="57"/>
      <c r="BH115" s="57"/>
      <c r="BI115" s="61"/>
      <c r="BJ115" s="61"/>
      <c r="BK115" s="57"/>
      <c r="BL115" s="57"/>
      <c r="BM115" s="57"/>
      <c r="BN115" s="57"/>
      <c r="BO115" s="57"/>
      <c r="BP115" s="58"/>
      <c r="BQ115" s="61"/>
      <c r="BR115" s="57"/>
      <c r="BS115" s="57">
        <v>19</v>
      </c>
      <c r="BT115" s="57"/>
      <c r="BU115" s="57"/>
      <c r="BV115" s="57"/>
      <c r="BW115" s="57"/>
      <c r="BX115" s="57"/>
      <c r="BY115" s="57"/>
      <c r="BZ115" s="57"/>
      <c r="CA115" s="57"/>
      <c r="CB115" s="57" t="s">
        <v>247</v>
      </c>
      <c r="CC115" s="27"/>
      <c r="CD115" s="61"/>
      <c r="CE115" s="61"/>
      <c r="CF115" s="57"/>
      <c r="CG115" s="61"/>
      <c r="CH115" s="57"/>
      <c r="CI115" s="61">
        <v>21.1</v>
      </c>
      <c r="CJ115" s="57"/>
      <c r="CK115" s="61"/>
      <c r="CL115" s="61"/>
      <c r="CM115" s="61"/>
      <c r="CN115" s="61"/>
      <c r="CO115" s="61"/>
      <c r="CP115" s="61"/>
      <c r="CQ115" s="61"/>
      <c r="CR115" s="61"/>
      <c r="CS115" s="61"/>
      <c r="CT115" s="61"/>
      <c r="CU115" s="61"/>
      <c r="CV115" s="61"/>
      <c r="CW115" s="61"/>
      <c r="CX115" s="61"/>
      <c r="CY115" s="61"/>
      <c r="CZ115" s="61"/>
      <c r="DA115" s="61"/>
      <c r="DB115" s="61"/>
      <c r="DC115" s="61"/>
      <c r="DD115" s="61"/>
      <c r="DE115" s="61"/>
      <c r="DF115" s="61"/>
      <c r="DG115" s="61"/>
      <c r="DH115" s="61"/>
      <c r="DI115" s="61"/>
      <c r="DJ115" s="61"/>
      <c r="DK115" s="61"/>
      <c r="DL115" s="61"/>
      <c r="DM115" s="61"/>
      <c r="DN115" s="61"/>
      <c r="DO115" s="61"/>
      <c r="DP115" s="61"/>
      <c r="DQ115" s="156"/>
      <c r="DR115" s="156"/>
      <c r="DS115" s="156"/>
      <c r="DT115" s="156"/>
      <c r="DU115" s="156"/>
      <c r="DV115" s="156"/>
      <c r="DW115" s="156"/>
      <c r="DX115" s="156"/>
      <c r="DY115" s="156"/>
      <c r="DZ115" s="65"/>
      <c r="EA115" s="65"/>
      <c r="EB115" s="65"/>
      <c r="EC115" s="65"/>
      <c r="ED115" s="65"/>
      <c r="EE115" s="65"/>
      <c r="EF115" s="65"/>
      <c r="EG115" s="65"/>
    </row>
    <row r="116" spans="1:137" s="10" customFormat="1" ht="15.9" customHeight="1" outlineLevel="1" x14ac:dyDescent="0.3">
      <c r="A116" s="7" t="s">
        <v>22</v>
      </c>
      <c r="B116" s="7"/>
      <c r="C116" s="8" t="s">
        <v>24</v>
      </c>
      <c r="D116" s="146"/>
      <c r="E116" s="7" t="s">
        <v>189</v>
      </c>
      <c r="F116" s="7"/>
      <c r="G116" s="9" t="s">
        <v>248</v>
      </c>
      <c r="H116" s="9"/>
      <c r="I116" s="204" cm="1">
        <f t="array" ref="I116">IFERROR(LOOKUP(2,1/(N116:GR116&lt;&gt;""),N$4:DRA$4),"")</f>
        <v>45219</v>
      </c>
      <c r="J116" s="266" cm="1">
        <f t="array" ref="J116">IFERROR(_xlfn.XLOOKUP(TRUE,N116:EH116&lt;&gt;"",N116:EH116,,,-1)," ")</f>
        <v>21.8</v>
      </c>
      <c r="K116" s="45"/>
      <c r="L116" s="45">
        <v>24.5</v>
      </c>
      <c r="M116" s="282" t="s">
        <v>28</v>
      </c>
      <c r="N116" s="57"/>
      <c r="O116" s="57"/>
      <c r="P116" s="57"/>
      <c r="Q116" s="57"/>
      <c r="R116" s="57"/>
      <c r="S116" s="57"/>
      <c r="T116" s="57"/>
      <c r="U116" s="57"/>
      <c r="V116" s="57"/>
      <c r="W116" s="57"/>
      <c r="X116" s="57"/>
      <c r="Y116" s="57"/>
      <c r="Z116" s="57"/>
      <c r="AA116" s="57"/>
      <c r="AB116" s="57"/>
      <c r="AC116" s="57"/>
      <c r="AD116" s="57"/>
      <c r="AE116" s="57"/>
      <c r="AF116" s="57"/>
      <c r="AG116" s="57"/>
      <c r="AH116" s="57"/>
      <c r="AI116" s="57"/>
      <c r="AJ116" s="57"/>
      <c r="AK116" s="57"/>
      <c r="AL116" s="57"/>
      <c r="AM116" s="57"/>
      <c r="AN116" s="57"/>
      <c r="AO116" s="57"/>
      <c r="AP116" s="57"/>
      <c r="AQ116" s="57"/>
      <c r="AR116" s="57"/>
      <c r="AS116" s="57"/>
      <c r="AT116" s="57"/>
      <c r="AU116" s="61"/>
      <c r="AV116" s="61"/>
      <c r="AW116" s="57"/>
      <c r="AX116" s="61"/>
      <c r="AY116" s="57"/>
      <c r="AZ116" s="57"/>
      <c r="BA116" s="57"/>
      <c r="BB116" s="61"/>
      <c r="BC116" s="61"/>
      <c r="BD116" s="57"/>
      <c r="BE116" s="57"/>
      <c r="BF116" s="57"/>
      <c r="BG116" s="57"/>
      <c r="BH116" s="57"/>
      <c r="BI116" s="61"/>
      <c r="BJ116" s="61"/>
      <c r="BK116" s="57"/>
      <c r="BL116" s="57"/>
      <c r="BM116" s="57"/>
      <c r="BN116" s="57"/>
      <c r="BO116" s="57"/>
      <c r="BP116" s="58"/>
      <c r="BQ116" s="61"/>
      <c r="BR116" s="57"/>
      <c r="BS116" s="57"/>
      <c r="BT116" s="57"/>
      <c r="BU116" s="57"/>
      <c r="BV116" s="57"/>
      <c r="BW116" s="57"/>
      <c r="BX116" s="57"/>
      <c r="BY116" s="57"/>
      <c r="BZ116" s="57"/>
      <c r="CA116" s="57"/>
      <c r="CB116" s="57"/>
      <c r="CC116" s="27"/>
      <c r="CD116" s="61"/>
      <c r="CE116" s="61"/>
      <c r="CF116" s="57"/>
      <c r="CG116" s="61"/>
      <c r="CH116" s="57"/>
      <c r="CI116" s="61"/>
      <c r="CJ116" s="57"/>
      <c r="CK116" s="61"/>
      <c r="CL116" s="61"/>
      <c r="CM116" s="61"/>
      <c r="CN116" s="61"/>
      <c r="CO116" s="61"/>
      <c r="CP116" s="61"/>
      <c r="CQ116" s="61"/>
      <c r="CR116" s="61"/>
      <c r="CS116" s="61"/>
      <c r="CT116" s="160">
        <v>21.8</v>
      </c>
      <c r="CU116" s="61"/>
      <c r="CV116" s="61"/>
      <c r="CW116" s="61"/>
      <c r="CX116" s="61"/>
      <c r="CY116" s="61"/>
      <c r="CZ116" s="61"/>
      <c r="DA116" s="61"/>
      <c r="DB116" s="61"/>
      <c r="DC116" s="61"/>
      <c r="DD116" s="61"/>
      <c r="DE116" s="61"/>
      <c r="DF116" s="61"/>
      <c r="DG116" s="61"/>
      <c r="DH116" s="61"/>
      <c r="DI116" s="61"/>
      <c r="DJ116" s="61"/>
      <c r="DK116" s="61"/>
      <c r="DL116" s="61"/>
      <c r="DM116" s="61"/>
      <c r="DN116" s="61"/>
      <c r="DO116" s="61"/>
      <c r="DP116" s="61"/>
      <c r="DQ116" s="156"/>
      <c r="DR116" s="156"/>
      <c r="DS116" s="156"/>
      <c r="DT116" s="156"/>
      <c r="DU116" s="156"/>
      <c r="DV116" s="156"/>
      <c r="DW116" s="156"/>
      <c r="DX116" s="156"/>
      <c r="DY116" s="156"/>
      <c r="DZ116" s="65"/>
      <c r="EA116" s="65"/>
      <c r="EB116" s="65"/>
      <c r="EC116" s="65"/>
      <c r="ED116" s="65"/>
      <c r="EE116" s="65"/>
      <c r="EF116" s="65"/>
      <c r="EG116" s="65"/>
    </row>
    <row r="117" spans="1:137" s="5" customFormat="1" ht="15.9" customHeight="1" outlineLevel="1" x14ac:dyDescent="0.3">
      <c r="A117" s="6" t="s">
        <v>22</v>
      </c>
      <c r="B117" s="6" t="s">
        <v>23</v>
      </c>
      <c r="C117" s="50" t="s">
        <v>24</v>
      </c>
      <c r="D117" s="147">
        <v>9.27</v>
      </c>
      <c r="E117" s="6" t="s">
        <v>189</v>
      </c>
      <c r="F117" s="6" t="s">
        <v>249</v>
      </c>
      <c r="G117" s="11" t="s">
        <v>250</v>
      </c>
      <c r="H117" s="11"/>
      <c r="I117" s="205" cm="1">
        <f t="array" ref="I117">IFERROR(LOOKUP(2,1/(N117:GR117&lt;&gt;""),N$4:DRA$4),"")</f>
        <v>45222</v>
      </c>
      <c r="J117" s="271" cm="1">
        <f t="array" ref="J117">IFERROR(_xlfn.XLOOKUP(TRUE,N117:EH117&lt;&gt;"",N117:EH117,,,-1)," ")</f>
        <v>24.4</v>
      </c>
      <c r="K117" s="49"/>
      <c r="L117" s="49">
        <v>24.5</v>
      </c>
      <c r="M117" s="284" t="s">
        <v>28</v>
      </c>
      <c r="N117" s="62"/>
      <c r="O117" s="62"/>
      <c r="P117" s="62"/>
      <c r="Q117" s="62"/>
      <c r="R117" s="62"/>
      <c r="S117" s="62"/>
      <c r="T117" s="62"/>
      <c r="U117" s="62"/>
      <c r="V117" s="62"/>
      <c r="W117" s="62"/>
      <c r="X117" s="62"/>
      <c r="Y117" s="62"/>
      <c r="Z117" s="62"/>
      <c r="AA117" s="62"/>
      <c r="AB117" s="62"/>
      <c r="AC117" s="62"/>
      <c r="AD117" s="62"/>
      <c r="AE117" s="62"/>
      <c r="AF117" s="62"/>
      <c r="AG117" s="62"/>
      <c r="AH117" s="62"/>
      <c r="AI117" s="62"/>
      <c r="AJ117" s="62"/>
      <c r="AK117" s="62"/>
      <c r="AL117" s="62"/>
      <c r="AM117" s="62"/>
      <c r="AN117" s="62"/>
      <c r="AO117" s="62"/>
      <c r="AP117" s="62"/>
      <c r="AQ117" s="62"/>
      <c r="AR117" s="62"/>
      <c r="AS117" s="62"/>
      <c r="AT117" s="62"/>
      <c r="AU117" s="63"/>
      <c r="AV117" s="63"/>
      <c r="AW117" s="62"/>
      <c r="AX117" s="63"/>
      <c r="AY117" s="62"/>
      <c r="AZ117" s="62"/>
      <c r="BA117" s="62"/>
      <c r="BB117" s="63">
        <v>19</v>
      </c>
      <c r="BC117" s="63"/>
      <c r="BD117" s="62"/>
      <c r="BE117" s="62"/>
      <c r="BF117" s="62"/>
      <c r="BG117" s="62"/>
      <c r="BH117" s="62"/>
      <c r="BI117" s="63"/>
      <c r="BJ117" s="63"/>
      <c r="BK117" s="62"/>
      <c r="BL117" s="62"/>
      <c r="BM117" s="62"/>
      <c r="BN117" s="62"/>
      <c r="BO117" s="62"/>
      <c r="BP117" s="64"/>
      <c r="BQ117" s="63"/>
      <c r="BR117" s="62"/>
      <c r="BS117" s="62">
        <v>22.3</v>
      </c>
      <c r="BT117" s="62"/>
      <c r="BU117" s="62"/>
      <c r="BV117" s="62"/>
      <c r="BW117" s="62"/>
      <c r="BX117" s="62"/>
      <c r="BY117" s="62"/>
      <c r="BZ117" s="62"/>
      <c r="CA117" s="62"/>
      <c r="CB117" s="62" t="s">
        <v>251</v>
      </c>
      <c r="CC117" s="51"/>
      <c r="CD117" s="63"/>
      <c r="CE117" s="63"/>
      <c r="CF117" s="62"/>
      <c r="CG117" s="63"/>
      <c r="CH117" s="62"/>
      <c r="CI117" s="159">
        <v>23.1</v>
      </c>
      <c r="CJ117" s="62"/>
      <c r="CK117" s="63"/>
      <c r="CL117" s="63"/>
      <c r="CM117" s="63"/>
      <c r="CN117" s="63"/>
      <c r="CO117" s="63"/>
      <c r="CP117" s="159">
        <v>24</v>
      </c>
      <c r="CQ117" s="63"/>
      <c r="CR117" s="63"/>
      <c r="CS117" s="63"/>
      <c r="CT117" s="63"/>
      <c r="CU117" s="63"/>
      <c r="CV117" s="63"/>
      <c r="CW117" s="159">
        <v>24.4</v>
      </c>
      <c r="CX117" s="63"/>
      <c r="CY117" s="63"/>
      <c r="CZ117" s="63"/>
      <c r="DA117" s="63"/>
      <c r="DB117" s="63"/>
      <c r="DC117" s="63"/>
      <c r="DD117" s="63"/>
      <c r="DE117" s="63"/>
      <c r="DF117" s="63"/>
      <c r="DG117" s="63"/>
      <c r="DH117" s="63"/>
      <c r="DI117" s="63"/>
      <c r="DJ117" s="63"/>
      <c r="DK117" s="63"/>
      <c r="DL117" s="63"/>
      <c r="DM117" s="63"/>
      <c r="DN117" s="63"/>
      <c r="DO117" s="63"/>
      <c r="DP117" s="63"/>
      <c r="DQ117" s="158"/>
      <c r="DR117" s="158"/>
      <c r="DS117" s="158"/>
      <c r="DT117" s="158"/>
      <c r="DU117" s="158"/>
      <c r="DV117" s="158"/>
      <c r="DW117" s="158"/>
      <c r="DX117" s="158"/>
      <c r="DY117" s="158"/>
      <c r="DZ117" s="65"/>
      <c r="EA117" s="65"/>
      <c r="EB117" s="65"/>
      <c r="EC117" s="65"/>
      <c r="ED117" s="65"/>
      <c r="EE117" s="65"/>
      <c r="EF117" s="65"/>
      <c r="EG117" s="65"/>
    </row>
    <row r="118" spans="1:137" s="10" customFormat="1" ht="15.9" customHeight="1" outlineLevel="1" x14ac:dyDescent="0.3">
      <c r="A118" s="7"/>
      <c r="B118" s="7" t="s">
        <v>23</v>
      </c>
      <c r="C118" s="8" t="s">
        <v>24</v>
      </c>
      <c r="D118" s="146">
        <v>28.83</v>
      </c>
      <c r="E118" s="7" t="s">
        <v>189</v>
      </c>
      <c r="F118" s="7" t="s">
        <v>252</v>
      </c>
      <c r="G118" s="136" t="s">
        <v>253</v>
      </c>
      <c r="H118" s="136"/>
      <c r="I118" s="204" cm="1">
        <f t="array" ref="I118">IFERROR(LOOKUP(2,1/(N118:GR118&lt;&gt;""),N$4:DRA$4),"")</f>
        <v>45210</v>
      </c>
      <c r="J118" s="266" cm="1">
        <f t="array" ref="J118">IFERROR(_xlfn.XLOOKUP(TRUE,N118:EH118&lt;&gt;"",N118:EH118,,,-1)," ")</f>
        <v>24.1</v>
      </c>
      <c r="K118" s="45">
        <v>22.5</v>
      </c>
      <c r="L118" s="45">
        <v>24.5</v>
      </c>
      <c r="M118" s="282" t="s">
        <v>28</v>
      </c>
      <c r="N118" s="57"/>
      <c r="O118" s="57"/>
      <c r="P118" s="57"/>
      <c r="Q118" s="57"/>
      <c r="R118" s="57"/>
      <c r="S118" s="57"/>
      <c r="T118" s="57"/>
      <c r="U118" s="57"/>
      <c r="V118" s="57"/>
      <c r="W118" s="57"/>
      <c r="X118" s="57"/>
      <c r="Y118" s="57"/>
      <c r="Z118" s="57"/>
      <c r="AA118" s="57"/>
      <c r="AB118" s="57"/>
      <c r="AC118" s="57"/>
      <c r="AD118" s="57"/>
      <c r="AE118" s="57"/>
      <c r="AF118" s="57"/>
      <c r="AG118" s="57"/>
      <c r="AH118" s="57"/>
      <c r="AI118" s="57"/>
      <c r="AJ118" s="57"/>
      <c r="AK118" s="57"/>
      <c r="AL118" s="57"/>
      <c r="AM118" s="57"/>
      <c r="AN118" s="57"/>
      <c r="AO118" s="57"/>
      <c r="AP118" s="57"/>
      <c r="AQ118" s="57"/>
      <c r="AR118" s="57"/>
      <c r="AS118" s="57"/>
      <c r="AT118" s="57"/>
      <c r="AU118" s="61"/>
      <c r="AV118" s="61"/>
      <c r="AW118" s="57"/>
      <c r="AX118" s="61"/>
      <c r="AY118" s="57"/>
      <c r="AZ118" s="57"/>
      <c r="BA118" s="57"/>
      <c r="BB118" s="61"/>
      <c r="BC118" s="61"/>
      <c r="BD118" s="57"/>
      <c r="BE118" s="57"/>
      <c r="BF118" s="57"/>
      <c r="BG118" s="57"/>
      <c r="BH118" s="57"/>
      <c r="BI118" s="61"/>
      <c r="BJ118" s="61"/>
      <c r="BK118" s="57" t="s">
        <v>254</v>
      </c>
      <c r="BL118" s="57"/>
      <c r="BM118" s="57"/>
      <c r="BN118" s="58"/>
      <c r="BO118" s="57"/>
      <c r="BP118" s="58"/>
      <c r="BQ118" s="61"/>
      <c r="BR118" s="57"/>
      <c r="BS118" s="57"/>
      <c r="BT118" s="57"/>
      <c r="BU118" s="57"/>
      <c r="BV118" s="57" t="s">
        <v>255</v>
      </c>
      <c r="BW118" s="57"/>
      <c r="BX118" s="57"/>
      <c r="BY118" s="57"/>
      <c r="BZ118" s="57"/>
      <c r="CA118" s="57"/>
      <c r="CB118" s="57"/>
      <c r="CC118" s="27"/>
      <c r="CD118" s="61"/>
      <c r="CE118" s="160">
        <v>23.8</v>
      </c>
      <c r="CF118" s="57"/>
      <c r="CG118" s="61"/>
      <c r="CH118" s="57"/>
      <c r="CI118" s="61"/>
      <c r="CJ118" s="57"/>
      <c r="CK118" s="61">
        <v>24.1</v>
      </c>
      <c r="CL118" s="61"/>
      <c r="CM118" s="61"/>
      <c r="CN118" s="61"/>
      <c r="CO118" s="61"/>
      <c r="CP118" s="61"/>
      <c r="CQ118" s="61"/>
      <c r="CR118" s="61"/>
      <c r="CS118" s="61"/>
      <c r="CT118" s="61"/>
      <c r="CU118" s="61"/>
      <c r="CV118" s="61"/>
      <c r="CW118" s="61"/>
      <c r="CX118" s="61"/>
      <c r="CY118" s="61"/>
      <c r="CZ118" s="61"/>
      <c r="DA118" s="61"/>
      <c r="DB118" s="61"/>
      <c r="DC118" s="61"/>
      <c r="DD118" s="61"/>
      <c r="DE118" s="61"/>
      <c r="DF118" s="61"/>
      <c r="DG118" s="61"/>
      <c r="DH118" s="61"/>
      <c r="DI118" s="61"/>
      <c r="DJ118" s="61"/>
      <c r="DK118" s="61"/>
      <c r="DL118" s="61"/>
      <c r="DM118" s="61"/>
      <c r="DN118" s="61"/>
      <c r="DO118" s="61"/>
      <c r="DP118" s="61"/>
      <c r="DQ118" s="156"/>
      <c r="DR118" s="156"/>
      <c r="DS118" s="156"/>
      <c r="DT118" s="156"/>
      <c r="DU118" s="156"/>
      <c r="DV118" s="156"/>
      <c r="DW118" s="156"/>
      <c r="DX118" s="156"/>
      <c r="DY118" s="156"/>
      <c r="DZ118" s="65"/>
      <c r="EA118" s="65"/>
      <c r="EB118" s="65"/>
      <c r="EC118" s="65"/>
      <c r="ED118" s="65"/>
      <c r="EE118" s="65"/>
      <c r="EF118" s="65"/>
      <c r="EG118" s="65"/>
    </row>
    <row r="119" spans="1:137" s="5" customFormat="1" ht="15.9" customHeight="1" outlineLevel="1" x14ac:dyDescent="0.3">
      <c r="A119" s="6" t="s">
        <v>22</v>
      </c>
      <c r="B119" s="6" t="s">
        <v>23</v>
      </c>
      <c r="C119" s="50" t="s">
        <v>24</v>
      </c>
      <c r="D119" s="147">
        <v>6.97</v>
      </c>
      <c r="E119" s="6" t="s">
        <v>189</v>
      </c>
      <c r="F119" s="6" t="s">
        <v>256</v>
      </c>
      <c r="G119" s="11" t="s">
        <v>257</v>
      </c>
      <c r="H119" s="11"/>
      <c r="I119" s="205" cm="1">
        <f t="array" ref="I119">IFERROR(LOOKUP(2,1/(N119:GR119&lt;&gt;""),N$4:DRA$4),"")</f>
        <v>45210</v>
      </c>
      <c r="J119" s="170" cm="1">
        <f t="array" ref="J119">IFERROR(_xlfn.XLOOKUP(TRUE,N119:EH119&lt;&gt;"",N119:EH119,,,-1)," ")</f>
        <v>24.8</v>
      </c>
      <c r="K119" s="49"/>
      <c r="L119" s="49">
        <v>24.5</v>
      </c>
      <c r="M119" s="284" t="s">
        <v>28</v>
      </c>
      <c r="N119" s="62"/>
      <c r="O119" s="62"/>
      <c r="P119" s="62"/>
      <c r="Q119" s="62"/>
      <c r="R119" s="62"/>
      <c r="S119" s="62"/>
      <c r="T119" s="62"/>
      <c r="U119" s="62"/>
      <c r="V119" s="62"/>
      <c r="W119" s="62"/>
      <c r="X119" s="62"/>
      <c r="Y119" s="62"/>
      <c r="Z119" s="62"/>
      <c r="AA119" s="62"/>
      <c r="AB119" s="62"/>
      <c r="AC119" s="62"/>
      <c r="AD119" s="62"/>
      <c r="AE119" s="62"/>
      <c r="AF119" s="62"/>
      <c r="AG119" s="62"/>
      <c r="AH119" s="62"/>
      <c r="AI119" s="62"/>
      <c r="AJ119" s="62"/>
      <c r="AK119" s="62"/>
      <c r="AL119" s="62"/>
      <c r="AM119" s="62"/>
      <c r="AN119" s="62"/>
      <c r="AO119" s="62"/>
      <c r="AP119" s="62"/>
      <c r="AQ119" s="62"/>
      <c r="AR119" s="62"/>
      <c r="AS119" s="62"/>
      <c r="AT119" s="62"/>
      <c r="AU119" s="63"/>
      <c r="AV119" s="63"/>
      <c r="AW119" s="62"/>
      <c r="AX119" s="63"/>
      <c r="AY119" s="62"/>
      <c r="AZ119" s="62"/>
      <c r="BA119" s="62"/>
      <c r="BB119" s="63"/>
      <c r="BC119" s="63"/>
      <c r="BD119" s="62"/>
      <c r="BE119" s="62"/>
      <c r="BF119" s="62"/>
      <c r="BG119" s="62"/>
      <c r="BH119" s="62"/>
      <c r="BI119" s="63"/>
      <c r="BJ119" s="63"/>
      <c r="BK119" s="62" t="s">
        <v>254</v>
      </c>
      <c r="BL119" s="62"/>
      <c r="BM119" s="62"/>
      <c r="BN119" s="62"/>
      <c r="BO119" s="62"/>
      <c r="BP119" s="64"/>
      <c r="BQ119" s="63"/>
      <c r="BR119" s="62"/>
      <c r="BS119" s="62"/>
      <c r="BT119" s="62"/>
      <c r="BU119" s="62"/>
      <c r="BV119" s="62" t="s">
        <v>258</v>
      </c>
      <c r="BW119" s="62"/>
      <c r="BX119" s="62"/>
      <c r="BY119" s="62"/>
      <c r="BZ119" s="62"/>
      <c r="CA119" s="62"/>
      <c r="CB119" s="62"/>
      <c r="CC119" s="51"/>
      <c r="CD119" s="63"/>
      <c r="CE119" s="63">
        <v>24.5</v>
      </c>
      <c r="CF119" s="64">
        <v>24.1</v>
      </c>
      <c r="CG119" s="63"/>
      <c r="CH119" s="62"/>
      <c r="CI119" s="63"/>
      <c r="CJ119" s="62"/>
      <c r="CK119" s="63">
        <v>24.8</v>
      </c>
      <c r="CL119" s="63"/>
      <c r="CM119" s="63"/>
      <c r="CN119" s="63"/>
      <c r="CO119" s="63"/>
      <c r="CP119" s="63"/>
      <c r="CQ119" s="63"/>
      <c r="CR119" s="63"/>
      <c r="CS119" s="63"/>
      <c r="CT119" s="63"/>
      <c r="CU119" s="63"/>
      <c r="CV119" s="63"/>
      <c r="CW119" s="63"/>
      <c r="CX119" s="63"/>
      <c r="CY119" s="63"/>
      <c r="CZ119" s="63"/>
      <c r="DA119" s="63"/>
      <c r="DB119" s="63"/>
      <c r="DC119" s="63"/>
      <c r="DD119" s="63"/>
      <c r="DE119" s="63"/>
      <c r="DF119" s="63"/>
      <c r="DG119" s="63"/>
      <c r="DH119" s="63"/>
      <c r="DI119" s="63"/>
      <c r="DJ119" s="63"/>
      <c r="DK119" s="63"/>
      <c r="DL119" s="63"/>
      <c r="DM119" s="63"/>
      <c r="DN119" s="63"/>
      <c r="DO119" s="63"/>
      <c r="DP119" s="63"/>
      <c r="DQ119" s="158"/>
      <c r="DR119" s="158"/>
      <c r="DS119" s="158"/>
      <c r="DT119" s="158"/>
      <c r="DU119" s="158"/>
      <c r="DV119" s="158"/>
      <c r="DW119" s="158"/>
      <c r="DX119" s="158"/>
      <c r="DY119" s="158"/>
      <c r="DZ119" s="59"/>
      <c r="EA119" s="59"/>
      <c r="EB119" s="59"/>
      <c r="EC119" s="59"/>
      <c r="ED119" s="59"/>
      <c r="EE119" s="59"/>
      <c r="EF119" s="59"/>
      <c r="EG119" s="59"/>
    </row>
    <row r="120" spans="1:137" s="10" customFormat="1" ht="15.9" customHeight="1" outlineLevel="1" x14ac:dyDescent="0.3">
      <c r="A120" s="7" t="s">
        <v>23</v>
      </c>
      <c r="B120" s="7" t="s">
        <v>23</v>
      </c>
      <c r="C120" s="8" t="s">
        <v>24</v>
      </c>
      <c r="D120" s="146">
        <v>17.14</v>
      </c>
      <c r="E120" s="7" t="s">
        <v>189</v>
      </c>
      <c r="F120" s="7" t="s">
        <v>259</v>
      </c>
      <c r="G120" s="9" t="s">
        <v>260</v>
      </c>
      <c r="H120" s="9"/>
      <c r="I120" s="204" cm="1">
        <f t="array" ref="I120">IFERROR(LOOKUP(2,1/(N120:GR120&lt;&gt;""),N$4:DRA$4),"")</f>
        <v>45223</v>
      </c>
      <c r="J120" s="266" cm="1">
        <f t="array" ref="J120">IFERROR(_xlfn.XLOOKUP(TRUE,N120:EH120&lt;&gt;"",N120:EH120,,,-1)," ")</f>
        <v>24.6</v>
      </c>
      <c r="K120" s="45"/>
      <c r="L120" s="45">
        <v>24.5</v>
      </c>
      <c r="M120" s="282" t="s">
        <v>28</v>
      </c>
      <c r="N120" s="57"/>
      <c r="O120" s="57"/>
      <c r="P120" s="57"/>
      <c r="Q120" s="57"/>
      <c r="R120" s="57"/>
      <c r="S120" s="57"/>
      <c r="T120" s="57"/>
      <c r="U120" s="57"/>
      <c r="V120" s="57"/>
      <c r="W120" s="57"/>
      <c r="X120" s="57"/>
      <c r="Y120" s="57"/>
      <c r="Z120" s="57"/>
      <c r="AA120" s="57"/>
      <c r="AB120" s="57"/>
      <c r="AC120" s="57"/>
      <c r="AD120" s="57"/>
      <c r="AE120" s="57"/>
      <c r="AF120" s="57"/>
      <c r="AG120" s="57"/>
      <c r="AH120" s="57"/>
      <c r="AI120" s="57"/>
      <c r="AJ120" s="57"/>
      <c r="AK120" s="57"/>
      <c r="AL120" s="57"/>
      <c r="AM120" s="57"/>
      <c r="AN120" s="57"/>
      <c r="AO120" s="57"/>
      <c r="AP120" s="57"/>
      <c r="AQ120" s="57"/>
      <c r="AR120" s="57"/>
      <c r="AS120" s="57"/>
      <c r="AT120" s="57"/>
      <c r="AU120" s="61"/>
      <c r="AV120" s="61"/>
      <c r="AW120" s="57"/>
      <c r="AX120" s="61"/>
      <c r="AY120" s="57"/>
      <c r="AZ120" s="57"/>
      <c r="BA120" s="57"/>
      <c r="BB120" s="61"/>
      <c r="BC120" s="61"/>
      <c r="BD120" s="57"/>
      <c r="BE120" s="57"/>
      <c r="BF120" s="57"/>
      <c r="BG120" s="57"/>
      <c r="BH120" s="57"/>
      <c r="BI120" s="61"/>
      <c r="BJ120" s="61"/>
      <c r="BK120" s="57"/>
      <c r="BL120" s="57"/>
      <c r="BM120" s="57"/>
      <c r="BN120" s="57"/>
      <c r="BO120" s="57"/>
      <c r="BP120" s="58"/>
      <c r="BQ120" s="61"/>
      <c r="BR120" s="57"/>
      <c r="BS120" s="57"/>
      <c r="BT120" s="57"/>
      <c r="BU120" s="57"/>
      <c r="BV120" s="57"/>
      <c r="BW120" s="57"/>
      <c r="BX120" s="57"/>
      <c r="BY120" s="57"/>
      <c r="BZ120" s="57">
        <v>22.2</v>
      </c>
      <c r="CA120" s="58"/>
      <c r="CB120" s="57"/>
      <c r="CC120" s="27"/>
      <c r="CD120" s="61"/>
      <c r="CE120" s="61"/>
      <c r="CF120" s="57"/>
      <c r="CG120" s="57"/>
      <c r="CH120" s="57"/>
      <c r="CI120" s="57"/>
      <c r="CJ120" s="57">
        <v>24.6</v>
      </c>
      <c r="CK120" s="61"/>
      <c r="CL120" s="61"/>
      <c r="CM120" s="57"/>
      <c r="CN120" s="58">
        <v>24</v>
      </c>
      <c r="CO120" s="57"/>
      <c r="CP120" s="57"/>
      <c r="CQ120" s="57"/>
      <c r="CR120" s="61"/>
      <c r="CS120" s="160">
        <v>24.8</v>
      </c>
      <c r="CT120" s="57"/>
      <c r="CU120" s="61"/>
      <c r="CV120" s="61"/>
      <c r="CW120" s="61"/>
      <c r="CX120" s="160">
        <v>24.6</v>
      </c>
      <c r="CY120" s="61"/>
      <c r="CZ120" s="61"/>
      <c r="DA120" s="61"/>
      <c r="DB120" s="61"/>
      <c r="DC120" s="61"/>
      <c r="DD120" s="61"/>
      <c r="DE120" s="61"/>
      <c r="DF120" s="61"/>
      <c r="DG120" s="61"/>
      <c r="DH120" s="61"/>
      <c r="DI120" s="61"/>
      <c r="DJ120" s="61"/>
      <c r="DK120" s="61"/>
      <c r="DL120" s="61"/>
      <c r="DM120" s="61"/>
      <c r="DN120" s="61"/>
      <c r="DO120" s="61"/>
      <c r="DP120" s="61"/>
      <c r="DQ120" s="156"/>
      <c r="DR120" s="156"/>
      <c r="DS120" s="156"/>
      <c r="DT120" s="156"/>
      <c r="DU120" s="156"/>
      <c r="DV120" s="156"/>
      <c r="DW120" s="156"/>
      <c r="DX120" s="156"/>
      <c r="DY120" s="156"/>
      <c r="DZ120" s="59"/>
      <c r="EA120" s="59"/>
      <c r="EB120" s="59"/>
      <c r="EC120" s="59"/>
      <c r="ED120" s="59"/>
      <c r="EE120" s="59"/>
      <c r="EF120" s="59"/>
      <c r="EG120" s="59"/>
    </row>
    <row r="121" spans="1:137" s="5" customFormat="1" ht="15.9" customHeight="1" outlineLevel="1" x14ac:dyDescent="0.3">
      <c r="A121" s="6"/>
      <c r="B121" s="6" t="s">
        <v>23</v>
      </c>
      <c r="C121" s="50" t="s">
        <v>24</v>
      </c>
      <c r="D121" s="147">
        <v>44.56</v>
      </c>
      <c r="E121" s="6" t="s">
        <v>189</v>
      </c>
      <c r="F121" s="6" t="s">
        <v>261</v>
      </c>
      <c r="G121" s="11" t="s">
        <v>262</v>
      </c>
      <c r="H121" s="11" t="s">
        <v>22</v>
      </c>
      <c r="I121" s="205" cm="1">
        <f t="array" ref="I121">IFERROR(LOOKUP(2,1/(N121:GR121&lt;&gt;""),N$4:DRA$4),"")</f>
        <v>45218</v>
      </c>
      <c r="J121" s="170" cm="1">
        <f t="array" ref="J121">IFERROR(_xlfn.XLOOKUP(TRUE,N121:EH121&lt;&gt;"",N121:EH121,,,-1)," ")</f>
        <v>24.5</v>
      </c>
      <c r="K121" s="49">
        <v>25</v>
      </c>
      <c r="L121" s="49"/>
      <c r="M121" s="284" t="s">
        <v>131</v>
      </c>
      <c r="N121" s="62"/>
      <c r="O121" s="62"/>
      <c r="P121" s="62"/>
      <c r="Q121" s="62"/>
      <c r="R121" s="62"/>
      <c r="S121" s="62"/>
      <c r="T121" s="62"/>
      <c r="U121" s="62"/>
      <c r="V121" s="62"/>
      <c r="W121" s="62"/>
      <c r="X121" s="62"/>
      <c r="Y121" s="62"/>
      <c r="Z121" s="62"/>
      <c r="AA121" s="62"/>
      <c r="AB121" s="62"/>
      <c r="AC121" s="62"/>
      <c r="AD121" s="62"/>
      <c r="AE121" s="62"/>
      <c r="AF121" s="62"/>
      <c r="AG121" s="62"/>
      <c r="AH121" s="62"/>
      <c r="AI121" s="62"/>
      <c r="AJ121" s="62"/>
      <c r="AK121" s="62"/>
      <c r="AL121" s="62"/>
      <c r="AM121" s="62"/>
      <c r="AN121" s="62"/>
      <c r="AO121" s="62"/>
      <c r="AP121" s="62"/>
      <c r="AQ121" s="62"/>
      <c r="AR121" s="62"/>
      <c r="AS121" s="62"/>
      <c r="AT121" s="62"/>
      <c r="AU121" s="63"/>
      <c r="AV121" s="63">
        <v>19</v>
      </c>
      <c r="AW121" s="62"/>
      <c r="AX121" s="63"/>
      <c r="AY121" s="62"/>
      <c r="AZ121" s="62"/>
      <c r="BA121" s="62"/>
      <c r="BB121" s="63"/>
      <c r="BC121" s="63"/>
      <c r="BD121" s="62"/>
      <c r="BE121" s="62"/>
      <c r="BF121" s="62"/>
      <c r="BG121" s="62"/>
      <c r="BH121" s="62"/>
      <c r="BI121" s="63"/>
      <c r="BJ121" s="63"/>
      <c r="BK121" s="62"/>
      <c r="BL121" s="62"/>
      <c r="BM121" s="62"/>
      <c r="BN121" s="62"/>
      <c r="BO121" s="62"/>
      <c r="BP121" s="64"/>
      <c r="BQ121" s="63"/>
      <c r="BR121" s="62"/>
      <c r="BS121" s="62"/>
      <c r="BT121" s="62"/>
      <c r="BU121" s="62"/>
      <c r="BV121" s="62"/>
      <c r="BW121" s="62">
        <v>23.9</v>
      </c>
      <c r="BX121" s="62"/>
      <c r="BY121" s="62"/>
      <c r="BZ121" s="62"/>
      <c r="CA121" s="62"/>
      <c r="CB121" s="62"/>
      <c r="CC121" s="51"/>
      <c r="CD121" s="63"/>
      <c r="CE121" s="63">
        <v>24.2</v>
      </c>
      <c r="CF121" s="62"/>
      <c r="CG121" s="62"/>
      <c r="CH121" s="62"/>
      <c r="CI121" s="62"/>
      <c r="CJ121" s="62"/>
      <c r="CK121" s="63"/>
      <c r="CL121" s="64">
        <v>23.7</v>
      </c>
      <c r="CN121" s="62"/>
      <c r="CO121" s="62"/>
      <c r="CP121" s="62"/>
      <c r="CQ121" s="62"/>
      <c r="CR121" s="63"/>
      <c r="CS121" s="159">
        <v>24.5</v>
      </c>
      <c r="CT121" s="62"/>
      <c r="CU121" s="62"/>
      <c r="CV121" s="63"/>
      <c r="CW121" s="63"/>
      <c r="CX121" s="63"/>
      <c r="CY121" s="63"/>
      <c r="CZ121" s="63"/>
      <c r="DA121" s="63"/>
      <c r="DB121" s="63"/>
      <c r="DC121" s="63"/>
      <c r="DD121" s="63"/>
      <c r="DE121" s="63"/>
      <c r="DF121" s="63"/>
      <c r="DG121" s="63"/>
      <c r="DH121" s="63"/>
      <c r="DI121" s="63"/>
      <c r="DJ121" s="63"/>
      <c r="DK121" s="63"/>
      <c r="DL121" s="63"/>
      <c r="DM121" s="63"/>
      <c r="DN121" s="63"/>
      <c r="DO121" s="63"/>
      <c r="DP121" s="63"/>
      <c r="DQ121" s="158"/>
      <c r="DR121" s="158"/>
      <c r="DS121" s="158"/>
      <c r="DT121" s="158"/>
      <c r="DU121" s="158"/>
      <c r="DV121" s="158"/>
      <c r="DW121" s="158"/>
      <c r="DX121" s="158"/>
      <c r="DY121" s="158"/>
      <c r="DZ121" s="65"/>
      <c r="EA121" s="65"/>
      <c r="EB121" s="65"/>
      <c r="EC121" s="65"/>
      <c r="ED121" s="65"/>
      <c r="EE121" s="65"/>
      <c r="EF121" s="65"/>
      <c r="EG121" s="65"/>
    </row>
    <row r="122" spans="1:137" s="5" customFormat="1" ht="15.9" customHeight="1" outlineLevel="1" x14ac:dyDescent="0.3">
      <c r="A122" s="6"/>
      <c r="B122" s="6" t="s">
        <v>23</v>
      </c>
      <c r="C122" s="50" t="s">
        <v>24</v>
      </c>
      <c r="D122" s="147"/>
      <c r="E122" s="6" t="s">
        <v>189</v>
      </c>
      <c r="F122" s="6" t="s">
        <v>261</v>
      </c>
      <c r="G122" s="11" t="s">
        <v>263</v>
      </c>
      <c r="H122" s="11"/>
      <c r="I122" s="205" t="str" cm="1">
        <f t="array" ref="I122">IFERROR(LOOKUP(2,1/(N122:GR122&lt;&gt;""),N$4:DRA$4),"")</f>
        <v/>
      </c>
      <c r="J122" s="170" t="str" cm="1">
        <f t="array" ref="J122">IFERROR(_xlfn.XLOOKUP(TRUE,N122:EH122&lt;&gt;"",N122:EH122,,,-1)," ")</f>
        <v xml:space="preserve"> </v>
      </c>
      <c r="K122" s="49">
        <v>25</v>
      </c>
      <c r="L122" s="49"/>
      <c r="M122" s="284" t="s">
        <v>131</v>
      </c>
      <c r="N122" s="62"/>
      <c r="O122" s="62"/>
      <c r="P122" s="62"/>
      <c r="Q122" s="62"/>
      <c r="R122" s="62"/>
      <c r="S122" s="62"/>
      <c r="T122" s="62"/>
      <c r="U122" s="62"/>
      <c r="V122" s="62"/>
      <c r="W122" s="62"/>
      <c r="X122" s="62"/>
      <c r="Y122" s="62"/>
      <c r="Z122" s="62"/>
      <c r="AA122" s="62"/>
      <c r="AB122" s="62"/>
      <c r="AC122" s="62"/>
      <c r="AD122" s="62"/>
      <c r="AE122" s="62"/>
      <c r="AF122" s="62"/>
      <c r="AG122" s="62"/>
      <c r="AH122" s="62"/>
      <c r="AI122" s="62"/>
      <c r="AJ122" s="62"/>
      <c r="AK122" s="62"/>
      <c r="AL122" s="62"/>
      <c r="AM122" s="62"/>
      <c r="AN122" s="62"/>
      <c r="AO122" s="62"/>
      <c r="AP122" s="62"/>
      <c r="AQ122" s="62"/>
      <c r="AR122" s="62"/>
      <c r="AS122" s="62"/>
      <c r="AT122" s="62"/>
      <c r="AU122" s="63"/>
      <c r="AV122" s="63"/>
      <c r="AW122" s="62"/>
      <c r="AX122" s="63"/>
      <c r="AY122" s="62"/>
      <c r="AZ122" s="62"/>
      <c r="BA122" s="62"/>
      <c r="BB122" s="63"/>
      <c r="BC122" s="63"/>
      <c r="BD122" s="62"/>
      <c r="BE122" s="62"/>
      <c r="BF122" s="62"/>
      <c r="BG122" s="62"/>
      <c r="BH122" s="62"/>
      <c r="BI122" s="63"/>
      <c r="BJ122" s="63"/>
      <c r="BK122" s="62"/>
      <c r="BL122" s="62"/>
      <c r="BM122" s="62"/>
      <c r="BN122" s="62"/>
      <c r="BO122" s="62"/>
      <c r="BP122" s="64"/>
      <c r="BQ122" s="63"/>
      <c r="BR122" s="62"/>
      <c r="BS122" s="62"/>
      <c r="BT122" s="62"/>
      <c r="BU122" s="62"/>
      <c r="BV122" s="62"/>
      <c r="BW122" s="62"/>
      <c r="BX122" s="62"/>
      <c r="BY122" s="62"/>
      <c r="BZ122" s="62"/>
      <c r="CA122" s="62"/>
      <c r="CB122" s="62"/>
      <c r="CC122" s="51"/>
      <c r="CD122" s="63"/>
      <c r="CE122" s="63"/>
      <c r="CF122" s="62"/>
      <c r="CG122" s="62"/>
      <c r="CH122" s="62"/>
      <c r="CI122" s="62"/>
      <c r="CJ122" s="62"/>
      <c r="CK122" s="63"/>
      <c r="CL122" s="63"/>
      <c r="CM122" s="62"/>
      <c r="CN122" s="62"/>
      <c r="CO122" s="62"/>
      <c r="CP122" s="62"/>
      <c r="CQ122" s="62"/>
      <c r="CR122" s="63"/>
      <c r="CS122" s="63"/>
      <c r="CT122" s="62"/>
      <c r="CU122" s="62"/>
      <c r="CV122" s="63"/>
      <c r="CW122" s="63"/>
      <c r="CX122" s="63"/>
      <c r="CY122" s="63"/>
      <c r="CZ122" s="63"/>
      <c r="DA122" s="63"/>
      <c r="DB122" s="63"/>
      <c r="DC122" s="63"/>
      <c r="DD122" s="63"/>
      <c r="DE122" s="63"/>
      <c r="DF122" s="63"/>
      <c r="DG122" s="63"/>
      <c r="DH122" s="63"/>
      <c r="DI122" s="63"/>
      <c r="DJ122" s="63"/>
      <c r="DK122" s="63"/>
      <c r="DL122" s="63"/>
      <c r="DM122" s="63"/>
      <c r="DN122" s="63"/>
      <c r="DO122" s="63"/>
      <c r="DP122" s="63"/>
      <c r="DQ122" s="158"/>
      <c r="DR122" s="158"/>
      <c r="DS122" s="158"/>
      <c r="DT122" s="158"/>
      <c r="DU122" s="158"/>
      <c r="DV122" s="158"/>
      <c r="DW122" s="158"/>
      <c r="DX122" s="158"/>
      <c r="DY122" s="158"/>
      <c r="DZ122" s="59"/>
      <c r="EA122" s="59"/>
      <c r="EB122" s="59"/>
      <c r="EC122" s="59"/>
      <c r="ED122" s="59"/>
      <c r="EE122" s="59"/>
      <c r="EF122" s="59"/>
      <c r="EG122" s="59"/>
    </row>
    <row r="123" spans="1:137" s="5" customFormat="1" ht="15.9" customHeight="1" outlineLevel="1" x14ac:dyDescent="0.3">
      <c r="A123" s="6"/>
      <c r="B123" s="6" t="s">
        <v>23</v>
      </c>
      <c r="C123" s="50" t="s">
        <v>24</v>
      </c>
      <c r="D123" s="147"/>
      <c r="E123" s="6" t="s">
        <v>189</v>
      </c>
      <c r="F123" s="6" t="s">
        <v>261</v>
      </c>
      <c r="G123" s="11" t="s">
        <v>264</v>
      </c>
      <c r="H123" s="11"/>
      <c r="I123" s="205" t="str" cm="1">
        <f t="array" ref="I123">IFERROR(LOOKUP(2,1/(N123:GR123&lt;&gt;""),N$4:DRA$4),"")</f>
        <v/>
      </c>
      <c r="J123" s="170" t="str" cm="1">
        <f t="array" ref="J123">IFERROR(_xlfn.XLOOKUP(TRUE,N123:EH123&lt;&gt;"",N123:EH123,,,-1)," ")</f>
        <v xml:space="preserve"> </v>
      </c>
      <c r="K123" s="49">
        <v>25</v>
      </c>
      <c r="L123" s="49"/>
      <c r="M123" s="284" t="s">
        <v>131</v>
      </c>
      <c r="N123" s="62"/>
      <c r="O123" s="62"/>
      <c r="P123" s="62"/>
      <c r="Q123" s="62"/>
      <c r="R123" s="62"/>
      <c r="S123" s="62"/>
      <c r="T123" s="62"/>
      <c r="U123" s="62"/>
      <c r="V123" s="62"/>
      <c r="W123" s="62"/>
      <c r="X123" s="62"/>
      <c r="Y123" s="62"/>
      <c r="Z123" s="62"/>
      <c r="AA123" s="62"/>
      <c r="AB123" s="62"/>
      <c r="AC123" s="62"/>
      <c r="AD123" s="62"/>
      <c r="AE123" s="62"/>
      <c r="AF123" s="62"/>
      <c r="AG123" s="62"/>
      <c r="AH123" s="62"/>
      <c r="AI123" s="62"/>
      <c r="AJ123" s="62"/>
      <c r="AK123" s="62"/>
      <c r="AL123" s="62"/>
      <c r="AM123" s="62"/>
      <c r="AN123" s="62"/>
      <c r="AO123" s="62"/>
      <c r="AP123" s="62"/>
      <c r="AQ123" s="62"/>
      <c r="AR123" s="62"/>
      <c r="AS123" s="62"/>
      <c r="AT123" s="62"/>
      <c r="AU123" s="63"/>
      <c r="AV123" s="63"/>
      <c r="AW123" s="62"/>
      <c r="AX123" s="63"/>
      <c r="AY123" s="62"/>
      <c r="AZ123" s="62"/>
      <c r="BA123" s="62"/>
      <c r="BB123" s="63"/>
      <c r="BC123" s="63"/>
      <c r="BD123" s="62"/>
      <c r="BE123" s="62"/>
      <c r="BF123" s="62"/>
      <c r="BG123" s="62"/>
      <c r="BH123" s="62"/>
      <c r="BI123" s="63"/>
      <c r="BJ123" s="63"/>
      <c r="BK123" s="62"/>
      <c r="BL123" s="62"/>
      <c r="BM123" s="62"/>
      <c r="BN123" s="62"/>
      <c r="BO123" s="62"/>
      <c r="BP123" s="64"/>
      <c r="BQ123" s="63"/>
      <c r="BR123" s="62"/>
      <c r="BS123" s="62"/>
      <c r="BT123" s="62"/>
      <c r="BU123" s="62"/>
      <c r="BV123" s="62"/>
      <c r="BW123" s="62"/>
      <c r="BX123" s="62"/>
      <c r="BY123" s="62"/>
      <c r="BZ123" s="62"/>
      <c r="CA123" s="62"/>
      <c r="CB123" s="62"/>
      <c r="CC123" s="51"/>
      <c r="CD123" s="63"/>
      <c r="CE123" s="63"/>
      <c r="CF123" s="62"/>
      <c r="CG123" s="62"/>
      <c r="CH123" s="62"/>
      <c r="CI123" s="62"/>
      <c r="CJ123" s="62"/>
      <c r="CK123" s="63"/>
      <c r="CL123" s="63"/>
      <c r="CM123" s="62"/>
      <c r="CN123" s="62"/>
      <c r="CO123" s="62"/>
      <c r="CP123" s="62"/>
      <c r="CQ123" s="62"/>
      <c r="CR123" s="63"/>
      <c r="CS123" s="63"/>
      <c r="CT123" s="62"/>
      <c r="CU123" s="62"/>
      <c r="CV123" s="63"/>
      <c r="CW123" s="63"/>
      <c r="CX123" s="63"/>
      <c r="CY123" s="63"/>
      <c r="CZ123" s="63"/>
      <c r="DA123" s="63"/>
      <c r="DB123" s="63"/>
      <c r="DC123" s="63"/>
      <c r="DD123" s="63"/>
      <c r="DE123" s="63"/>
      <c r="DF123" s="63"/>
      <c r="DG123" s="63"/>
      <c r="DH123" s="63"/>
      <c r="DI123" s="63"/>
      <c r="DJ123" s="63"/>
      <c r="DK123" s="63"/>
      <c r="DL123" s="63"/>
      <c r="DM123" s="63"/>
      <c r="DN123" s="63"/>
      <c r="DO123" s="63"/>
      <c r="DP123" s="63"/>
      <c r="DQ123" s="158"/>
      <c r="DR123" s="158"/>
      <c r="DS123" s="158"/>
      <c r="DT123" s="158"/>
      <c r="DU123" s="158"/>
      <c r="DV123" s="158"/>
      <c r="DW123" s="158"/>
      <c r="DX123" s="158"/>
      <c r="DY123" s="158"/>
      <c r="DZ123" s="59"/>
      <c r="EA123" s="59"/>
      <c r="EB123" s="59"/>
      <c r="EC123" s="59"/>
      <c r="ED123" s="59"/>
      <c r="EE123" s="59"/>
      <c r="EF123" s="59"/>
      <c r="EG123" s="59"/>
    </row>
    <row r="124" spans="1:137" s="5" customFormat="1" ht="15.9" customHeight="1" outlineLevel="1" x14ac:dyDescent="0.3">
      <c r="A124" s="6" t="s">
        <v>23</v>
      </c>
      <c r="B124" s="6"/>
      <c r="C124" s="50" t="s">
        <v>24</v>
      </c>
      <c r="D124" s="149">
        <v>36.409999999999997</v>
      </c>
      <c r="E124" s="130" t="s">
        <v>189</v>
      </c>
      <c r="F124" s="130" t="s">
        <v>265</v>
      </c>
      <c r="G124" s="131" t="s">
        <v>266</v>
      </c>
      <c r="H124" s="131"/>
      <c r="I124" s="205" cm="1">
        <f t="array" ref="I124">IFERROR(LOOKUP(2,1/(N124:GR124&lt;&gt;""),N$4:DRA$4),"")</f>
        <v>45196</v>
      </c>
      <c r="J124" s="170" cm="1">
        <f t="array" ref="J124">IFERROR(_xlfn.XLOOKUP(TRUE,N124:EH124&lt;&gt;"",N124:EH124,,,-1)," ")</f>
        <v>23</v>
      </c>
      <c r="K124" s="49"/>
      <c r="L124" s="49"/>
      <c r="M124" s="284" t="s">
        <v>34</v>
      </c>
      <c r="N124" s="62"/>
      <c r="O124" s="62"/>
      <c r="P124" s="62"/>
      <c r="Q124" s="62"/>
      <c r="R124" s="62"/>
      <c r="S124" s="62"/>
      <c r="T124" s="62"/>
      <c r="U124" s="62"/>
      <c r="V124" s="62"/>
      <c r="W124" s="62"/>
      <c r="X124" s="62"/>
      <c r="Y124" s="62"/>
      <c r="Z124" s="62"/>
      <c r="AA124" s="62"/>
      <c r="AB124" s="62"/>
      <c r="AC124" s="62"/>
      <c r="AD124" s="62"/>
      <c r="AE124" s="62"/>
      <c r="AF124" s="62"/>
      <c r="AG124" s="62"/>
      <c r="AH124" s="62"/>
      <c r="AI124" s="62"/>
      <c r="AJ124" s="62"/>
      <c r="AK124" s="62"/>
      <c r="AL124" s="62"/>
      <c r="AM124" s="62"/>
      <c r="AN124" s="62"/>
      <c r="AO124" s="62"/>
      <c r="AP124" s="62"/>
      <c r="AQ124" s="62"/>
      <c r="AR124" s="62"/>
      <c r="AS124" s="62"/>
      <c r="AT124" s="62"/>
      <c r="AU124" s="63"/>
      <c r="AV124" s="63" t="s">
        <v>247</v>
      </c>
      <c r="AW124" s="62"/>
      <c r="AX124" s="63"/>
      <c r="AY124" s="62"/>
      <c r="AZ124" s="62"/>
      <c r="BA124" s="62"/>
      <c r="BB124" s="63"/>
      <c r="BC124" s="63"/>
      <c r="BD124" s="62"/>
      <c r="BE124" s="62"/>
      <c r="BF124" s="62"/>
      <c r="BG124" s="62"/>
      <c r="BH124" s="62"/>
      <c r="BI124" s="63"/>
      <c r="BJ124" s="63"/>
      <c r="BK124" s="62">
        <v>22.1</v>
      </c>
      <c r="BL124" s="62"/>
      <c r="BM124" s="62"/>
      <c r="BN124" s="62"/>
      <c r="BO124" s="62"/>
      <c r="BP124" s="64"/>
      <c r="BQ124" s="63"/>
      <c r="BR124" s="62"/>
      <c r="BS124" s="62"/>
      <c r="BT124" s="62"/>
      <c r="BU124" s="62"/>
      <c r="BV124" s="62">
        <v>23.2</v>
      </c>
      <c r="BW124" s="62">
        <v>23</v>
      </c>
      <c r="BX124" s="62"/>
      <c r="BY124" s="62"/>
      <c r="BZ124" s="62"/>
      <c r="CA124" s="62"/>
      <c r="CB124" s="62"/>
      <c r="CC124" s="51"/>
      <c r="CD124" s="63"/>
      <c r="CE124" s="63"/>
      <c r="CF124" s="62"/>
      <c r="CG124" s="63"/>
      <c r="CH124" s="62"/>
      <c r="CI124" s="63"/>
      <c r="CJ124" s="62"/>
      <c r="CK124" s="63"/>
      <c r="CL124" s="63"/>
      <c r="CM124" s="63"/>
      <c r="CN124" s="63"/>
      <c r="CO124" s="63"/>
      <c r="CP124" s="63"/>
      <c r="CQ124" s="63"/>
      <c r="CR124" s="63"/>
      <c r="CS124" s="63"/>
      <c r="CT124" s="63"/>
      <c r="CU124" s="63"/>
      <c r="CV124" s="63"/>
      <c r="CW124" s="63"/>
      <c r="CX124" s="63"/>
      <c r="CY124" s="63"/>
      <c r="CZ124" s="63"/>
      <c r="DA124" s="63"/>
      <c r="DB124" s="63"/>
      <c r="DC124" s="63"/>
      <c r="DD124" s="63"/>
      <c r="DE124" s="63"/>
      <c r="DF124" s="63"/>
      <c r="DG124" s="63"/>
      <c r="DH124" s="63"/>
      <c r="DI124" s="63"/>
      <c r="DJ124" s="63"/>
      <c r="DK124" s="63"/>
      <c r="DL124" s="63"/>
      <c r="DM124" s="63"/>
      <c r="DN124" s="63"/>
      <c r="DO124" s="63"/>
      <c r="DP124" s="63"/>
      <c r="DQ124" s="158"/>
      <c r="DR124" s="158"/>
      <c r="DS124" s="158"/>
      <c r="DT124" s="158"/>
      <c r="DU124" s="158"/>
      <c r="DV124" s="158"/>
      <c r="DW124" s="158"/>
      <c r="DX124" s="158"/>
      <c r="DY124" s="158"/>
      <c r="DZ124" s="65"/>
      <c r="EA124" s="65"/>
      <c r="EB124" s="65"/>
      <c r="EC124" s="65"/>
      <c r="ED124" s="65"/>
      <c r="EE124" s="65"/>
      <c r="EF124" s="65"/>
      <c r="EG124" s="65"/>
    </row>
    <row r="125" spans="1:137" s="10" customFormat="1" ht="15.9" customHeight="1" outlineLevel="1" x14ac:dyDescent="0.3">
      <c r="A125" s="7"/>
      <c r="B125" s="7" t="s">
        <v>23</v>
      </c>
      <c r="C125" s="8" t="s">
        <v>24</v>
      </c>
      <c r="D125" s="146">
        <v>43.1</v>
      </c>
      <c r="E125" s="7" t="s">
        <v>189</v>
      </c>
      <c r="F125" s="7" t="s">
        <v>267</v>
      </c>
      <c r="G125" s="9" t="s">
        <v>268</v>
      </c>
      <c r="H125" s="9"/>
      <c r="I125" s="204" t="str" cm="1">
        <f t="array" ref="I125">IFERROR(LOOKUP(2,1/(N125:GR125&lt;&gt;""),N$4:DRA$4),"")</f>
        <v/>
      </c>
      <c r="J125" s="169" t="str" cm="1">
        <f t="array" ref="J125">IFERROR(_xlfn.XLOOKUP(TRUE,N125:EH125&lt;&gt;"",N125:EH125,,,-1)," ")</f>
        <v xml:space="preserve"> </v>
      </c>
      <c r="K125" s="45">
        <v>25</v>
      </c>
      <c r="L125" s="47"/>
      <c r="M125" s="282" t="s">
        <v>269</v>
      </c>
      <c r="N125" s="57"/>
      <c r="O125" s="57"/>
      <c r="P125" s="57"/>
      <c r="Q125" s="57"/>
      <c r="R125" s="57"/>
      <c r="S125" s="57"/>
      <c r="T125" s="57"/>
      <c r="U125" s="57"/>
      <c r="V125" s="57"/>
      <c r="W125" s="57"/>
      <c r="X125" s="57"/>
      <c r="Y125" s="57"/>
      <c r="Z125" s="57"/>
      <c r="AA125" s="57"/>
      <c r="AB125" s="57"/>
      <c r="AC125" s="57"/>
      <c r="AD125" s="57"/>
      <c r="AE125" s="57"/>
      <c r="AF125" s="57"/>
      <c r="AG125" s="57"/>
      <c r="AH125" s="57"/>
      <c r="AI125" s="57"/>
      <c r="AJ125" s="57"/>
      <c r="AK125" s="57"/>
      <c r="AL125" s="57"/>
      <c r="AM125" s="57"/>
      <c r="AN125" s="57"/>
      <c r="AO125" s="57"/>
      <c r="AP125" s="57"/>
      <c r="AQ125" s="57"/>
      <c r="AR125" s="57"/>
      <c r="AS125" s="57"/>
      <c r="AT125" s="57"/>
      <c r="AU125" s="61"/>
      <c r="AV125" s="61"/>
      <c r="AW125" s="57"/>
      <c r="AX125" s="61"/>
      <c r="AY125" s="57"/>
      <c r="AZ125" s="57"/>
      <c r="BA125" s="57"/>
      <c r="BB125" s="61"/>
      <c r="BC125" s="61"/>
      <c r="BD125" s="57"/>
      <c r="BE125" s="57"/>
      <c r="BF125" s="57"/>
      <c r="BG125" s="57"/>
      <c r="BH125" s="57"/>
      <c r="BI125" s="61"/>
      <c r="BJ125" s="61"/>
      <c r="BK125" s="57"/>
      <c r="BL125" s="57"/>
      <c r="BM125" s="57"/>
      <c r="BN125" s="57"/>
      <c r="BO125" s="57"/>
      <c r="BP125" s="58"/>
      <c r="BQ125" s="61"/>
      <c r="BR125" s="57"/>
      <c r="BS125" s="57"/>
      <c r="BT125" s="57"/>
      <c r="BU125" s="57"/>
      <c r="BV125" s="57"/>
      <c r="BW125" s="57"/>
      <c r="BX125" s="57"/>
      <c r="BY125" s="57"/>
      <c r="BZ125" s="57"/>
      <c r="CA125" s="57"/>
      <c r="CB125" s="57"/>
      <c r="CC125" s="27"/>
      <c r="CD125" s="61"/>
      <c r="CE125" s="61"/>
      <c r="CF125" s="57"/>
      <c r="CG125" s="57"/>
      <c r="CH125" s="57"/>
      <c r="CI125" s="57"/>
      <c r="CJ125" s="57"/>
      <c r="CK125" s="61"/>
      <c r="CL125" s="61"/>
      <c r="CM125" s="57"/>
      <c r="CN125" s="57"/>
      <c r="CO125" s="57"/>
      <c r="CP125" s="57"/>
      <c r="CQ125" s="57"/>
      <c r="CR125" s="61"/>
      <c r="CS125" s="61"/>
      <c r="CT125" s="57"/>
      <c r="CU125" s="57"/>
      <c r="CV125" s="61"/>
      <c r="CW125" s="61"/>
      <c r="CX125" s="61"/>
      <c r="CY125" s="61"/>
      <c r="CZ125" s="61"/>
      <c r="DA125" s="61"/>
      <c r="DB125" s="61"/>
      <c r="DC125" s="61"/>
      <c r="DD125" s="61"/>
      <c r="DE125" s="61"/>
      <c r="DF125" s="61"/>
      <c r="DG125" s="61"/>
      <c r="DH125" s="61"/>
      <c r="DI125" s="61"/>
      <c r="DJ125" s="61"/>
      <c r="DK125" s="61"/>
      <c r="DL125" s="61"/>
      <c r="DM125" s="61"/>
      <c r="DN125" s="61"/>
      <c r="DO125" s="61"/>
      <c r="DP125" s="61"/>
      <c r="DQ125" s="156"/>
      <c r="DR125" s="156"/>
      <c r="DS125" s="156"/>
      <c r="DT125" s="156"/>
      <c r="DU125" s="156"/>
      <c r="DV125" s="156"/>
      <c r="DW125" s="156"/>
      <c r="DX125" s="156"/>
      <c r="DY125" s="156"/>
      <c r="DZ125" s="24"/>
      <c r="EA125" s="24"/>
      <c r="EB125" s="24"/>
      <c r="EC125" s="24"/>
      <c r="ED125" s="24"/>
      <c r="EE125" s="24"/>
      <c r="EF125" s="24"/>
      <c r="EG125" s="24"/>
    </row>
    <row r="126" spans="1:137" s="10" customFormat="1" ht="15.9" customHeight="1" outlineLevel="1" x14ac:dyDescent="0.3">
      <c r="A126" s="7"/>
      <c r="B126" s="7" t="s">
        <v>23</v>
      </c>
      <c r="C126" s="8" t="s">
        <v>24</v>
      </c>
      <c r="D126" s="146"/>
      <c r="E126" s="7" t="s">
        <v>189</v>
      </c>
      <c r="F126" s="7" t="s">
        <v>267</v>
      </c>
      <c r="G126" s="9" t="s">
        <v>270</v>
      </c>
      <c r="H126" s="9"/>
      <c r="I126" s="204" cm="1">
        <f t="array" ref="I126">IFERROR(LOOKUP(2,1/(N126:GR126&lt;&gt;""),N$4:DRA$4),"")</f>
        <v>45208</v>
      </c>
      <c r="J126" s="169" cm="1">
        <f t="array" ref="J126">IFERROR(_xlfn.XLOOKUP(TRUE,N126:EH126&lt;&gt;"",N126:EH126,,,-1)," ")</f>
        <v>24.4</v>
      </c>
      <c r="K126" s="45">
        <v>25</v>
      </c>
      <c r="L126" s="47"/>
      <c r="M126" s="282" t="s">
        <v>269</v>
      </c>
      <c r="N126" s="57"/>
      <c r="O126" s="57"/>
      <c r="P126" s="57"/>
      <c r="Q126" s="57"/>
      <c r="R126" s="57"/>
      <c r="S126" s="57"/>
      <c r="T126" s="57"/>
      <c r="U126" s="57"/>
      <c r="V126" s="57"/>
      <c r="W126" s="57"/>
      <c r="X126" s="57"/>
      <c r="Y126" s="57"/>
      <c r="Z126" s="57"/>
      <c r="AA126" s="57"/>
      <c r="AB126" s="57"/>
      <c r="AC126" s="57"/>
      <c r="AD126" s="57"/>
      <c r="AE126" s="57"/>
      <c r="AF126" s="57"/>
      <c r="AG126" s="57"/>
      <c r="AH126" s="57"/>
      <c r="AI126" s="57"/>
      <c r="AJ126" s="57"/>
      <c r="AK126" s="57"/>
      <c r="AL126" s="57"/>
      <c r="AM126" s="57"/>
      <c r="AN126" s="57"/>
      <c r="AO126" s="57"/>
      <c r="AP126" s="57"/>
      <c r="AQ126" s="57"/>
      <c r="AR126" s="57"/>
      <c r="AS126" s="57"/>
      <c r="AT126" s="57"/>
      <c r="AU126" s="61"/>
      <c r="AV126" s="61"/>
      <c r="AW126" s="57"/>
      <c r="AX126" s="61"/>
      <c r="AY126" s="57"/>
      <c r="AZ126" s="57"/>
      <c r="BA126" s="57"/>
      <c r="BB126" s="61"/>
      <c r="BC126" s="61"/>
      <c r="BD126" s="57"/>
      <c r="BE126" s="57"/>
      <c r="BF126" s="57"/>
      <c r="BG126" s="57"/>
      <c r="BH126" s="57"/>
      <c r="BI126" s="61"/>
      <c r="BJ126" s="61"/>
      <c r="BK126" s="57"/>
      <c r="BL126" s="57"/>
      <c r="BM126" s="57"/>
      <c r="BN126" s="57"/>
      <c r="BO126" s="57"/>
      <c r="BP126" s="58"/>
      <c r="BQ126" s="61"/>
      <c r="BR126" s="57"/>
      <c r="BS126" s="57"/>
      <c r="BT126" s="57"/>
      <c r="BU126" s="57"/>
      <c r="BV126" s="57"/>
      <c r="BW126" s="57"/>
      <c r="BX126" s="57"/>
      <c r="BY126" s="57"/>
      <c r="BZ126" s="57"/>
      <c r="CA126" s="57"/>
      <c r="CB126" s="57"/>
      <c r="CC126" s="27"/>
      <c r="CD126" s="61"/>
      <c r="CE126" s="61"/>
      <c r="CF126" s="57"/>
      <c r="CG126" s="57"/>
      <c r="CH126" s="57"/>
      <c r="CI126" s="57">
        <v>24.4</v>
      </c>
      <c r="CJ126" s="57"/>
      <c r="CK126" s="61"/>
      <c r="CL126" s="61"/>
      <c r="CM126" s="57"/>
      <c r="CN126" s="57"/>
      <c r="CO126" s="57"/>
      <c r="CP126" s="57"/>
      <c r="CQ126" s="57"/>
      <c r="CR126" s="61"/>
      <c r="CS126" s="61"/>
      <c r="CT126" s="57"/>
      <c r="CU126" s="57"/>
      <c r="CV126" s="61"/>
      <c r="CW126" s="61"/>
      <c r="CX126" s="61"/>
      <c r="CY126" s="61"/>
      <c r="CZ126" s="61"/>
      <c r="DA126" s="61"/>
      <c r="DB126" s="61"/>
      <c r="DC126" s="61"/>
      <c r="DD126" s="61"/>
      <c r="DE126" s="61"/>
      <c r="DF126" s="61"/>
      <c r="DG126" s="61"/>
      <c r="DH126" s="61"/>
      <c r="DI126" s="61"/>
      <c r="DJ126" s="61"/>
      <c r="DK126" s="61"/>
      <c r="DL126" s="61"/>
      <c r="DM126" s="61"/>
      <c r="DN126" s="61"/>
      <c r="DO126" s="61"/>
      <c r="DP126" s="61"/>
      <c r="DQ126" s="156"/>
      <c r="DR126" s="156"/>
      <c r="DS126" s="156"/>
      <c r="DT126" s="156"/>
      <c r="DU126" s="156"/>
      <c r="DV126" s="156"/>
      <c r="DW126" s="156"/>
      <c r="DX126" s="156"/>
      <c r="DY126" s="156"/>
      <c r="DZ126" s="24"/>
      <c r="EA126" s="24"/>
      <c r="EB126" s="24"/>
      <c r="EC126" s="24"/>
      <c r="ED126" s="24"/>
      <c r="EE126" s="24"/>
      <c r="EF126" s="24"/>
      <c r="EG126" s="24"/>
    </row>
    <row r="127" spans="1:137" s="10" customFormat="1" ht="15.9" customHeight="1" outlineLevel="1" x14ac:dyDescent="0.3">
      <c r="A127" s="7"/>
      <c r="B127" s="7" t="s">
        <v>23</v>
      </c>
      <c r="C127" s="8" t="s">
        <v>24</v>
      </c>
      <c r="D127" s="146"/>
      <c r="E127" s="7" t="s">
        <v>189</v>
      </c>
      <c r="F127" s="7" t="s">
        <v>267</v>
      </c>
      <c r="G127" s="9" t="s">
        <v>271</v>
      </c>
      <c r="H127" s="9"/>
      <c r="I127" s="204" cm="1">
        <f t="array" ref="I127">IFERROR(LOOKUP(2,1/(N127:GR127&lt;&gt;""),N$4:DRA$4),"")</f>
        <v>45217</v>
      </c>
      <c r="J127" s="169" cm="1">
        <f t="array" ref="J127">IFERROR(_xlfn.XLOOKUP(TRUE,N127:EH127&lt;&gt;"",N127:EH127,,,-1)," ")</f>
        <v>24.1</v>
      </c>
      <c r="K127" s="45">
        <v>25</v>
      </c>
      <c r="L127" s="47"/>
      <c r="M127" s="282" t="s">
        <v>269</v>
      </c>
      <c r="N127" s="57"/>
      <c r="O127" s="57"/>
      <c r="P127" s="57"/>
      <c r="Q127" s="57"/>
      <c r="R127" s="57"/>
      <c r="S127" s="57"/>
      <c r="T127" s="57"/>
      <c r="U127" s="57"/>
      <c r="V127" s="57"/>
      <c r="W127" s="57"/>
      <c r="X127" s="57"/>
      <c r="Y127" s="57"/>
      <c r="Z127" s="57"/>
      <c r="AA127" s="57"/>
      <c r="AB127" s="57"/>
      <c r="AC127" s="57"/>
      <c r="AD127" s="57"/>
      <c r="AE127" s="57"/>
      <c r="AF127" s="57"/>
      <c r="AG127" s="57"/>
      <c r="AH127" s="57"/>
      <c r="AI127" s="57"/>
      <c r="AJ127" s="57"/>
      <c r="AK127" s="57"/>
      <c r="AL127" s="57"/>
      <c r="AM127" s="57"/>
      <c r="AN127" s="57"/>
      <c r="AO127" s="57"/>
      <c r="AP127" s="57"/>
      <c r="AQ127" s="57"/>
      <c r="AR127" s="57"/>
      <c r="AS127" s="57"/>
      <c r="AT127" s="57"/>
      <c r="AU127" s="61"/>
      <c r="AV127" s="61"/>
      <c r="AW127" s="57"/>
      <c r="AX127" s="61"/>
      <c r="AY127" s="57"/>
      <c r="AZ127" s="57"/>
      <c r="BA127" s="57"/>
      <c r="BB127" s="61"/>
      <c r="BC127" s="61"/>
      <c r="BD127" s="57"/>
      <c r="BE127" s="57"/>
      <c r="BF127" s="57"/>
      <c r="BG127" s="57"/>
      <c r="BH127" s="57"/>
      <c r="BI127" s="61"/>
      <c r="BJ127" s="61"/>
      <c r="BK127" s="57"/>
      <c r="BL127" s="57"/>
      <c r="BM127" s="57"/>
      <c r="BN127" s="57"/>
      <c r="BO127" s="57"/>
      <c r="BP127" s="58"/>
      <c r="BQ127" s="61"/>
      <c r="BR127" s="57"/>
      <c r="BS127" s="57"/>
      <c r="BT127" s="57"/>
      <c r="BU127" s="57"/>
      <c r="BV127" s="57"/>
      <c r="BW127" s="57"/>
      <c r="BX127" s="57"/>
      <c r="BY127" s="57">
        <v>22.9</v>
      </c>
      <c r="BZ127" s="57"/>
      <c r="CA127" s="57"/>
      <c r="CB127" s="57"/>
      <c r="CC127" s="27"/>
      <c r="CD127" s="61"/>
      <c r="CE127" s="61"/>
      <c r="CF127" s="57"/>
      <c r="CG127" s="57"/>
      <c r="CH127" s="57"/>
      <c r="CI127" s="57">
        <v>24.6</v>
      </c>
      <c r="CJ127" s="57"/>
      <c r="CK127" s="61"/>
      <c r="CL127" s="61"/>
      <c r="CM127" s="57"/>
      <c r="CN127" s="57"/>
      <c r="CO127" s="57"/>
      <c r="CP127" s="57"/>
      <c r="CQ127" s="57"/>
      <c r="CR127" s="160">
        <v>24.1</v>
      </c>
      <c r="CS127" s="61"/>
      <c r="CT127" s="57"/>
      <c r="CU127" s="57"/>
      <c r="CV127" s="61"/>
      <c r="CW127" s="61"/>
      <c r="CX127" s="61"/>
      <c r="CY127" s="61"/>
      <c r="CZ127" s="61"/>
      <c r="DA127" s="61"/>
      <c r="DB127" s="61"/>
      <c r="DC127" s="61"/>
      <c r="DD127" s="61"/>
      <c r="DE127" s="61"/>
      <c r="DF127" s="61"/>
      <c r="DG127" s="61"/>
      <c r="DH127" s="61"/>
      <c r="DI127" s="61"/>
      <c r="DJ127" s="61"/>
      <c r="DK127" s="61"/>
      <c r="DL127" s="61"/>
      <c r="DM127" s="61"/>
      <c r="DN127" s="61"/>
      <c r="DO127" s="61"/>
      <c r="DP127" s="61"/>
      <c r="DQ127" s="156"/>
      <c r="DR127" s="156"/>
      <c r="DS127" s="156"/>
      <c r="DT127" s="156"/>
      <c r="DU127" s="156"/>
      <c r="DV127" s="156"/>
      <c r="DW127" s="156"/>
      <c r="DX127" s="156"/>
      <c r="DY127" s="156"/>
      <c r="DZ127" s="59"/>
      <c r="EA127" s="59"/>
      <c r="EB127" s="59"/>
      <c r="EC127" s="59"/>
      <c r="ED127" s="59"/>
      <c r="EE127" s="59"/>
      <c r="EF127" s="59"/>
      <c r="EG127" s="59"/>
    </row>
    <row r="128" spans="1:137" s="5" customFormat="1" ht="15.9" customHeight="1" outlineLevel="1" x14ac:dyDescent="0.3">
      <c r="A128" s="6" t="s">
        <v>22</v>
      </c>
      <c r="B128" s="6" t="s">
        <v>23</v>
      </c>
      <c r="C128" s="50" t="s">
        <v>24</v>
      </c>
      <c r="D128" s="147">
        <v>49.01</v>
      </c>
      <c r="E128" s="6" t="s">
        <v>189</v>
      </c>
      <c r="F128" s="6" t="s">
        <v>272</v>
      </c>
      <c r="G128" s="11" t="s">
        <v>273</v>
      </c>
      <c r="H128" s="11" t="s">
        <v>22</v>
      </c>
      <c r="I128" s="205" cm="1">
        <f t="array" ref="I128">IFERROR(LOOKUP(2,1/(N128:GR128&lt;&gt;""),N$4:DRA$4),"")</f>
        <v>45203</v>
      </c>
      <c r="J128" s="170" cm="1">
        <f t="array" ref="J128">IFERROR(_xlfn.XLOOKUP(TRUE,N128:EH128&lt;&gt;"",N128:EH128,,,-1)," ")</f>
        <v>23.8</v>
      </c>
      <c r="K128" s="49"/>
      <c r="L128" s="49"/>
      <c r="M128" s="284" t="s">
        <v>34</v>
      </c>
      <c r="N128" s="62"/>
      <c r="O128" s="62"/>
      <c r="P128" s="62"/>
      <c r="Q128" s="62"/>
      <c r="R128" s="62"/>
      <c r="S128" s="62"/>
      <c r="T128" s="62"/>
      <c r="U128" s="62"/>
      <c r="V128" s="62"/>
      <c r="W128" s="62"/>
      <c r="X128" s="62"/>
      <c r="Y128" s="62"/>
      <c r="Z128" s="62"/>
      <c r="AA128" s="62"/>
      <c r="AB128" s="62"/>
      <c r="AC128" s="62"/>
      <c r="AD128" s="62"/>
      <c r="AE128" s="62"/>
      <c r="AF128" s="62"/>
      <c r="AG128" s="62"/>
      <c r="AH128" s="62"/>
      <c r="AI128" s="62"/>
      <c r="AJ128" s="62"/>
      <c r="AK128" s="62"/>
      <c r="AL128" s="62"/>
      <c r="AM128" s="62"/>
      <c r="AN128" s="62"/>
      <c r="AO128" s="62"/>
      <c r="AP128" s="62"/>
      <c r="AQ128" s="62"/>
      <c r="AR128" s="62"/>
      <c r="AS128" s="62"/>
      <c r="AT128" s="62" t="s">
        <v>274</v>
      </c>
      <c r="AU128" s="63"/>
      <c r="AV128" s="63"/>
      <c r="AW128" s="62"/>
      <c r="AX128" s="63"/>
      <c r="AY128" s="62"/>
      <c r="AZ128" s="62"/>
      <c r="BA128" s="62" t="s">
        <v>275</v>
      </c>
      <c r="BB128" s="63"/>
      <c r="BC128" s="63"/>
      <c r="BD128" s="62"/>
      <c r="BE128" s="62"/>
      <c r="BF128" s="62"/>
      <c r="BG128" s="62"/>
      <c r="BH128" s="62"/>
      <c r="BI128" s="63"/>
      <c r="BJ128" s="63"/>
      <c r="BK128" s="62"/>
      <c r="BL128" s="62"/>
      <c r="BM128" s="62"/>
      <c r="BN128" s="62"/>
      <c r="BO128" s="62"/>
      <c r="BP128" s="64"/>
      <c r="BQ128" s="63"/>
      <c r="BR128" s="62" t="s">
        <v>276</v>
      </c>
      <c r="BS128" s="62"/>
      <c r="BT128" s="62"/>
      <c r="BU128" s="62"/>
      <c r="BV128" s="62"/>
      <c r="BW128" s="62">
        <v>23.4</v>
      </c>
      <c r="BX128" s="62"/>
      <c r="BY128" s="62"/>
      <c r="BZ128" s="62"/>
      <c r="CA128" s="62"/>
      <c r="CB128" s="62"/>
      <c r="CC128" s="51"/>
      <c r="CD128" s="63">
        <v>23.8</v>
      </c>
      <c r="CE128" s="63"/>
      <c r="CF128" s="62"/>
      <c r="CG128" s="62"/>
      <c r="CH128" s="62"/>
      <c r="CI128" s="62"/>
      <c r="CJ128" s="62"/>
      <c r="CK128" s="63"/>
      <c r="CL128" s="63"/>
      <c r="CM128" s="62"/>
      <c r="CN128" s="62"/>
      <c r="CO128" s="62"/>
      <c r="CP128" s="62"/>
      <c r="CQ128" s="62"/>
      <c r="CR128" s="63"/>
      <c r="CS128" s="63"/>
      <c r="CT128" s="62"/>
      <c r="CU128" s="62"/>
      <c r="CV128" s="63"/>
      <c r="CW128" s="63"/>
      <c r="CX128" s="63"/>
      <c r="CY128" s="63"/>
      <c r="CZ128" s="63"/>
      <c r="DA128" s="63"/>
      <c r="DB128" s="63"/>
      <c r="DC128" s="63"/>
      <c r="DD128" s="63"/>
      <c r="DE128" s="63"/>
      <c r="DF128" s="63"/>
      <c r="DG128" s="63"/>
      <c r="DH128" s="63"/>
      <c r="DI128" s="63"/>
      <c r="DJ128" s="63"/>
      <c r="DK128" s="63"/>
      <c r="DL128" s="63"/>
      <c r="DM128" s="63"/>
      <c r="DN128" s="63"/>
      <c r="DO128" s="63"/>
      <c r="DP128" s="63"/>
      <c r="DQ128" s="158"/>
      <c r="DR128" s="158"/>
      <c r="DS128" s="158"/>
      <c r="DT128" s="158"/>
      <c r="DU128" s="158"/>
      <c r="DV128" s="158"/>
      <c r="DW128" s="158"/>
      <c r="DX128" s="158"/>
      <c r="DY128" s="158"/>
      <c r="DZ128" s="59"/>
      <c r="EA128" s="59"/>
      <c r="EB128" s="59"/>
      <c r="EC128" s="59"/>
      <c r="ED128" s="59"/>
      <c r="EE128" s="59"/>
      <c r="EF128" s="59"/>
      <c r="EG128" s="59"/>
    </row>
    <row r="129" spans="1:137" s="5" customFormat="1" ht="15.9" customHeight="1" outlineLevel="1" x14ac:dyDescent="0.3">
      <c r="A129" s="6" t="s">
        <v>22</v>
      </c>
      <c r="B129" s="6" t="s">
        <v>23</v>
      </c>
      <c r="C129" s="50" t="s">
        <v>24</v>
      </c>
      <c r="D129" s="147"/>
      <c r="E129" s="6" t="s">
        <v>189</v>
      </c>
      <c r="F129" s="6" t="s">
        <v>272</v>
      </c>
      <c r="G129" s="11" t="s">
        <v>277</v>
      </c>
      <c r="H129" s="11"/>
      <c r="I129" s="205" t="str" cm="1">
        <f t="array" ref="I129">IFERROR(LOOKUP(2,1/(N129:GR129&lt;&gt;""),N$4:DRA$4),"")</f>
        <v/>
      </c>
      <c r="J129" s="170" t="str" cm="1">
        <f t="array" ref="J129">IFERROR(_xlfn.XLOOKUP(TRUE,N129:EH129&lt;&gt;"",N129:EH129,,,-1)," ")</f>
        <v xml:space="preserve"> </v>
      </c>
      <c r="K129" s="49"/>
      <c r="L129" s="49"/>
      <c r="M129" s="284" t="s">
        <v>34</v>
      </c>
      <c r="N129" s="62"/>
      <c r="O129" s="62"/>
      <c r="P129" s="62"/>
      <c r="Q129" s="62"/>
      <c r="R129" s="62"/>
      <c r="S129" s="62"/>
      <c r="T129" s="62"/>
      <c r="U129" s="62"/>
      <c r="V129" s="62"/>
      <c r="W129" s="62"/>
      <c r="X129" s="62"/>
      <c r="Y129" s="62"/>
      <c r="Z129" s="62"/>
      <c r="AA129" s="62"/>
      <c r="AB129" s="62"/>
      <c r="AC129" s="62"/>
      <c r="AD129" s="62"/>
      <c r="AE129" s="62"/>
      <c r="AF129" s="62"/>
      <c r="AG129" s="62"/>
      <c r="AH129" s="62"/>
      <c r="AI129" s="62"/>
      <c r="AJ129" s="62"/>
      <c r="AK129" s="62"/>
      <c r="AL129" s="62"/>
      <c r="AM129" s="62"/>
      <c r="AN129" s="62"/>
      <c r="AO129" s="62"/>
      <c r="AP129" s="62"/>
      <c r="AQ129" s="62"/>
      <c r="AR129" s="62"/>
      <c r="AS129" s="62"/>
      <c r="AT129" s="62"/>
      <c r="AU129" s="63"/>
      <c r="AV129" s="63"/>
      <c r="AW129" s="62"/>
      <c r="AX129" s="63"/>
      <c r="AY129" s="62"/>
      <c r="AZ129" s="62"/>
      <c r="BA129" s="62"/>
      <c r="BB129" s="63"/>
      <c r="BC129" s="63"/>
      <c r="BD129" s="62"/>
      <c r="BE129" s="62"/>
      <c r="BF129" s="62"/>
      <c r="BG129" s="62"/>
      <c r="BH129" s="62"/>
      <c r="BI129" s="63"/>
      <c r="BJ129" s="63"/>
      <c r="BK129" s="62"/>
      <c r="BL129" s="62"/>
      <c r="BM129" s="62"/>
      <c r="BN129" s="62"/>
      <c r="BO129" s="62"/>
      <c r="BP129" s="64"/>
      <c r="BQ129" s="63"/>
      <c r="BR129" s="62"/>
      <c r="BS129" s="62"/>
      <c r="BT129" s="62"/>
      <c r="BU129" s="62"/>
      <c r="BV129" s="62"/>
      <c r="BW129" s="62"/>
      <c r="BX129" s="62"/>
      <c r="BY129" s="62"/>
      <c r="BZ129" s="62"/>
      <c r="CA129" s="62"/>
      <c r="CB129" s="62"/>
      <c r="CC129" s="51"/>
      <c r="CD129" s="63"/>
      <c r="CE129" s="63"/>
      <c r="CF129" s="62"/>
      <c r="CG129" s="62"/>
      <c r="CH129" s="62"/>
      <c r="CI129" s="62"/>
      <c r="CJ129" s="62"/>
      <c r="CK129" s="63"/>
      <c r="CL129" s="63"/>
      <c r="CM129" s="62"/>
      <c r="CN129" s="62"/>
      <c r="CO129" s="62"/>
      <c r="CP129" s="62"/>
      <c r="CQ129" s="62"/>
      <c r="CR129" s="63"/>
      <c r="CS129" s="63"/>
      <c r="CT129" s="62"/>
      <c r="CU129" s="62"/>
      <c r="CV129" s="63"/>
      <c r="CW129" s="63"/>
      <c r="CX129" s="63"/>
      <c r="CY129" s="63"/>
      <c r="CZ129" s="63"/>
      <c r="DA129" s="63"/>
      <c r="DB129" s="63"/>
      <c r="DC129" s="63"/>
      <c r="DD129" s="63"/>
      <c r="DE129" s="63"/>
      <c r="DF129" s="63"/>
      <c r="DG129" s="63"/>
      <c r="DH129" s="63"/>
      <c r="DI129" s="63"/>
      <c r="DJ129" s="63"/>
      <c r="DK129" s="63"/>
      <c r="DL129" s="63"/>
      <c r="DM129" s="63"/>
      <c r="DN129" s="63"/>
      <c r="DO129" s="63"/>
      <c r="DP129" s="63"/>
      <c r="DQ129" s="158"/>
      <c r="DR129" s="158"/>
      <c r="DS129" s="158"/>
      <c r="DT129" s="158"/>
      <c r="DU129" s="158"/>
      <c r="DV129" s="158"/>
      <c r="DW129" s="158"/>
      <c r="DX129" s="158"/>
      <c r="DY129" s="158"/>
      <c r="DZ129" s="59"/>
      <c r="EA129" s="59"/>
      <c r="EB129" s="59"/>
      <c r="EC129" s="59"/>
      <c r="ED129" s="59"/>
      <c r="EE129" s="59"/>
      <c r="EF129" s="59"/>
      <c r="EG129" s="59"/>
    </row>
    <row r="130" spans="1:137" s="5" customFormat="1" ht="15.9" customHeight="1" outlineLevel="1" x14ac:dyDescent="0.3">
      <c r="A130" s="6" t="s">
        <v>22</v>
      </c>
      <c r="B130" s="6" t="s">
        <v>23</v>
      </c>
      <c r="C130" s="50" t="s">
        <v>24</v>
      </c>
      <c r="D130" s="147"/>
      <c r="E130" s="6" t="s">
        <v>189</v>
      </c>
      <c r="F130" s="6" t="s">
        <v>272</v>
      </c>
      <c r="G130" s="11" t="s">
        <v>278</v>
      </c>
      <c r="H130" s="11"/>
      <c r="I130" s="205" t="str" cm="1">
        <f t="array" ref="I130">IFERROR(LOOKUP(2,1/(N130:GR130&lt;&gt;""),N$4:DRA$4),"")</f>
        <v/>
      </c>
      <c r="J130" s="170" t="str" cm="1">
        <f t="array" ref="J130">IFERROR(_xlfn.XLOOKUP(TRUE,N130:EH130&lt;&gt;"",N130:EH130,,,-1)," ")</f>
        <v xml:space="preserve"> </v>
      </c>
      <c r="K130" s="49"/>
      <c r="L130" s="49"/>
      <c r="M130" s="284" t="s">
        <v>34</v>
      </c>
      <c r="N130" s="62"/>
      <c r="O130" s="62"/>
      <c r="P130" s="62"/>
      <c r="Q130" s="62"/>
      <c r="R130" s="62"/>
      <c r="S130" s="62"/>
      <c r="T130" s="62"/>
      <c r="U130" s="62"/>
      <c r="V130" s="62"/>
      <c r="W130" s="62"/>
      <c r="X130" s="62"/>
      <c r="Y130" s="62"/>
      <c r="Z130" s="62"/>
      <c r="AA130" s="62"/>
      <c r="AB130" s="62"/>
      <c r="AC130" s="62"/>
      <c r="AD130" s="62"/>
      <c r="AE130" s="62"/>
      <c r="AF130" s="62"/>
      <c r="AG130" s="62"/>
      <c r="AH130" s="62"/>
      <c r="AI130" s="62"/>
      <c r="AJ130" s="62"/>
      <c r="AK130" s="62"/>
      <c r="AL130" s="62"/>
      <c r="AM130" s="62"/>
      <c r="AN130" s="62"/>
      <c r="AO130" s="62"/>
      <c r="AP130" s="62"/>
      <c r="AQ130" s="62"/>
      <c r="AR130" s="62"/>
      <c r="AS130" s="62"/>
      <c r="AT130" s="62"/>
      <c r="AU130" s="63"/>
      <c r="AV130" s="63"/>
      <c r="AW130" s="62"/>
      <c r="AX130" s="63"/>
      <c r="AY130" s="62"/>
      <c r="AZ130" s="62"/>
      <c r="BA130" s="62"/>
      <c r="BB130" s="63"/>
      <c r="BC130" s="63"/>
      <c r="BD130" s="62"/>
      <c r="BE130" s="62"/>
      <c r="BF130" s="62"/>
      <c r="BG130" s="62"/>
      <c r="BH130" s="62"/>
      <c r="BI130" s="63"/>
      <c r="BJ130" s="63"/>
      <c r="BK130" s="62"/>
      <c r="BL130" s="62"/>
      <c r="BM130" s="62"/>
      <c r="BN130" s="62"/>
      <c r="BO130" s="62"/>
      <c r="BP130" s="64"/>
      <c r="BQ130" s="63"/>
      <c r="BR130" s="62"/>
      <c r="BS130" s="62"/>
      <c r="BT130" s="62"/>
      <c r="BU130" s="62"/>
      <c r="BV130" s="62"/>
      <c r="BW130" s="62"/>
      <c r="BX130" s="62"/>
      <c r="BY130" s="62"/>
      <c r="BZ130" s="62"/>
      <c r="CA130" s="62"/>
      <c r="CB130" s="62"/>
      <c r="CC130" s="51"/>
      <c r="CD130" s="63"/>
      <c r="CE130" s="63"/>
      <c r="CF130" s="62"/>
      <c r="CG130" s="62"/>
      <c r="CH130" s="62"/>
      <c r="CI130" s="62"/>
      <c r="CJ130" s="62"/>
      <c r="CK130" s="63"/>
      <c r="CL130" s="63"/>
      <c r="CM130" s="62"/>
      <c r="CN130" s="62"/>
      <c r="CO130" s="62"/>
      <c r="CP130" s="62"/>
      <c r="CQ130" s="62"/>
      <c r="CR130" s="63"/>
      <c r="CS130" s="63"/>
      <c r="CT130" s="62"/>
      <c r="CU130" s="62"/>
      <c r="CV130" s="63"/>
      <c r="CW130" s="63"/>
      <c r="CX130" s="63"/>
      <c r="CY130" s="63"/>
      <c r="CZ130" s="63"/>
      <c r="DA130" s="63"/>
      <c r="DB130" s="63"/>
      <c r="DC130" s="63"/>
      <c r="DD130" s="63"/>
      <c r="DE130" s="63"/>
      <c r="DF130" s="63"/>
      <c r="DG130" s="63"/>
      <c r="DH130" s="63"/>
      <c r="DI130" s="63"/>
      <c r="DJ130" s="63"/>
      <c r="DK130" s="63"/>
      <c r="DL130" s="63"/>
      <c r="DM130" s="63"/>
      <c r="DN130" s="63"/>
      <c r="DO130" s="63"/>
      <c r="DP130" s="63"/>
      <c r="DQ130" s="158"/>
      <c r="DR130" s="158"/>
      <c r="DS130" s="158"/>
      <c r="DT130" s="158"/>
      <c r="DU130" s="158"/>
      <c r="DV130" s="158"/>
      <c r="DW130" s="158"/>
      <c r="DX130" s="158"/>
      <c r="DY130" s="158"/>
      <c r="DZ130" s="59"/>
      <c r="EA130" s="59"/>
      <c r="EB130" s="59"/>
      <c r="EC130" s="59"/>
      <c r="ED130" s="59"/>
      <c r="EE130" s="59"/>
      <c r="EF130" s="59"/>
      <c r="EG130" s="59"/>
    </row>
    <row r="131" spans="1:137" s="10" customFormat="1" ht="15.9" customHeight="1" outlineLevel="1" x14ac:dyDescent="0.3">
      <c r="A131" s="7"/>
      <c r="B131" s="7" t="s">
        <v>23</v>
      </c>
      <c r="C131" s="8" t="s">
        <v>24</v>
      </c>
      <c r="D131" s="146">
        <v>48.52</v>
      </c>
      <c r="E131" s="7" t="s">
        <v>189</v>
      </c>
      <c r="F131" s="7" t="s">
        <v>279</v>
      </c>
      <c r="G131" s="9" t="s">
        <v>280</v>
      </c>
      <c r="H131" s="9"/>
      <c r="I131" s="204" cm="1">
        <f t="array" ref="I131">IFERROR(LOOKUP(2,1/(N131:GR131&lt;&gt;""),N$4:DRA$4),"")</f>
        <v>45230</v>
      </c>
      <c r="J131" s="169" cm="1">
        <f t="array" ref="J131">IFERROR(_xlfn.XLOOKUP(TRUE,N131:EH131&lt;&gt;"",N131:EH131,,,-1)," ")</f>
        <v>26</v>
      </c>
      <c r="K131" s="45"/>
      <c r="L131" s="45">
        <v>24.5</v>
      </c>
      <c r="M131" s="282" t="s">
        <v>28</v>
      </c>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7"/>
      <c r="AQ131" s="57"/>
      <c r="AR131" s="57"/>
      <c r="AS131" s="57"/>
      <c r="AT131" s="57"/>
      <c r="AU131" s="61"/>
      <c r="AV131" s="61"/>
      <c r="AW131" s="57"/>
      <c r="AX131" s="61"/>
      <c r="AY131" s="57"/>
      <c r="AZ131" s="57"/>
      <c r="BA131" s="57"/>
      <c r="BB131" s="61"/>
      <c r="BC131" s="61"/>
      <c r="BD131" s="57"/>
      <c r="BE131" s="57"/>
      <c r="BF131" s="57"/>
      <c r="BG131" s="57"/>
      <c r="BH131" s="57"/>
      <c r="BI131" s="61"/>
      <c r="BJ131" s="61"/>
      <c r="BK131" s="57"/>
      <c r="BL131" s="57"/>
      <c r="BM131" s="57"/>
      <c r="BN131" s="57"/>
      <c r="BO131" s="57"/>
      <c r="BP131" s="57"/>
      <c r="BQ131" s="61"/>
      <c r="BR131" s="57"/>
      <c r="BS131" s="57">
        <v>23</v>
      </c>
      <c r="BT131" s="57"/>
      <c r="BU131" s="57"/>
      <c r="BV131" s="57"/>
      <c r="BW131" s="57"/>
      <c r="BX131" s="57"/>
      <c r="BY131" s="57"/>
      <c r="BZ131" s="57"/>
      <c r="CA131" s="57"/>
      <c r="CB131" s="57">
        <v>24</v>
      </c>
      <c r="CC131" s="27"/>
      <c r="CD131" s="61"/>
      <c r="CE131" s="61"/>
      <c r="CF131" s="57"/>
      <c r="CG131" s="61"/>
      <c r="CH131" s="57"/>
      <c r="CI131" s="61"/>
      <c r="CJ131" s="57"/>
      <c r="CK131" s="61"/>
      <c r="CL131" s="61"/>
      <c r="CM131" s="61"/>
      <c r="CN131" s="61"/>
      <c r="CO131" s="61"/>
      <c r="CP131" s="61"/>
      <c r="CQ131" s="61"/>
      <c r="CR131" s="61"/>
      <c r="CS131" s="61"/>
      <c r="CT131" s="61"/>
      <c r="CU131" s="61"/>
      <c r="CV131" s="61"/>
      <c r="CW131" s="61"/>
      <c r="CX131" s="61"/>
      <c r="CY131" s="61"/>
      <c r="CZ131" s="61"/>
      <c r="DA131" s="61"/>
      <c r="DB131" s="61"/>
      <c r="DC131" s="61"/>
      <c r="DD131" s="61"/>
      <c r="DE131" s="61">
        <v>26</v>
      </c>
      <c r="DF131" s="61"/>
      <c r="DG131" s="61"/>
      <c r="DH131" s="61"/>
      <c r="DI131" s="61"/>
      <c r="DJ131" s="61"/>
      <c r="DK131" s="61"/>
      <c r="DL131" s="61"/>
      <c r="DM131" s="61"/>
      <c r="DN131" s="61"/>
      <c r="DO131" s="61"/>
      <c r="DP131" s="61"/>
      <c r="DQ131" s="156"/>
      <c r="DR131" s="156"/>
      <c r="DS131" s="156"/>
      <c r="DT131" s="156"/>
      <c r="DU131" s="156"/>
      <c r="DV131" s="156"/>
      <c r="DW131" s="156"/>
      <c r="DX131" s="156"/>
      <c r="DY131" s="156"/>
      <c r="DZ131" s="65"/>
      <c r="EA131" s="65"/>
      <c r="EB131" s="65"/>
      <c r="EC131" s="65"/>
      <c r="ED131" s="65"/>
      <c r="EE131" s="65"/>
      <c r="EF131" s="65"/>
      <c r="EG131" s="65"/>
    </row>
    <row r="132" spans="1:137" s="10" customFormat="1" ht="15.9" customHeight="1" outlineLevel="1" x14ac:dyDescent="0.3">
      <c r="A132" s="7"/>
      <c r="B132" s="7" t="s">
        <v>23</v>
      </c>
      <c r="C132" s="8" t="s">
        <v>24</v>
      </c>
      <c r="D132" s="146"/>
      <c r="E132" s="7" t="s">
        <v>189</v>
      </c>
      <c r="F132" s="7" t="s">
        <v>279</v>
      </c>
      <c r="G132" s="9" t="s">
        <v>281</v>
      </c>
      <c r="H132" s="9"/>
      <c r="I132" s="204" cm="1">
        <f t="array" ref="I132">IFERROR(LOOKUP(2,1/(N132:GR132&lt;&gt;""),N$4:DRA$4),"")</f>
        <v>45216</v>
      </c>
      <c r="J132" s="266" cm="1">
        <f t="array" ref="J132">IFERROR(_xlfn.XLOOKUP(TRUE,N132:EH132&lt;&gt;"",N132:EH132,,,-1)," ")</f>
        <v>25.8</v>
      </c>
      <c r="K132" s="45"/>
      <c r="L132" s="45">
        <v>24.5</v>
      </c>
      <c r="M132" s="282" t="s">
        <v>28</v>
      </c>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57"/>
      <c r="AT132" s="57"/>
      <c r="AU132" s="61"/>
      <c r="AV132" s="61"/>
      <c r="AW132" s="57"/>
      <c r="AX132" s="61"/>
      <c r="AY132" s="57"/>
      <c r="AZ132" s="57"/>
      <c r="BA132" s="57"/>
      <c r="BB132" s="61"/>
      <c r="BC132" s="61"/>
      <c r="BD132" s="57"/>
      <c r="BE132" s="57"/>
      <c r="BF132" s="57"/>
      <c r="BG132" s="57"/>
      <c r="BH132" s="57"/>
      <c r="BI132" s="61"/>
      <c r="BJ132" s="61"/>
      <c r="BK132" s="57"/>
      <c r="BL132" s="57"/>
      <c r="BM132" s="57"/>
      <c r="BN132" s="57"/>
      <c r="BO132" s="57"/>
      <c r="BP132" s="58"/>
      <c r="BQ132" s="61"/>
      <c r="BR132" s="57"/>
      <c r="BS132" s="57"/>
      <c r="BT132" s="57"/>
      <c r="BU132" s="57"/>
      <c r="BV132" s="57"/>
      <c r="BW132" s="57"/>
      <c r="BX132" s="57"/>
      <c r="BY132" s="57"/>
      <c r="BZ132" s="57"/>
      <c r="CA132" s="57"/>
      <c r="CB132" s="57"/>
      <c r="CC132" s="27"/>
      <c r="CD132" s="61"/>
      <c r="CE132" s="61"/>
      <c r="CF132" s="57">
        <v>24.6</v>
      </c>
      <c r="CG132" s="160">
        <v>24.2</v>
      </c>
      <c r="CH132" s="57"/>
      <c r="CI132" s="61"/>
      <c r="CJ132" s="57"/>
      <c r="CK132" s="61"/>
      <c r="CL132" s="61"/>
      <c r="CM132" s="61"/>
      <c r="CN132" s="61"/>
      <c r="CO132" s="61"/>
      <c r="CP132" s="61"/>
      <c r="CQ132" s="160">
        <v>25.8</v>
      </c>
      <c r="CR132" s="61"/>
      <c r="CS132" s="61"/>
      <c r="CT132" s="61"/>
      <c r="CU132" s="61"/>
      <c r="CV132" s="61"/>
      <c r="CW132" s="61"/>
      <c r="CX132" s="61"/>
      <c r="CY132" s="61"/>
      <c r="CZ132" s="61"/>
      <c r="DA132" s="61"/>
      <c r="DB132" s="61"/>
      <c r="DC132" s="61"/>
      <c r="DD132" s="61"/>
      <c r="DE132" s="61"/>
      <c r="DF132" s="61"/>
      <c r="DG132" s="61"/>
      <c r="DH132" s="61"/>
      <c r="DI132" s="61"/>
      <c r="DJ132" s="61"/>
      <c r="DK132" s="61"/>
      <c r="DL132" s="61"/>
      <c r="DM132" s="61"/>
      <c r="DN132" s="61"/>
      <c r="DO132" s="61"/>
      <c r="DP132" s="61"/>
      <c r="DQ132" s="156"/>
      <c r="DR132" s="156"/>
      <c r="DS132" s="156"/>
      <c r="DT132" s="156"/>
      <c r="DU132" s="156"/>
      <c r="DV132" s="156"/>
      <c r="DW132" s="156"/>
      <c r="DX132" s="156"/>
      <c r="DY132" s="156"/>
      <c r="DZ132" s="59"/>
      <c r="EA132" s="59"/>
      <c r="EB132" s="59"/>
      <c r="EC132" s="59"/>
      <c r="ED132" s="59"/>
      <c r="EE132" s="59"/>
      <c r="EF132" s="59"/>
      <c r="EG132" s="59"/>
    </row>
    <row r="133" spans="1:137" s="10" customFormat="1" ht="15.9" customHeight="1" outlineLevel="1" x14ac:dyDescent="0.3">
      <c r="A133" s="7"/>
      <c r="B133" s="7" t="s">
        <v>23</v>
      </c>
      <c r="C133" s="8" t="s">
        <v>24</v>
      </c>
      <c r="D133" s="146"/>
      <c r="E133" s="7" t="s">
        <v>189</v>
      </c>
      <c r="F133" s="7" t="s">
        <v>279</v>
      </c>
      <c r="G133" s="9" t="s">
        <v>282</v>
      </c>
      <c r="H133" s="9"/>
      <c r="I133" s="204" cm="1">
        <f t="array" ref="I133">IFERROR(LOOKUP(2,1/(N133:GR133&lt;&gt;""),N$4:DRA$4),"")</f>
        <v>45217</v>
      </c>
      <c r="J133" s="266" cm="1">
        <f t="array" ref="J133">IFERROR(_xlfn.XLOOKUP(TRUE,N133:EH133&lt;&gt;"",N133:EH133,,,-1)," ")</f>
        <v>24.4</v>
      </c>
      <c r="K133" s="45"/>
      <c r="L133" s="45">
        <v>24.5</v>
      </c>
      <c r="M133" s="282" t="s">
        <v>28</v>
      </c>
      <c r="N133" s="57"/>
      <c r="O133" s="57"/>
      <c r="P133" s="57"/>
      <c r="Q133" s="57"/>
      <c r="R133" s="57"/>
      <c r="S133" s="57"/>
      <c r="T133" s="57"/>
      <c r="U133" s="57"/>
      <c r="V133" s="57"/>
      <c r="W133" s="57"/>
      <c r="X133" s="57"/>
      <c r="Y133" s="57"/>
      <c r="Z133" s="57"/>
      <c r="AA133" s="57"/>
      <c r="AB133" s="57"/>
      <c r="AC133" s="57"/>
      <c r="AD133" s="57"/>
      <c r="AE133" s="57"/>
      <c r="AF133" s="57"/>
      <c r="AG133" s="57"/>
      <c r="AH133" s="57"/>
      <c r="AI133" s="57"/>
      <c r="AJ133" s="57"/>
      <c r="AK133" s="57"/>
      <c r="AL133" s="57"/>
      <c r="AM133" s="57"/>
      <c r="AN133" s="57"/>
      <c r="AO133" s="57"/>
      <c r="AP133" s="57"/>
      <c r="AQ133" s="57"/>
      <c r="AR133" s="57"/>
      <c r="AS133" s="57"/>
      <c r="AT133" s="57"/>
      <c r="AU133" s="61"/>
      <c r="AV133" s="61"/>
      <c r="AW133" s="57"/>
      <c r="AX133" s="61"/>
      <c r="AY133" s="57"/>
      <c r="AZ133" s="57"/>
      <c r="BA133" s="57"/>
      <c r="BB133" s="61"/>
      <c r="BC133" s="61"/>
      <c r="BD133" s="57"/>
      <c r="BE133" s="57"/>
      <c r="BF133" s="57"/>
      <c r="BG133" s="57"/>
      <c r="BH133" s="57"/>
      <c r="BI133" s="61"/>
      <c r="BJ133" s="61"/>
      <c r="BK133" s="57"/>
      <c r="BL133" s="57"/>
      <c r="BM133" s="57"/>
      <c r="BN133" s="57"/>
      <c r="BO133" s="57"/>
      <c r="BP133" s="58"/>
      <c r="BQ133" s="61"/>
      <c r="BR133" s="57"/>
      <c r="BS133" s="57"/>
      <c r="BT133" s="57"/>
      <c r="BU133" s="57"/>
      <c r="BV133" s="57"/>
      <c r="BW133" s="57"/>
      <c r="BX133" s="57"/>
      <c r="BY133" s="57"/>
      <c r="BZ133" s="57"/>
      <c r="CA133" s="57"/>
      <c r="CB133" s="57"/>
      <c r="CC133" s="27"/>
      <c r="CD133" s="61"/>
      <c r="CE133" s="61"/>
      <c r="CF133" s="57">
        <v>24.1</v>
      </c>
      <c r="CG133" s="160">
        <v>23.7</v>
      </c>
      <c r="CH133" s="57"/>
      <c r="CI133" s="61"/>
      <c r="CJ133" s="57"/>
      <c r="CK133" s="61"/>
      <c r="CL133" s="61"/>
      <c r="CM133" s="61"/>
      <c r="CN133" s="61"/>
      <c r="CO133" s="61"/>
      <c r="CP133" s="61"/>
      <c r="CQ133" s="61"/>
      <c r="CR133" s="160">
        <v>24.4</v>
      </c>
      <c r="CS133" s="61"/>
      <c r="CT133" s="61"/>
      <c r="CU133" s="61"/>
      <c r="CV133" s="61"/>
      <c r="CW133" s="61"/>
      <c r="CX133" s="61"/>
      <c r="CY133" s="61"/>
      <c r="CZ133" s="61"/>
      <c r="DA133" s="61"/>
      <c r="DB133" s="61"/>
      <c r="DC133" s="61"/>
      <c r="DD133" s="61"/>
      <c r="DE133" s="61"/>
      <c r="DF133" s="61"/>
      <c r="DG133" s="61"/>
      <c r="DH133" s="61"/>
      <c r="DI133" s="61"/>
      <c r="DJ133" s="61"/>
      <c r="DK133" s="61"/>
      <c r="DL133" s="61"/>
      <c r="DM133" s="61"/>
      <c r="DN133" s="61"/>
      <c r="DO133" s="61"/>
      <c r="DP133" s="61"/>
      <c r="DQ133" s="156"/>
      <c r="DR133" s="156"/>
      <c r="DS133" s="156"/>
      <c r="DT133" s="156"/>
      <c r="DU133" s="156"/>
      <c r="DV133" s="156"/>
      <c r="DW133" s="156"/>
      <c r="DX133" s="156"/>
      <c r="DY133" s="156"/>
      <c r="DZ133" s="59"/>
      <c r="EA133" s="59"/>
      <c r="EB133" s="59"/>
      <c r="EC133" s="59"/>
      <c r="ED133" s="59"/>
      <c r="EE133" s="59"/>
      <c r="EF133" s="59"/>
      <c r="EG133" s="59"/>
    </row>
    <row r="134" spans="1:137" s="5" customFormat="1" ht="15.9" customHeight="1" outlineLevel="1" x14ac:dyDescent="0.3">
      <c r="A134" s="6" t="s">
        <v>22</v>
      </c>
      <c r="B134" s="6"/>
      <c r="C134" s="50" t="s">
        <v>24</v>
      </c>
      <c r="D134" s="147">
        <v>83.49</v>
      </c>
      <c r="E134" s="6" t="s">
        <v>189</v>
      </c>
      <c r="F134" s="6" t="s">
        <v>283</v>
      </c>
      <c r="G134" s="11" t="s">
        <v>284</v>
      </c>
      <c r="H134" s="11"/>
      <c r="I134" s="205" cm="1">
        <f t="array" ref="I134">IFERROR(LOOKUP(2,1/(N134:GR134&lt;&gt;""),N$4:DRA$4),"")</f>
        <v>45181</v>
      </c>
      <c r="J134" s="170" cm="1">
        <f t="array" ref="J134">IFERROR(_xlfn.XLOOKUP(TRUE,N134:EH134&lt;&gt;"",N134:EH134,,,-1)," ")</f>
        <v>21</v>
      </c>
      <c r="K134" s="49">
        <v>22.5</v>
      </c>
      <c r="L134" s="49"/>
      <c r="M134" s="284" t="s">
        <v>285</v>
      </c>
      <c r="N134" s="62"/>
      <c r="O134" s="62"/>
      <c r="P134" s="62"/>
      <c r="Q134" s="62"/>
      <c r="R134" s="62"/>
      <c r="S134" s="62"/>
      <c r="T134" s="62"/>
      <c r="U134" s="62"/>
      <c r="V134" s="62"/>
      <c r="W134" s="62"/>
      <c r="X134" s="62"/>
      <c r="Y134" s="62"/>
      <c r="Z134" s="62"/>
      <c r="AA134" s="62"/>
      <c r="AB134" s="62"/>
      <c r="AC134" s="62"/>
      <c r="AD134" s="62"/>
      <c r="AE134" s="62"/>
      <c r="AF134" s="62"/>
      <c r="AG134" s="62"/>
      <c r="AH134" s="62"/>
      <c r="AI134" s="62"/>
      <c r="AJ134" s="62"/>
      <c r="AK134" s="62"/>
      <c r="AL134" s="62"/>
      <c r="AM134" s="62"/>
      <c r="AN134" s="62"/>
      <c r="AO134" s="62"/>
      <c r="AP134" s="62"/>
      <c r="AQ134" s="62"/>
      <c r="AR134" s="62"/>
      <c r="AS134" s="62"/>
      <c r="AT134" s="62"/>
      <c r="AU134" s="63"/>
      <c r="AV134" s="318">
        <v>18.2</v>
      </c>
      <c r="AW134" s="62"/>
      <c r="AX134" s="63"/>
      <c r="AY134" s="62"/>
      <c r="AZ134" s="62"/>
      <c r="BA134" s="62"/>
      <c r="BB134" s="63"/>
      <c r="BC134" s="63"/>
      <c r="BD134" s="62"/>
      <c r="BE134" s="62"/>
      <c r="BF134" s="62"/>
      <c r="BG134" s="62"/>
      <c r="BH134" s="171">
        <v>21</v>
      </c>
      <c r="BI134" s="63"/>
      <c r="BJ134" s="63"/>
      <c r="BK134" s="62"/>
      <c r="BL134" s="62"/>
      <c r="BM134" s="62"/>
      <c r="BN134" s="62"/>
      <c r="BO134" s="62"/>
      <c r="BP134" s="64"/>
      <c r="BQ134" s="63"/>
      <c r="BR134" s="62"/>
      <c r="BS134" s="62"/>
      <c r="BT134" s="62"/>
      <c r="BU134" s="62"/>
      <c r="BV134" s="62"/>
      <c r="BW134" s="62"/>
      <c r="BX134" s="62"/>
      <c r="BY134" s="62"/>
      <c r="BZ134" s="62"/>
      <c r="CA134" s="62"/>
      <c r="CB134" s="62"/>
      <c r="CC134" s="51"/>
      <c r="CD134" s="63"/>
      <c r="CE134" s="63"/>
      <c r="CF134" s="62"/>
      <c r="CG134" s="63"/>
      <c r="CH134" s="62"/>
      <c r="CI134" s="63"/>
      <c r="CJ134" s="62"/>
      <c r="CK134" s="63"/>
      <c r="CL134" s="63"/>
      <c r="CM134" s="63"/>
      <c r="CN134" s="63"/>
      <c r="CO134" s="63"/>
      <c r="CP134" s="63"/>
      <c r="CQ134" s="63"/>
      <c r="CR134" s="63"/>
      <c r="CS134" s="63"/>
      <c r="CT134" s="63"/>
      <c r="CU134" s="63"/>
      <c r="CV134" s="63"/>
      <c r="CW134" s="63"/>
      <c r="CX134" s="63"/>
      <c r="CY134" s="63"/>
      <c r="CZ134" s="63"/>
      <c r="DA134" s="63"/>
      <c r="DB134" s="63"/>
      <c r="DC134" s="63"/>
      <c r="DD134" s="63"/>
      <c r="DE134" s="63"/>
      <c r="DF134" s="63"/>
      <c r="DG134" s="63"/>
      <c r="DH134" s="63"/>
      <c r="DI134" s="63"/>
      <c r="DJ134" s="63"/>
      <c r="DK134" s="63"/>
      <c r="DL134" s="63"/>
      <c r="DM134" s="63"/>
      <c r="DN134" s="63"/>
      <c r="DO134" s="63"/>
      <c r="DP134" s="63"/>
      <c r="DQ134" s="158"/>
      <c r="DR134" s="158"/>
      <c r="DS134" s="158"/>
      <c r="DT134" s="158"/>
      <c r="DU134" s="158"/>
      <c r="DV134" s="158"/>
      <c r="DW134" s="158"/>
      <c r="DX134" s="158"/>
      <c r="DY134" s="158"/>
      <c r="DZ134" s="65"/>
      <c r="EA134" s="65"/>
      <c r="EB134" s="65"/>
      <c r="EC134" s="65"/>
      <c r="ED134" s="65"/>
      <c r="EE134" s="65"/>
      <c r="EF134" s="65"/>
      <c r="EG134" s="65"/>
    </row>
    <row r="135" spans="1:137" s="5" customFormat="1" ht="15.9" customHeight="1" outlineLevel="1" x14ac:dyDescent="0.3">
      <c r="A135" s="6" t="s">
        <v>22</v>
      </c>
      <c r="B135" s="6"/>
      <c r="C135" s="50" t="s">
        <v>24</v>
      </c>
      <c r="D135" s="147"/>
      <c r="E135" s="6" t="s">
        <v>189</v>
      </c>
      <c r="F135" s="6" t="s">
        <v>283</v>
      </c>
      <c r="G135" s="11" t="s">
        <v>286</v>
      </c>
      <c r="H135" s="11"/>
      <c r="I135" s="205" cm="1">
        <f t="array" ref="I135">IFERROR(LOOKUP(2,1/(N135:GR135&lt;&gt;""),N$4:DRA$4),"")</f>
        <v>45213</v>
      </c>
      <c r="J135" s="170" cm="1">
        <f t="array" ref="J135">IFERROR(_xlfn.XLOOKUP(TRUE,N135:EH135&lt;&gt;"",N135:EH135,,,-1)," ")</f>
        <v>24.4</v>
      </c>
      <c r="K135" s="49">
        <v>22.5</v>
      </c>
      <c r="L135" s="49"/>
      <c r="M135" s="284" t="s">
        <v>285</v>
      </c>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2"/>
      <c r="AK135" s="62"/>
      <c r="AL135" s="62"/>
      <c r="AM135" s="62"/>
      <c r="AN135" s="62"/>
      <c r="AO135" s="62"/>
      <c r="AP135" s="62"/>
      <c r="AQ135" s="62"/>
      <c r="AR135" s="62"/>
      <c r="AS135" s="62"/>
      <c r="AT135" s="62"/>
      <c r="AU135" s="63"/>
      <c r="AV135" s="63"/>
      <c r="AW135" s="62"/>
      <c r="AX135" s="63"/>
      <c r="AY135" s="62"/>
      <c r="AZ135" s="62"/>
      <c r="BA135" s="62"/>
      <c r="BB135" s="63"/>
      <c r="BC135" s="63"/>
      <c r="BD135" s="62"/>
      <c r="BE135" s="62"/>
      <c r="BF135" s="62"/>
      <c r="BG135" s="62"/>
      <c r="BH135" s="62"/>
      <c r="BI135" s="63"/>
      <c r="BJ135" s="63"/>
      <c r="BK135" s="62"/>
      <c r="BL135" s="62"/>
      <c r="BM135" s="62"/>
      <c r="BN135" s="62"/>
      <c r="BO135" s="62"/>
      <c r="BP135" s="64"/>
      <c r="BQ135" s="63"/>
      <c r="BR135" s="62"/>
      <c r="BS135" s="62"/>
      <c r="BT135" s="62"/>
      <c r="BU135" s="62"/>
      <c r="BV135" s="62"/>
      <c r="BW135" s="62"/>
      <c r="BX135" s="62"/>
      <c r="BY135" s="62"/>
      <c r="BZ135" s="62"/>
      <c r="CA135" s="62"/>
      <c r="CB135" s="62"/>
      <c r="CC135" s="51"/>
      <c r="CD135" s="63"/>
      <c r="CE135" s="63"/>
      <c r="CF135" s="62"/>
      <c r="CG135" s="63"/>
      <c r="CH135" s="62"/>
      <c r="CI135" s="63"/>
      <c r="CJ135" s="62"/>
      <c r="CK135" s="63"/>
      <c r="CL135" s="63"/>
      <c r="CM135" s="63"/>
      <c r="CN135" s="63">
        <v>24.4</v>
      </c>
      <c r="CO135" s="63"/>
      <c r="CP135" s="63"/>
      <c r="CQ135" s="63"/>
      <c r="CR135" s="63"/>
      <c r="CS135" s="63"/>
      <c r="CT135" s="63"/>
      <c r="CU135" s="63"/>
      <c r="CV135" s="63"/>
      <c r="CW135" s="63"/>
      <c r="CX135" s="63"/>
      <c r="CY135" s="63"/>
      <c r="CZ135" s="63"/>
      <c r="DA135" s="63"/>
      <c r="DB135" s="63"/>
      <c r="DC135" s="63"/>
      <c r="DD135" s="63"/>
      <c r="DE135" s="63"/>
      <c r="DF135" s="63"/>
      <c r="DG135" s="63"/>
      <c r="DH135" s="63"/>
      <c r="DI135" s="63"/>
      <c r="DJ135" s="63"/>
      <c r="DK135" s="63"/>
      <c r="DL135" s="63"/>
      <c r="DM135" s="63"/>
      <c r="DN135" s="63"/>
      <c r="DO135" s="63"/>
      <c r="DP135" s="63"/>
      <c r="DQ135" s="158"/>
      <c r="DR135" s="158"/>
      <c r="DS135" s="158"/>
      <c r="DT135" s="158"/>
      <c r="DU135" s="158"/>
      <c r="DV135" s="158"/>
      <c r="DW135" s="158"/>
      <c r="DX135" s="158"/>
      <c r="DY135" s="158"/>
      <c r="DZ135" s="65"/>
      <c r="EA135" s="65"/>
      <c r="EB135" s="65"/>
      <c r="EC135" s="65"/>
      <c r="ED135" s="65"/>
      <c r="EE135" s="65"/>
      <c r="EF135" s="65"/>
      <c r="EG135" s="65"/>
    </row>
    <row r="136" spans="1:137" s="5" customFormat="1" ht="15.9" customHeight="1" outlineLevel="1" x14ac:dyDescent="0.3">
      <c r="A136" s="6" t="s">
        <v>22</v>
      </c>
      <c r="B136" s="6"/>
      <c r="C136" s="50" t="s">
        <v>24</v>
      </c>
      <c r="D136" s="147"/>
      <c r="E136" s="6" t="s">
        <v>189</v>
      </c>
      <c r="F136" s="6" t="s">
        <v>283</v>
      </c>
      <c r="G136" s="11" t="s">
        <v>287</v>
      </c>
      <c r="H136" s="11"/>
      <c r="I136" s="205" cm="1">
        <f t="array" ref="I136">IFERROR(LOOKUP(2,1/(N136:GR136&lt;&gt;""),N$4:DRA$4),"")</f>
        <v>45213</v>
      </c>
      <c r="J136" s="170" cm="1">
        <f t="array" ref="J136">IFERROR(_xlfn.XLOOKUP(TRUE,N136:EH136&lt;&gt;"",N136:EH136,,,-1)," ")</f>
        <v>24</v>
      </c>
      <c r="K136" s="49">
        <v>22.5</v>
      </c>
      <c r="L136" s="49"/>
      <c r="M136" s="284" t="s">
        <v>285</v>
      </c>
      <c r="N136" s="62"/>
      <c r="O136" s="62"/>
      <c r="P136" s="62"/>
      <c r="Q136" s="62"/>
      <c r="R136" s="62"/>
      <c r="S136" s="62"/>
      <c r="T136" s="62"/>
      <c r="U136" s="62"/>
      <c r="V136" s="62"/>
      <c r="W136" s="62"/>
      <c r="X136" s="62"/>
      <c r="Y136" s="62"/>
      <c r="Z136" s="62"/>
      <c r="AA136" s="62"/>
      <c r="AB136" s="62"/>
      <c r="AC136" s="62"/>
      <c r="AD136" s="62"/>
      <c r="AE136" s="62"/>
      <c r="AF136" s="62"/>
      <c r="AG136" s="62"/>
      <c r="AH136" s="62"/>
      <c r="AI136" s="62"/>
      <c r="AJ136" s="62"/>
      <c r="AK136" s="62"/>
      <c r="AL136" s="62"/>
      <c r="AM136" s="62"/>
      <c r="AN136" s="62"/>
      <c r="AO136" s="62"/>
      <c r="AP136" s="62"/>
      <c r="AQ136" s="62"/>
      <c r="AR136" s="62"/>
      <c r="AS136" s="62"/>
      <c r="AT136" s="62"/>
      <c r="AU136" s="63"/>
      <c r="AV136" s="63"/>
      <c r="AW136" s="62"/>
      <c r="AX136" s="63"/>
      <c r="AY136" s="62"/>
      <c r="AZ136" s="62"/>
      <c r="BA136" s="62"/>
      <c r="BB136" s="63"/>
      <c r="BC136" s="63"/>
      <c r="BD136" s="62"/>
      <c r="BE136" s="62"/>
      <c r="BF136" s="62"/>
      <c r="BG136" s="62"/>
      <c r="BH136" s="62"/>
      <c r="BI136" s="63"/>
      <c r="BJ136" s="63"/>
      <c r="BK136" s="62"/>
      <c r="BL136" s="62"/>
      <c r="BM136" s="62"/>
      <c r="BN136" s="62"/>
      <c r="BO136" s="62"/>
      <c r="BP136" s="64"/>
      <c r="BQ136" s="63"/>
      <c r="BR136" s="62"/>
      <c r="BS136" s="62"/>
      <c r="BT136" s="62"/>
      <c r="BU136" s="62"/>
      <c r="BV136" s="62"/>
      <c r="BW136" s="62"/>
      <c r="BX136" s="62"/>
      <c r="BY136" s="62"/>
      <c r="BZ136" s="62"/>
      <c r="CA136" s="62"/>
      <c r="CB136" s="62"/>
      <c r="CC136" s="51"/>
      <c r="CD136" s="63"/>
      <c r="CE136" s="63"/>
      <c r="CF136" s="62"/>
      <c r="CG136" s="63"/>
      <c r="CH136" s="62"/>
      <c r="CI136" s="63"/>
      <c r="CJ136" s="62"/>
      <c r="CK136" s="63"/>
      <c r="CL136" s="63"/>
      <c r="CM136" s="63"/>
      <c r="CN136" s="63">
        <v>24</v>
      </c>
      <c r="CO136" s="63"/>
      <c r="CP136" s="63"/>
      <c r="CQ136" s="63"/>
      <c r="CR136" s="63"/>
      <c r="CS136" s="63"/>
      <c r="CT136" s="63"/>
      <c r="CU136" s="63"/>
      <c r="CV136" s="63"/>
      <c r="CW136" s="63"/>
      <c r="CX136" s="63"/>
      <c r="CY136" s="63"/>
      <c r="CZ136" s="63"/>
      <c r="DA136" s="63"/>
      <c r="DB136" s="63"/>
      <c r="DC136" s="63"/>
      <c r="DD136" s="63"/>
      <c r="DE136" s="63"/>
      <c r="DF136" s="63"/>
      <c r="DG136" s="63"/>
      <c r="DH136" s="63"/>
      <c r="DI136" s="63"/>
      <c r="DJ136" s="63"/>
      <c r="DK136" s="63"/>
      <c r="DL136" s="63"/>
      <c r="DM136" s="63"/>
      <c r="DN136" s="63"/>
      <c r="DO136" s="63"/>
      <c r="DP136" s="63"/>
      <c r="DQ136" s="158"/>
      <c r="DR136" s="158"/>
      <c r="DS136" s="158"/>
      <c r="DT136" s="158"/>
      <c r="DU136" s="158"/>
      <c r="DV136" s="158"/>
      <c r="DW136" s="158"/>
      <c r="DX136" s="158"/>
      <c r="DY136" s="158"/>
      <c r="DZ136" s="65"/>
      <c r="EA136" s="65"/>
      <c r="EB136" s="65"/>
      <c r="EC136" s="65"/>
      <c r="ED136" s="65"/>
      <c r="EE136" s="65"/>
      <c r="EF136" s="65"/>
      <c r="EG136" s="65"/>
    </row>
    <row r="137" spans="1:137" s="10" customFormat="1" ht="15.9" customHeight="1" outlineLevel="1" x14ac:dyDescent="0.3">
      <c r="A137" s="6" t="s">
        <v>22</v>
      </c>
      <c r="B137" s="6"/>
      <c r="C137" s="50" t="s">
        <v>24</v>
      </c>
      <c r="D137" s="147">
        <v>54.49</v>
      </c>
      <c r="E137" s="6" t="s">
        <v>189</v>
      </c>
      <c r="F137" s="6" t="s">
        <v>288</v>
      </c>
      <c r="G137" s="11" t="s">
        <v>289</v>
      </c>
      <c r="H137" s="11"/>
      <c r="I137" s="205" cm="1">
        <f t="array" ref="I137">IFERROR(LOOKUP(2,1/(N137:GR137&lt;&gt;""),N$4:DRA$4),"")</f>
        <v>45202</v>
      </c>
      <c r="J137" s="170" cm="1">
        <f t="array" ref="J137">IFERROR(_xlfn.XLOOKUP(TRUE,N137:EH137&lt;&gt;"",N137:EH137,,,-1)," ")</f>
        <v>23.4</v>
      </c>
      <c r="K137" s="49"/>
      <c r="L137" s="49">
        <v>24.5</v>
      </c>
      <c r="M137" s="284" t="s">
        <v>151</v>
      </c>
      <c r="N137" s="62"/>
      <c r="O137" s="62"/>
      <c r="P137" s="62"/>
      <c r="Q137" s="62"/>
      <c r="R137" s="62"/>
      <c r="S137" s="62"/>
      <c r="T137" s="62"/>
      <c r="U137" s="62"/>
      <c r="V137" s="62"/>
      <c r="W137" s="62"/>
      <c r="X137" s="62"/>
      <c r="Y137" s="62"/>
      <c r="Z137" s="62"/>
      <c r="AA137" s="62"/>
      <c r="AB137" s="62"/>
      <c r="AC137" s="62"/>
      <c r="AD137" s="62"/>
      <c r="AE137" s="62"/>
      <c r="AF137" s="62"/>
      <c r="AG137" s="62"/>
      <c r="AH137" s="62"/>
      <c r="AI137" s="62"/>
      <c r="AJ137" s="62"/>
      <c r="AK137" s="62"/>
      <c r="AL137" s="62"/>
      <c r="AM137" s="62"/>
      <c r="AN137" s="62"/>
      <c r="AO137" s="62"/>
      <c r="AP137" s="62"/>
      <c r="AQ137" s="62"/>
      <c r="AR137" s="62"/>
      <c r="AS137" s="62"/>
      <c r="AT137" s="62"/>
      <c r="AU137" s="63"/>
      <c r="AV137" s="63"/>
      <c r="AW137" s="62"/>
      <c r="AX137" s="63"/>
      <c r="AY137" s="62"/>
      <c r="AZ137" s="62"/>
      <c r="BA137" s="62"/>
      <c r="BB137" s="63"/>
      <c r="BC137" s="63"/>
      <c r="BD137" s="62"/>
      <c r="BE137" s="62"/>
      <c r="BF137" s="62"/>
      <c r="BG137" s="62"/>
      <c r="BH137" s="62"/>
      <c r="BI137" s="63"/>
      <c r="BJ137" s="63"/>
      <c r="BK137" s="62" t="s">
        <v>290</v>
      </c>
      <c r="BL137" s="64"/>
      <c r="BM137" s="62"/>
      <c r="BN137" s="62"/>
      <c r="BO137" s="62"/>
      <c r="BP137" s="64"/>
      <c r="BQ137" s="63"/>
      <c r="BR137" s="63"/>
      <c r="BS137" s="62"/>
      <c r="BT137" s="63"/>
      <c r="BU137" s="63"/>
      <c r="BV137" s="63"/>
      <c r="BW137" s="63"/>
      <c r="BX137" s="63"/>
      <c r="BY137" s="63"/>
      <c r="BZ137" s="63"/>
      <c r="CA137" s="63"/>
      <c r="CB137" s="62"/>
      <c r="CC137" s="51">
        <v>23.4</v>
      </c>
      <c r="CD137" s="63"/>
      <c r="CE137" s="63"/>
      <c r="CF137" s="62"/>
      <c r="CG137" s="63"/>
      <c r="CH137" s="62"/>
      <c r="CI137" s="63"/>
      <c r="CJ137" s="62"/>
      <c r="CK137" s="63"/>
      <c r="CL137" s="63"/>
      <c r="CM137" s="63"/>
      <c r="CN137" s="63"/>
      <c r="CO137" s="63"/>
      <c r="CP137" s="63"/>
      <c r="CQ137" s="63"/>
      <c r="CR137" s="63"/>
      <c r="CS137" s="63"/>
      <c r="CT137" s="63"/>
      <c r="CU137" s="63"/>
      <c r="CV137" s="63"/>
      <c r="CW137" s="63"/>
      <c r="CX137" s="63"/>
      <c r="CY137" s="63"/>
      <c r="CZ137" s="63"/>
      <c r="DA137" s="63"/>
      <c r="DB137" s="63"/>
      <c r="DC137" s="63"/>
      <c r="DD137" s="63"/>
      <c r="DE137" s="63"/>
      <c r="DF137" s="63"/>
      <c r="DG137" s="63"/>
      <c r="DH137" s="63"/>
      <c r="DI137" s="63"/>
      <c r="DJ137" s="63"/>
      <c r="DK137" s="63"/>
      <c r="DL137" s="63"/>
      <c r="DM137" s="63"/>
      <c r="DN137" s="63"/>
      <c r="DO137" s="63"/>
      <c r="DP137" s="63"/>
      <c r="DQ137" s="158"/>
      <c r="DR137" s="158"/>
      <c r="DS137" s="158"/>
      <c r="DT137" s="158"/>
      <c r="DU137" s="158"/>
      <c r="DV137" s="158"/>
      <c r="DW137" s="158"/>
      <c r="DX137" s="158"/>
      <c r="DY137" s="158"/>
      <c r="DZ137" s="59"/>
      <c r="EA137" s="59"/>
      <c r="EB137" s="59"/>
      <c r="EC137" s="59"/>
      <c r="ED137" s="59"/>
      <c r="EE137" s="59"/>
      <c r="EF137" s="59"/>
      <c r="EG137" s="59"/>
    </row>
    <row r="138" spans="1:137" s="10" customFormat="1" ht="15.9" customHeight="1" outlineLevel="1" x14ac:dyDescent="0.3">
      <c r="A138" s="7" t="s">
        <v>22</v>
      </c>
      <c r="B138" s="7" t="s">
        <v>23</v>
      </c>
      <c r="C138" s="8" t="s">
        <v>24</v>
      </c>
      <c r="D138" s="146">
        <v>40.39</v>
      </c>
      <c r="E138" s="7" t="s">
        <v>189</v>
      </c>
      <c r="F138" s="7" t="s">
        <v>291</v>
      </c>
      <c r="G138" s="9" t="s">
        <v>292</v>
      </c>
      <c r="H138" s="9"/>
      <c r="I138" s="204" cm="1">
        <f t="array" ref="I138">IFERROR(LOOKUP(2,1/(N138:GR138&lt;&gt;""),N$4:DRA$4),"")</f>
        <v>45202</v>
      </c>
      <c r="J138" s="169" cm="1">
        <f t="array" ref="J138">IFERROR(_xlfn.XLOOKUP(TRUE,N138:EH138&lt;&gt;"",N138:EH138,,,-1)," ")</f>
        <v>23.3</v>
      </c>
      <c r="K138" s="45"/>
      <c r="L138" s="45">
        <v>24.5</v>
      </c>
      <c r="M138" s="282" t="s">
        <v>151</v>
      </c>
      <c r="N138" s="57"/>
      <c r="O138" s="57"/>
      <c r="P138" s="57"/>
      <c r="Q138" s="57"/>
      <c r="R138" s="57"/>
      <c r="S138" s="57"/>
      <c r="T138" s="57"/>
      <c r="U138" s="57"/>
      <c r="V138" s="57"/>
      <c r="W138" s="57"/>
      <c r="X138" s="57"/>
      <c r="Y138" s="57"/>
      <c r="Z138" s="57"/>
      <c r="AA138" s="57"/>
      <c r="AB138" s="57"/>
      <c r="AC138" s="57"/>
      <c r="AD138" s="57"/>
      <c r="AE138" s="57"/>
      <c r="AF138" s="57"/>
      <c r="AG138" s="57"/>
      <c r="AH138" s="57"/>
      <c r="AI138" s="57"/>
      <c r="AJ138" s="57"/>
      <c r="AK138" s="57"/>
      <c r="AL138" s="57"/>
      <c r="AM138" s="57"/>
      <c r="AN138" s="57"/>
      <c r="AO138" s="57"/>
      <c r="AP138" s="57"/>
      <c r="AQ138" s="57"/>
      <c r="AR138" s="57"/>
      <c r="AS138" s="57"/>
      <c r="AT138" s="57"/>
      <c r="AU138" s="61"/>
      <c r="AV138" s="61"/>
      <c r="AW138" s="57"/>
      <c r="AX138" s="61"/>
      <c r="AY138" s="57"/>
      <c r="AZ138" s="57"/>
      <c r="BA138" s="57"/>
      <c r="BB138" s="61"/>
      <c r="BC138" s="61"/>
      <c r="BD138" s="57"/>
      <c r="BE138" s="57"/>
      <c r="BF138" s="57"/>
      <c r="BG138" s="57"/>
      <c r="BH138" s="57"/>
      <c r="BI138" s="61"/>
      <c r="BJ138" s="61"/>
      <c r="BK138" s="57"/>
      <c r="BL138" s="57"/>
      <c r="BM138" s="57"/>
      <c r="BN138" s="57"/>
      <c r="BO138" s="57"/>
      <c r="BP138" s="58"/>
      <c r="BQ138" s="61"/>
      <c r="BR138" s="57"/>
      <c r="BS138" s="57"/>
      <c r="BT138" s="57"/>
      <c r="BU138" s="57">
        <v>23</v>
      </c>
      <c r="BV138" s="57"/>
      <c r="BW138" s="57"/>
      <c r="BX138" s="57"/>
      <c r="BY138" s="57"/>
      <c r="BZ138" s="57"/>
      <c r="CA138" s="57"/>
      <c r="CB138" s="57"/>
      <c r="CC138" s="27">
        <v>23.3</v>
      </c>
      <c r="CD138" s="61"/>
      <c r="CE138" s="61"/>
      <c r="CF138" s="57"/>
      <c r="CG138" s="57"/>
      <c r="CH138" s="57"/>
      <c r="CI138" s="61"/>
      <c r="CJ138" s="57"/>
      <c r="CK138" s="61"/>
      <c r="CL138" s="61"/>
      <c r="CM138" s="61"/>
      <c r="CN138" s="61"/>
      <c r="CO138" s="61"/>
      <c r="CP138" s="61"/>
      <c r="CQ138" s="61"/>
      <c r="CR138" s="61"/>
      <c r="CS138" s="61"/>
      <c r="CT138" s="61"/>
      <c r="CU138" s="61"/>
      <c r="CV138" s="61"/>
      <c r="CW138" s="61"/>
      <c r="CX138" s="61"/>
      <c r="CY138" s="61"/>
      <c r="CZ138" s="61"/>
      <c r="DA138" s="61"/>
      <c r="DB138" s="61"/>
      <c r="DC138" s="61"/>
      <c r="DD138" s="61"/>
      <c r="DE138" s="61"/>
      <c r="DF138" s="61"/>
      <c r="DG138" s="61"/>
      <c r="DH138" s="61"/>
      <c r="DI138" s="61"/>
      <c r="DJ138" s="61"/>
      <c r="DK138" s="61"/>
      <c r="DL138" s="61"/>
      <c r="DM138" s="61"/>
      <c r="DN138" s="61"/>
      <c r="DO138" s="61"/>
      <c r="DP138" s="61"/>
      <c r="DQ138" s="156"/>
      <c r="DR138" s="156"/>
      <c r="DS138" s="156"/>
      <c r="DT138" s="156"/>
      <c r="DU138" s="156"/>
      <c r="DV138" s="156"/>
      <c r="DW138" s="156"/>
      <c r="DX138" s="156"/>
      <c r="DY138" s="156"/>
      <c r="DZ138" s="59"/>
      <c r="EA138" s="59"/>
      <c r="EB138" s="59"/>
      <c r="EC138" s="59"/>
      <c r="ED138" s="59"/>
      <c r="EE138" s="59"/>
      <c r="EF138" s="59"/>
      <c r="EG138" s="59"/>
    </row>
    <row r="139" spans="1:137" s="5" customFormat="1" ht="15.9" customHeight="1" outlineLevel="1" x14ac:dyDescent="0.3">
      <c r="A139" s="7" t="s">
        <v>22</v>
      </c>
      <c r="B139" s="7" t="s">
        <v>23</v>
      </c>
      <c r="C139" s="8" t="s">
        <v>24</v>
      </c>
      <c r="D139" s="146"/>
      <c r="E139" s="7" t="s">
        <v>189</v>
      </c>
      <c r="F139" s="7" t="s">
        <v>291</v>
      </c>
      <c r="G139" s="9" t="s">
        <v>293</v>
      </c>
      <c r="H139" s="9"/>
      <c r="I139" s="204" t="str" cm="1">
        <f t="array" ref="I139">IFERROR(LOOKUP(2,1/(N139:GR139&lt;&gt;""),N$4:DRA$4),"")</f>
        <v/>
      </c>
      <c r="J139" s="169" t="str" cm="1">
        <f t="array" ref="J139">IFERROR(_xlfn.XLOOKUP(TRUE,N139:EH139&lt;&gt;"",N139:EH139,,,-1)," ")</f>
        <v xml:space="preserve"> </v>
      </c>
      <c r="K139" s="45"/>
      <c r="L139" s="45">
        <v>24.5</v>
      </c>
      <c r="M139" s="282" t="s">
        <v>151</v>
      </c>
      <c r="N139" s="57"/>
      <c r="O139" s="57"/>
      <c r="P139" s="57"/>
      <c r="Q139" s="57"/>
      <c r="R139" s="57"/>
      <c r="S139" s="57"/>
      <c r="T139" s="57"/>
      <c r="U139" s="57"/>
      <c r="V139" s="57"/>
      <c r="W139" s="57"/>
      <c r="X139" s="57"/>
      <c r="Y139" s="57"/>
      <c r="Z139" s="57"/>
      <c r="AA139" s="57"/>
      <c r="AB139" s="57"/>
      <c r="AC139" s="57"/>
      <c r="AD139" s="57"/>
      <c r="AE139" s="57"/>
      <c r="AF139" s="57"/>
      <c r="AG139" s="57"/>
      <c r="AH139" s="57"/>
      <c r="AI139" s="57"/>
      <c r="AJ139" s="57"/>
      <c r="AK139" s="57"/>
      <c r="AL139" s="57"/>
      <c r="AM139" s="57"/>
      <c r="AN139" s="57"/>
      <c r="AO139" s="57"/>
      <c r="AP139" s="57"/>
      <c r="AQ139" s="57"/>
      <c r="AR139" s="57"/>
      <c r="AS139" s="57"/>
      <c r="AT139" s="57"/>
      <c r="AU139" s="61"/>
      <c r="AV139" s="61"/>
      <c r="AW139" s="57"/>
      <c r="AX139" s="61"/>
      <c r="AY139" s="57"/>
      <c r="AZ139" s="57"/>
      <c r="BA139" s="57"/>
      <c r="BB139" s="61"/>
      <c r="BC139" s="61"/>
      <c r="BD139" s="57"/>
      <c r="BE139" s="57"/>
      <c r="BF139" s="57"/>
      <c r="BG139" s="57"/>
      <c r="BH139" s="57"/>
      <c r="BI139" s="61"/>
      <c r="BJ139" s="61"/>
      <c r="BK139" s="57"/>
      <c r="BL139" s="57"/>
      <c r="BM139" s="57"/>
      <c r="BN139" s="57"/>
      <c r="BO139" s="57"/>
      <c r="BP139" s="58"/>
      <c r="BQ139" s="61"/>
      <c r="BR139" s="57"/>
      <c r="BS139" s="57"/>
      <c r="BT139" s="57"/>
      <c r="BU139" s="57"/>
      <c r="BV139" s="57"/>
      <c r="BW139" s="57"/>
      <c r="BX139" s="57"/>
      <c r="BY139" s="57"/>
      <c r="BZ139" s="57"/>
      <c r="CA139" s="57"/>
      <c r="CB139" s="57"/>
      <c r="CC139" s="27"/>
      <c r="CD139" s="61"/>
      <c r="CE139" s="61"/>
      <c r="CF139" s="57"/>
      <c r="CG139" s="57"/>
      <c r="CH139" s="57"/>
      <c r="CI139" s="61"/>
      <c r="CJ139" s="57"/>
      <c r="CK139" s="61"/>
      <c r="CL139" s="61"/>
      <c r="CM139" s="61"/>
      <c r="CN139" s="61"/>
      <c r="CO139" s="61"/>
      <c r="CP139" s="61"/>
      <c r="CQ139" s="61"/>
      <c r="CR139" s="61"/>
      <c r="CS139" s="61"/>
      <c r="CT139" s="61"/>
      <c r="CU139" s="61"/>
      <c r="CV139" s="61"/>
      <c r="CW139" s="61"/>
      <c r="CX139" s="61"/>
      <c r="CY139" s="61"/>
      <c r="CZ139" s="61"/>
      <c r="DA139" s="61"/>
      <c r="DB139" s="61"/>
      <c r="DC139" s="61"/>
      <c r="DD139" s="61"/>
      <c r="DE139" s="61"/>
      <c r="DF139" s="61"/>
      <c r="DG139" s="61"/>
      <c r="DH139" s="61"/>
      <c r="DI139" s="61"/>
      <c r="DJ139" s="61"/>
      <c r="DK139" s="61"/>
      <c r="DL139" s="61"/>
      <c r="DM139" s="61"/>
      <c r="DN139" s="61"/>
      <c r="DO139" s="61"/>
      <c r="DP139" s="61"/>
      <c r="DQ139" s="156"/>
      <c r="DR139" s="156"/>
      <c r="DS139" s="156"/>
      <c r="DT139" s="156"/>
      <c r="DU139" s="156"/>
      <c r="DV139" s="156"/>
      <c r="DW139" s="156"/>
      <c r="DX139" s="156"/>
      <c r="DY139" s="156"/>
      <c r="DZ139" s="65"/>
      <c r="EA139" s="65"/>
      <c r="EB139" s="65"/>
      <c r="EC139" s="65"/>
      <c r="ED139" s="65"/>
      <c r="EE139" s="65"/>
      <c r="EF139" s="65"/>
      <c r="EG139" s="65"/>
    </row>
    <row r="140" spans="1:137" s="10" customFormat="1" ht="15.9" customHeight="1" outlineLevel="1" x14ac:dyDescent="0.3">
      <c r="A140" s="7" t="s">
        <v>22</v>
      </c>
      <c r="B140" s="7" t="s">
        <v>23</v>
      </c>
      <c r="C140" s="8" t="s">
        <v>24</v>
      </c>
      <c r="D140" s="146"/>
      <c r="E140" s="7" t="s">
        <v>189</v>
      </c>
      <c r="F140" s="7" t="s">
        <v>291</v>
      </c>
      <c r="G140" s="9" t="s">
        <v>294</v>
      </c>
      <c r="H140" s="9"/>
      <c r="I140" s="204" t="str" cm="1">
        <f t="array" ref="I140">IFERROR(LOOKUP(2,1/(N140:GR140&lt;&gt;""),N$4:DRA$4),"")</f>
        <v/>
      </c>
      <c r="J140" s="169" t="str" cm="1">
        <f t="array" ref="J140">IFERROR(_xlfn.XLOOKUP(TRUE,N140:EH140&lt;&gt;"",N140:EH140,,,-1)," ")</f>
        <v xml:space="preserve"> </v>
      </c>
      <c r="K140" s="45"/>
      <c r="L140" s="45">
        <v>24.5</v>
      </c>
      <c r="M140" s="282" t="s">
        <v>151</v>
      </c>
      <c r="N140" s="57"/>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c r="AQ140" s="57"/>
      <c r="AR140" s="57"/>
      <c r="AS140" s="57"/>
      <c r="AT140" s="57"/>
      <c r="AU140" s="61"/>
      <c r="AV140" s="61"/>
      <c r="AW140" s="57"/>
      <c r="AX140" s="61"/>
      <c r="AY140" s="57"/>
      <c r="AZ140" s="57"/>
      <c r="BA140" s="57"/>
      <c r="BB140" s="61"/>
      <c r="BC140" s="61"/>
      <c r="BD140" s="57"/>
      <c r="BE140" s="57"/>
      <c r="BF140" s="57"/>
      <c r="BG140" s="57"/>
      <c r="BH140" s="57"/>
      <c r="BI140" s="61"/>
      <c r="BJ140" s="61"/>
      <c r="BK140" s="57"/>
      <c r="BL140" s="57"/>
      <c r="BM140" s="57"/>
      <c r="BN140" s="57"/>
      <c r="BO140" s="57"/>
      <c r="BP140" s="58"/>
      <c r="BQ140" s="61"/>
      <c r="BR140" s="57"/>
      <c r="BS140" s="57"/>
      <c r="BT140" s="57"/>
      <c r="BU140" s="57"/>
      <c r="BV140" s="57"/>
      <c r="BW140" s="57"/>
      <c r="BX140" s="57"/>
      <c r="BY140" s="57"/>
      <c r="BZ140" s="57"/>
      <c r="CA140" s="57"/>
      <c r="CB140" s="57"/>
      <c r="CC140" s="27"/>
      <c r="CD140" s="61"/>
      <c r="CE140" s="61"/>
      <c r="CF140" s="57"/>
      <c r="CG140" s="57"/>
      <c r="CH140" s="57"/>
      <c r="CI140" s="61"/>
      <c r="CJ140" s="57"/>
      <c r="CK140" s="61"/>
      <c r="CL140" s="61"/>
      <c r="CM140" s="61"/>
      <c r="CN140" s="61"/>
      <c r="CO140" s="61"/>
      <c r="CP140" s="61"/>
      <c r="CQ140" s="61"/>
      <c r="CR140" s="61"/>
      <c r="CS140" s="61"/>
      <c r="CT140" s="61"/>
      <c r="CU140" s="61"/>
      <c r="CV140" s="61"/>
      <c r="CW140" s="61"/>
      <c r="CX140" s="61"/>
      <c r="CY140" s="61"/>
      <c r="CZ140" s="61"/>
      <c r="DA140" s="61"/>
      <c r="DB140" s="61"/>
      <c r="DC140" s="61"/>
      <c r="DD140" s="61"/>
      <c r="DE140" s="61"/>
      <c r="DF140" s="61"/>
      <c r="DG140" s="61"/>
      <c r="DH140" s="61"/>
      <c r="DI140" s="61"/>
      <c r="DJ140" s="61"/>
      <c r="DK140" s="61"/>
      <c r="DL140" s="61"/>
      <c r="DM140" s="61"/>
      <c r="DN140" s="61"/>
      <c r="DO140" s="61"/>
      <c r="DP140" s="61"/>
      <c r="DQ140" s="156"/>
      <c r="DR140" s="156"/>
      <c r="DS140" s="156"/>
      <c r="DT140" s="156"/>
      <c r="DU140" s="156"/>
      <c r="DV140" s="156"/>
      <c r="DW140" s="156"/>
      <c r="DX140" s="156"/>
      <c r="DY140" s="156"/>
      <c r="DZ140" s="65"/>
      <c r="EA140" s="65"/>
      <c r="EB140" s="65"/>
      <c r="EC140" s="65"/>
      <c r="ED140" s="65"/>
      <c r="EE140" s="65"/>
      <c r="EF140" s="65"/>
      <c r="EG140" s="65"/>
    </row>
    <row r="141" spans="1:137" s="135" customFormat="1" ht="15.9" customHeight="1" outlineLevel="1" x14ac:dyDescent="0.3">
      <c r="A141" s="6" t="s">
        <v>23</v>
      </c>
      <c r="B141" s="6" t="s">
        <v>23</v>
      </c>
      <c r="C141" s="50" t="s">
        <v>24</v>
      </c>
      <c r="D141" s="147">
        <v>34.83</v>
      </c>
      <c r="E141" s="6" t="s">
        <v>189</v>
      </c>
      <c r="F141" s="6" t="s">
        <v>295</v>
      </c>
      <c r="G141" s="11" t="s">
        <v>296</v>
      </c>
      <c r="H141" s="11"/>
      <c r="I141" s="205" cm="1">
        <f t="array" ref="I141">IFERROR(LOOKUP(2,1/(N141:GR141&lt;&gt;""),N$4:DRA$4),"")</f>
        <v>45212</v>
      </c>
      <c r="J141" s="170" cm="1">
        <f t="array" ref="J141">IFERROR(_xlfn.XLOOKUP(TRUE,N141:EH141&lt;&gt;"",N141:EH141,,,-1)," ")</f>
        <v>24.6</v>
      </c>
      <c r="K141" s="49">
        <v>24</v>
      </c>
      <c r="L141" s="49">
        <v>24.5</v>
      </c>
      <c r="M141" s="284" t="s">
        <v>28</v>
      </c>
      <c r="N141" s="62"/>
      <c r="O141" s="62"/>
      <c r="P141" s="62"/>
      <c r="Q141" s="62"/>
      <c r="R141" s="62"/>
      <c r="S141" s="62"/>
      <c r="T141" s="62"/>
      <c r="U141" s="62"/>
      <c r="V141" s="62"/>
      <c r="W141" s="62"/>
      <c r="X141" s="62"/>
      <c r="Y141" s="62"/>
      <c r="Z141" s="62"/>
      <c r="AA141" s="62"/>
      <c r="AB141" s="62"/>
      <c r="AC141" s="62"/>
      <c r="AD141" s="62"/>
      <c r="AE141" s="62"/>
      <c r="AF141" s="62"/>
      <c r="AG141" s="62"/>
      <c r="AH141" s="62"/>
      <c r="AI141" s="62"/>
      <c r="AJ141" s="62"/>
      <c r="AK141" s="62"/>
      <c r="AL141" s="62"/>
      <c r="AM141" s="62"/>
      <c r="AN141" s="62"/>
      <c r="AO141" s="62"/>
      <c r="AP141" s="62"/>
      <c r="AQ141" s="62"/>
      <c r="AR141" s="62"/>
      <c r="AS141" s="62"/>
      <c r="AT141" s="62"/>
      <c r="AU141" s="63"/>
      <c r="AV141" s="63"/>
      <c r="AW141" s="62"/>
      <c r="AX141" s="63"/>
      <c r="AY141" s="62"/>
      <c r="AZ141" s="62"/>
      <c r="BA141" s="62">
        <v>19.2</v>
      </c>
      <c r="BB141" s="63"/>
      <c r="BC141" s="63"/>
      <c r="BD141" s="62"/>
      <c r="BE141" s="62"/>
      <c r="BF141" s="62"/>
      <c r="BG141" s="62"/>
      <c r="BH141" s="62"/>
      <c r="BI141" s="63"/>
      <c r="BJ141" s="63"/>
      <c r="BK141" s="62"/>
      <c r="BL141" s="62"/>
      <c r="BM141" s="62"/>
      <c r="BN141" s="62"/>
      <c r="BO141" s="62"/>
      <c r="BP141" s="64"/>
      <c r="BQ141" s="63"/>
      <c r="BR141" s="62"/>
      <c r="BS141" s="62"/>
      <c r="BT141" s="62"/>
      <c r="BU141" s="62"/>
      <c r="BV141" s="62"/>
      <c r="BW141" s="62">
        <v>22.4</v>
      </c>
      <c r="BX141" s="62"/>
      <c r="BY141" s="62"/>
      <c r="BZ141" s="62"/>
      <c r="CA141" s="62"/>
      <c r="CB141" s="62"/>
      <c r="CC141" s="51"/>
      <c r="CD141" s="63"/>
      <c r="CE141" s="63">
        <v>23.6</v>
      </c>
      <c r="CF141" s="62"/>
      <c r="CG141" s="63"/>
      <c r="CH141" s="62"/>
      <c r="CI141" s="63"/>
      <c r="CJ141" s="62"/>
      <c r="CK141" s="63"/>
      <c r="CL141" s="63"/>
      <c r="CM141" s="159">
        <v>24.6</v>
      </c>
      <c r="CN141" s="63"/>
      <c r="CO141" s="63"/>
      <c r="CP141" s="63"/>
      <c r="CQ141" s="63"/>
      <c r="CR141" s="63"/>
      <c r="CS141" s="63"/>
      <c r="CT141" s="63"/>
      <c r="CU141" s="63"/>
      <c r="CV141" s="63"/>
      <c r="CW141" s="63"/>
      <c r="CX141" s="63"/>
      <c r="CY141" s="63"/>
      <c r="CZ141" s="63"/>
      <c r="DA141" s="63"/>
      <c r="DB141" s="63"/>
      <c r="DC141" s="63"/>
      <c r="DD141" s="63"/>
      <c r="DE141" s="63"/>
      <c r="DF141" s="63"/>
      <c r="DG141" s="63"/>
      <c r="DH141" s="63"/>
      <c r="DI141" s="63"/>
      <c r="DJ141" s="63"/>
      <c r="DK141" s="63"/>
      <c r="DL141" s="63"/>
      <c r="DM141" s="63"/>
      <c r="DN141" s="63"/>
      <c r="DO141" s="63"/>
      <c r="DP141" s="63"/>
      <c r="DQ141" s="158"/>
      <c r="DR141" s="158"/>
      <c r="DS141" s="158"/>
      <c r="DT141" s="158"/>
      <c r="DU141" s="158"/>
      <c r="DV141" s="158"/>
      <c r="DW141" s="158"/>
      <c r="DX141" s="158"/>
      <c r="DY141" s="158"/>
      <c r="DZ141" s="22"/>
      <c r="EA141" s="22"/>
      <c r="EB141" s="22"/>
      <c r="EC141" s="22"/>
      <c r="ED141" s="22"/>
      <c r="EE141" s="22"/>
      <c r="EF141" s="22"/>
      <c r="EG141" s="22"/>
    </row>
    <row r="142" spans="1:137" s="135" customFormat="1" ht="15.9" customHeight="1" outlineLevel="1" x14ac:dyDescent="0.3">
      <c r="A142" s="6" t="s">
        <v>23</v>
      </c>
      <c r="B142" s="6" t="s">
        <v>23</v>
      </c>
      <c r="C142" s="50" t="s">
        <v>24</v>
      </c>
      <c r="D142" s="147">
        <v>34.83</v>
      </c>
      <c r="E142" s="6" t="s">
        <v>189</v>
      </c>
      <c r="F142" s="6" t="s">
        <v>295</v>
      </c>
      <c r="G142" s="11" t="s">
        <v>297</v>
      </c>
      <c r="H142" s="11"/>
      <c r="I142" s="205" cm="1">
        <f t="array" ref="I142">IFERROR(LOOKUP(2,1/(N142:GR142&lt;&gt;""),N$4:DRA$4),"")</f>
        <v>45219</v>
      </c>
      <c r="J142" s="170" cm="1">
        <f t="array" ref="J142">IFERROR(_xlfn.XLOOKUP(TRUE,N142:EH142&lt;&gt;"",N142:EH142,,,-1)," ")</f>
        <v>26</v>
      </c>
      <c r="K142" s="49">
        <v>24</v>
      </c>
      <c r="L142" s="49">
        <v>24.5</v>
      </c>
      <c r="M142" s="284" t="s">
        <v>28</v>
      </c>
      <c r="N142" s="62"/>
      <c r="O142" s="62"/>
      <c r="P142" s="62"/>
      <c r="Q142" s="62"/>
      <c r="R142" s="62"/>
      <c r="S142" s="62"/>
      <c r="T142" s="62"/>
      <c r="U142" s="62"/>
      <c r="V142" s="62"/>
      <c r="W142" s="62"/>
      <c r="X142" s="62"/>
      <c r="Y142" s="62"/>
      <c r="Z142" s="62"/>
      <c r="AA142" s="62"/>
      <c r="AB142" s="62"/>
      <c r="AC142" s="62"/>
      <c r="AD142" s="62"/>
      <c r="AE142" s="62"/>
      <c r="AF142" s="62"/>
      <c r="AG142" s="62"/>
      <c r="AH142" s="62"/>
      <c r="AI142" s="62"/>
      <c r="AJ142" s="62"/>
      <c r="AK142" s="62"/>
      <c r="AL142" s="62"/>
      <c r="AM142" s="62"/>
      <c r="AN142" s="62"/>
      <c r="AO142" s="62"/>
      <c r="AP142" s="62"/>
      <c r="AQ142" s="62"/>
      <c r="AR142" s="62"/>
      <c r="AS142" s="62"/>
      <c r="AT142" s="62"/>
      <c r="AU142" s="63"/>
      <c r="AV142" s="63"/>
      <c r="AW142" s="62"/>
      <c r="AX142" s="63"/>
      <c r="AY142" s="62"/>
      <c r="AZ142" s="62"/>
      <c r="BA142" s="62"/>
      <c r="BB142" s="63"/>
      <c r="BC142" s="63"/>
      <c r="BD142" s="62"/>
      <c r="BE142" s="62"/>
      <c r="BF142" s="62"/>
      <c r="BG142" s="62"/>
      <c r="BH142" s="62"/>
      <c r="BI142" s="63"/>
      <c r="BJ142" s="63"/>
      <c r="BK142" s="62"/>
      <c r="BL142" s="62"/>
      <c r="BM142" s="62"/>
      <c r="BN142" s="62"/>
      <c r="BO142" s="62"/>
      <c r="BP142" s="64"/>
      <c r="BQ142" s="63"/>
      <c r="BR142" s="62"/>
      <c r="BS142" s="62"/>
      <c r="BT142" s="62"/>
      <c r="BU142" s="62"/>
      <c r="BV142" s="62"/>
      <c r="BW142" s="62"/>
      <c r="BX142" s="62"/>
      <c r="BY142" s="62"/>
      <c r="BZ142" s="62"/>
      <c r="CA142" s="62"/>
      <c r="CB142" s="62"/>
      <c r="CC142" s="51"/>
      <c r="CD142" s="63"/>
      <c r="CE142" s="63"/>
      <c r="CF142" s="62"/>
      <c r="CG142" s="63"/>
      <c r="CH142" s="62"/>
      <c r="CI142" s="63"/>
      <c r="CJ142" s="62"/>
      <c r="CK142" s="63"/>
      <c r="CL142" s="63"/>
      <c r="CM142" s="159"/>
      <c r="CN142" s="63"/>
      <c r="CO142" s="63"/>
      <c r="CP142" s="63"/>
      <c r="CQ142" s="63"/>
      <c r="CR142" s="63"/>
      <c r="CS142" s="63"/>
      <c r="CT142" s="63">
        <v>26</v>
      </c>
      <c r="CU142" s="63"/>
      <c r="CV142" s="63"/>
      <c r="CW142" s="63"/>
      <c r="CX142" s="63"/>
      <c r="CY142" s="63"/>
      <c r="CZ142" s="63"/>
      <c r="DA142" s="63"/>
      <c r="DB142" s="63"/>
      <c r="DC142" s="63"/>
      <c r="DD142" s="63"/>
      <c r="DE142" s="63"/>
      <c r="DF142" s="63"/>
      <c r="DG142" s="63"/>
      <c r="DH142" s="63"/>
      <c r="DI142" s="63"/>
      <c r="DJ142" s="63"/>
      <c r="DK142" s="63"/>
      <c r="DL142" s="63"/>
      <c r="DM142" s="63"/>
      <c r="DN142" s="63"/>
      <c r="DO142" s="63"/>
      <c r="DP142" s="63"/>
      <c r="DQ142" s="158"/>
      <c r="DR142" s="158"/>
      <c r="DS142" s="158"/>
      <c r="DT142" s="158"/>
      <c r="DU142" s="158"/>
      <c r="DV142" s="158"/>
      <c r="DW142" s="158"/>
      <c r="DX142" s="158"/>
      <c r="DY142" s="158"/>
      <c r="DZ142" s="22"/>
      <c r="EA142" s="22"/>
      <c r="EB142" s="22"/>
      <c r="EC142" s="22"/>
      <c r="ED142" s="22"/>
      <c r="EE142" s="22"/>
      <c r="EF142" s="22"/>
      <c r="EG142" s="22"/>
    </row>
    <row r="143" spans="1:137" s="135" customFormat="1" ht="15.9" customHeight="1" outlineLevel="1" x14ac:dyDescent="0.3">
      <c r="A143" s="6" t="s">
        <v>23</v>
      </c>
      <c r="B143" s="6" t="s">
        <v>23</v>
      </c>
      <c r="C143" s="50" t="s">
        <v>24</v>
      </c>
      <c r="D143" s="147">
        <v>34.83</v>
      </c>
      <c r="E143" s="6" t="s">
        <v>189</v>
      </c>
      <c r="F143" s="6" t="s">
        <v>295</v>
      </c>
      <c r="G143" s="11" t="s">
        <v>298</v>
      </c>
      <c r="H143" s="11"/>
      <c r="I143" s="205" cm="1">
        <f t="array" ref="I143">IFERROR(LOOKUP(2,1/(N143:GR143&lt;&gt;""),N$4:DRA$4),"")</f>
        <v>45219</v>
      </c>
      <c r="J143" s="170" cm="1">
        <f t="array" ref="J143">IFERROR(_xlfn.XLOOKUP(TRUE,N143:EH143&lt;&gt;"",N143:EH143,,,-1)," ")</f>
        <v>26.2</v>
      </c>
      <c r="K143" s="49">
        <v>24</v>
      </c>
      <c r="L143" s="49">
        <v>24.5</v>
      </c>
      <c r="M143" s="284" t="s">
        <v>28</v>
      </c>
      <c r="N143" s="62"/>
      <c r="O143" s="62"/>
      <c r="P143" s="62"/>
      <c r="Q143" s="62"/>
      <c r="R143" s="62"/>
      <c r="S143" s="62"/>
      <c r="T143" s="62"/>
      <c r="U143" s="62"/>
      <c r="V143" s="62"/>
      <c r="W143" s="62"/>
      <c r="X143" s="62"/>
      <c r="Y143" s="62"/>
      <c r="Z143" s="62"/>
      <c r="AA143" s="62"/>
      <c r="AB143" s="62"/>
      <c r="AC143" s="62"/>
      <c r="AD143" s="62"/>
      <c r="AE143" s="62"/>
      <c r="AF143" s="62"/>
      <c r="AG143" s="62"/>
      <c r="AH143" s="62"/>
      <c r="AI143" s="62"/>
      <c r="AJ143" s="62"/>
      <c r="AK143" s="62"/>
      <c r="AL143" s="62"/>
      <c r="AM143" s="62"/>
      <c r="AN143" s="62"/>
      <c r="AO143" s="62"/>
      <c r="AP143" s="62"/>
      <c r="AQ143" s="62"/>
      <c r="AR143" s="62"/>
      <c r="AS143" s="62"/>
      <c r="AT143" s="62"/>
      <c r="AU143" s="63"/>
      <c r="AV143" s="63"/>
      <c r="AW143" s="62"/>
      <c r="AX143" s="63"/>
      <c r="AY143" s="62"/>
      <c r="AZ143" s="62"/>
      <c r="BA143" s="62"/>
      <c r="BB143" s="63"/>
      <c r="BC143" s="63"/>
      <c r="BD143" s="62"/>
      <c r="BE143" s="62"/>
      <c r="BF143" s="62"/>
      <c r="BG143" s="62"/>
      <c r="BH143" s="62"/>
      <c r="BI143" s="63"/>
      <c r="BJ143" s="63"/>
      <c r="BK143" s="62"/>
      <c r="BL143" s="62"/>
      <c r="BM143" s="62"/>
      <c r="BN143" s="62"/>
      <c r="BO143" s="62"/>
      <c r="BP143" s="64"/>
      <c r="BQ143" s="63"/>
      <c r="BR143" s="62"/>
      <c r="BS143" s="62"/>
      <c r="BT143" s="62"/>
      <c r="BU143" s="62"/>
      <c r="BV143" s="62"/>
      <c r="BW143" s="62"/>
      <c r="BX143" s="62"/>
      <c r="BY143" s="62"/>
      <c r="BZ143" s="62"/>
      <c r="CA143" s="62"/>
      <c r="CB143" s="62"/>
      <c r="CC143" s="51"/>
      <c r="CD143" s="63"/>
      <c r="CE143" s="63"/>
      <c r="CF143" s="62"/>
      <c r="CG143" s="63"/>
      <c r="CH143" s="62"/>
      <c r="CI143" s="63"/>
      <c r="CJ143" s="62"/>
      <c r="CK143" s="63"/>
      <c r="CL143" s="63"/>
      <c r="CM143" s="159"/>
      <c r="CN143" s="63"/>
      <c r="CO143" s="63"/>
      <c r="CP143" s="63"/>
      <c r="CQ143" s="63"/>
      <c r="CR143" s="63"/>
      <c r="CS143" s="63"/>
      <c r="CT143" s="63">
        <v>26.2</v>
      </c>
      <c r="CU143" s="63"/>
      <c r="CV143" s="63"/>
      <c r="CW143" s="63"/>
      <c r="CX143" s="63"/>
      <c r="CY143" s="63"/>
      <c r="CZ143" s="63"/>
      <c r="DA143" s="63"/>
      <c r="DB143" s="63"/>
      <c r="DC143" s="63"/>
      <c r="DD143" s="63"/>
      <c r="DE143" s="63"/>
      <c r="DF143" s="63"/>
      <c r="DG143" s="63"/>
      <c r="DH143" s="63"/>
      <c r="DI143" s="63"/>
      <c r="DJ143" s="63"/>
      <c r="DK143" s="63"/>
      <c r="DL143" s="63"/>
      <c r="DM143" s="63"/>
      <c r="DN143" s="63"/>
      <c r="DO143" s="63"/>
      <c r="DP143" s="63"/>
      <c r="DQ143" s="158"/>
      <c r="DR143" s="158"/>
      <c r="DS143" s="158"/>
      <c r="DT143" s="158"/>
      <c r="DU143" s="158"/>
      <c r="DV143" s="158"/>
      <c r="DW143" s="158"/>
      <c r="DX143" s="158"/>
      <c r="DY143" s="158"/>
      <c r="DZ143" s="22"/>
      <c r="EA143" s="22"/>
      <c r="EB143" s="22"/>
      <c r="EC143" s="22"/>
      <c r="ED143" s="22"/>
      <c r="EE143" s="22"/>
      <c r="EF143" s="22"/>
      <c r="EG143" s="22"/>
    </row>
    <row r="144" spans="1:137" s="10" customFormat="1" ht="15.9" customHeight="1" outlineLevel="1" x14ac:dyDescent="0.3">
      <c r="A144" s="7" t="s">
        <v>22</v>
      </c>
      <c r="B144" s="7" t="s">
        <v>23</v>
      </c>
      <c r="C144" s="8" t="s">
        <v>24</v>
      </c>
      <c r="D144" s="146">
        <v>11.29</v>
      </c>
      <c r="E144" s="7" t="s">
        <v>189</v>
      </c>
      <c r="F144" s="7" t="s">
        <v>299</v>
      </c>
      <c r="G144" s="9" t="s">
        <v>300</v>
      </c>
      <c r="H144" s="9"/>
      <c r="I144" s="204" cm="1">
        <f t="array" ref="I144">IFERROR(LOOKUP(2,1/(N144:GR144&lt;&gt;""),N$4:DRA$4),"")</f>
        <v>45224</v>
      </c>
      <c r="J144" s="266" cm="1">
        <f t="array" ref="J144">IFERROR(_xlfn.XLOOKUP(TRUE,N144:EH144&lt;&gt;"",N144:EH144,,,-1)," ")</f>
        <v>23.1</v>
      </c>
      <c r="K144" s="45"/>
      <c r="L144" s="45">
        <v>24.5</v>
      </c>
      <c r="M144" s="282" t="s">
        <v>28</v>
      </c>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c r="AQ144" s="57"/>
      <c r="AR144" s="57"/>
      <c r="AS144" s="57"/>
      <c r="AT144" s="57"/>
      <c r="AU144" s="61"/>
      <c r="AV144" s="61"/>
      <c r="AW144" s="57"/>
      <c r="AX144" s="61"/>
      <c r="AY144" s="57"/>
      <c r="AZ144" s="57"/>
      <c r="BA144" s="57"/>
      <c r="BB144" s="61"/>
      <c r="BC144" s="61"/>
      <c r="BD144" s="57"/>
      <c r="BE144" s="57">
        <v>18.399999999999999</v>
      </c>
      <c r="BF144" s="57"/>
      <c r="BG144" s="57"/>
      <c r="BH144" s="57"/>
      <c r="BI144" s="61"/>
      <c r="BJ144" s="61"/>
      <c r="BK144" s="57"/>
      <c r="BL144" s="57"/>
      <c r="BM144" s="57"/>
      <c r="BN144" s="57"/>
      <c r="BO144" s="57"/>
      <c r="BP144" s="58"/>
      <c r="BQ144" s="61"/>
      <c r="BR144" s="57"/>
      <c r="BS144" s="57"/>
      <c r="BT144" s="57"/>
      <c r="BU144" s="57"/>
      <c r="BV144" s="57"/>
      <c r="BW144" s="57"/>
      <c r="BX144" s="57"/>
      <c r="BY144" s="57"/>
      <c r="BZ144" s="57"/>
      <c r="CA144" s="57"/>
      <c r="CB144" s="57"/>
      <c r="CC144" s="405"/>
      <c r="CD144" s="61">
        <v>21.3</v>
      </c>
      <c r="CE144" s="61"/>
      <c r="CF144" s="57"/>
      <c r="CG144" s="57"/>
      <c r="CH144" s="57"/>
      <c r="CI144" s="61"/>
      <c r="CJ144" s="57">
        <v>22.3</v>
      </c>
      <c r="CK144" s="61"/>
      <c r="CL144" s="61"/>
      <c r="CM144" s="61"/>
      <c r="CN144" s="61"/>
      <c r="CO144" s="61"/>
      <c r="CP144" s="61">
        <v>23.3</v>
      </c>
      <c r="CQ144" s="61"/>
      <c r="CR144" s="61"/>
      <c r="CS144" s="61"/>
      <c r="CT144" s="61"/>
      <c r="CU144" s="61"/>
      <c r="CV144" s="61"/>
      <c r="CW144" s="160">
        <v>23.2</v>
      </c>
      <c r="CX144" s="61"/>
      <c r="CY144" s="160">
        <v>23.1</v>
      </c>
      <c r="CZ144" s="61"/>
      <c r="DA144" s="61"/>
      <c r="DB144" s="61"/>
      <c r="DC144" s="61"/>
      <c r="DD144" s="61"/>
      <c r="DE144" s="61"/>
      <c r="DF144" s="61"/>
      <c r="DG144" s="61"/>
      <c r="DH144" s="61"/>
      <c r="DI144" s="61"/>
      <c r="DJ144" s="61"/>
      <c r="DK144" s="61"/>
      <c r="DL144" s="61"/>
      <c r="DM144" s="61"/>
      <c r="DN144" s="61"/>
      <c r="DO144" s="61"/>
      <c r="DP144" s="61"/>
      <c r="DQ144" s="156"/>
      <c r="DR144" s="156"/>
      <c r="DS144" s="156"/>
      <c r="DT144" s="156"/>
      <c r="DU144" s="156"/>
      <c r="DV144" s="156"/>
      <c r="DW144" s="156"/>
      <c r="DX144" s="156"/>
      <c r="DY144" s="156"/>
      <c r="DZ144" s="22"/>
      <c r="EA144" s="22"/>
      <c r="EB144" s="22"/>
      <c r="EC144" s="22"/>
      <c r="ED144" s="22"/>
      <c r="EE144" s="22"/>
      <c r="EF144" s="22"/>
      <c r="EG144" s="22"/>
    </row>
    <row r="145" spans="1:137" s="5" customFormat="1" ht="15.9" customHeight="1" outlineLevel="1" x14ac:dyDescent="0.3">
      <c r="A145" s="6" t="s">
        <v>22</v>
      </c>
      <c r="B145" s="6" t="s">
        <v>23</v>
      </c>
      <c r="C145" s="50" t="s">
        <v>24</v>
      </c>
      <c r="D145" s="147">
        <v>8.48</v>
      </c>
      <c r="E145" s="6" t="s">
        <v>189</v>
      </c>
      <c r="F145" s="6" t="s">
        <v>301</v>
      </c>
      <c r="G145" s="11" t="s">
        <v>302</v>
      </c>
      <c r="H145" s="11"/>
      <c r="I145" s="205" cm="1">
        <f t="array" ref="I145">IFERROR(LOOKUP(2,1/(N145:GR145&lt;&gt;""),N$4:DRA$4),"")</f>
        <v>45215</v>
      </c>
      <c r="J145" s="271" cm="1">
        <f t="array" ref="J145">IFERROR(_xlfn.XLOOKUP(TRUE,N145:EH145&lt;&gt;"",N145:EH145,,,-1)," ")</f>
        <v>24.8</v>
      </c>
      <c r="K145" s="49"/>
      <c r="L145" s="49">
        <v>24.5</v>
      </c>
      <c r="M145" s="284" t="s">
        <v>28</v>
      </c>
      <c r="N145" s="62"/>
      <c r="O145" s="62"/>
      <c r="P145" s="62"/>
      <c r="Q145" s="62"/>
      <c r="R145" s="62"/>
      <c r="S145" s="62"/>
      <c r="T145" s="62"/>
      <c r="U145" s="62"/>
      <c r="V145" s="62"/>
      <c r="W145" s="62"/>
      <c r="X145" s="62"/>
      <c r="Y145" s="62"/>
      <c r="Z145" s="62"/>
      <c r="AA145" s="62"/>
      <c r="AB145" s="62"/>
      <c r="AC145" s="62"/>
      <c r="AD145" s="62"/>
      <c r="AE145" s="62"/>
      <c r="AF145" s="62"/>
      <c r="AG145" s="62"/>
      <c r="AH145" s="62"/>
      <c r="AI145" s="62"/>
      <c r="AJ145" s="62"/>
      <c r="AK145" s="62"/>
      <c r="AL145" s="62"/>
      <c r="AM145" s="62"/>
      <c r="AN145" s="62"/>
      <c r="AO145" s="62"/>
      <c r="AP145" s="62"/>
      <c r="AQ145" s="62"/>
      <c r="AR145" s="62"/>
      <c r="AS145" s="62"/>
      <c r="AT145" s="62"/>
      <c r="AU145" s="63"/>
      <c r="AV145" s="63"/>
      <c r="AW145" s="62"/>
      <c r="AX145" s="63"/>
      <c r="AY145" s="62"/>
      <c r="AZ145" s="62"/>
      <c r="BA145" s="62"/>
      <c r="BB145" s="63"/>
      <c r="BC145" s="63"/>
      <c r="BD145" s="62"/>
      <c r="BE145" s="62">
        <v>19.399999999999999</v>
      </c>
      <c r="BF145" s="62"/>
      <c r="BG145" s="62"/>
      <c r="BH145" s="62"/>
      <c r="BI145" s="63"/>
      <c r="BJ145" s="63"/>
      <c r="BK145" s="62"/>
      <c r="BL145" s="62"/>
      <c r="BM145" s="62"/>
      <c r="BN145" s="62"/>
      <c r="BO145" s="62"/>
      <c r="BP145" s="64"/>
      <c r="BQ145" s="63"/>
      <c r="BR145" s="62"/>
      <c r="BS145" s="62"/>
      <c r="BT145" s="62"/>
      <c r="BU145" s="62"/>
      <c r="BV145" s="62"/>
      <c r="BW145" s="62"/>
      <c r="BX145" s="62"/>
      <c r="BY145" s="62"/>
      <c r="BZ145" s="62"/>
      <c r="CA145" s="62"/>
      <c r="CB145" s="62"/>
      <c r="CC145" s="51"/>
      <c r="CD145" s="63">
        <v>22.4</v>
      </c>
      <c r="CE145" s="63"/>
      <c r="CF145" s="62"/>
      <c r="CG145" s="62"/>
      <c r="CH145" s="62"/>
      <c r="CI145" s="63"/>
      <c r="CJ145" s="62">
        <v>24.4</v>
      </c>
      <c r="CK145" s="63"/>
      <c r="CL145" s="63"/>
      <c r="CM145" s="63"/>
      <c r="CN145" s="63"/>
      <c r="CO145" s="63"/>
      <c r="CP145" s="159">
        <v>24.8</v>
      </c>
      <c r="CQ145" s="63"/>
      <c r="CR145" s="63"/>
      <c r="CS145" s="63"/>
      <c r="CT145" s="63"/>
      <c r="CU145" s="63"/>
      <c r="CV145" s="63"/>
      <c r="CW145" s="63"/>
      <c r="CX145" s="63"/>
      <c r="CY145" s="63"/>
      <c r="CZ145" s="63"/>
      <c r="DA145" s="63"/>
      <c r="DB145" s="63"/>
      <c r="DC145" s="63"/>
      <c r="DD145" s="63"/>
      <c r="DE145" s="63"/>
      <c r="DF145" s="63"/>
      <c r="DG145" s="63"/>
      <c r="DH145" s="63"/>
      <c r="DI145" s="63"/>
      <c r="DJ145" s="63"/>
      <c r="DK145" s="63"/>
      <c r="DL145" s="63"/>
      <c r="DM145" s="63"/>
      <c r="DN145" s="63"/>
      <c r="DO145" s="63"/>
      <c r="DP145" s="63"/>
      <c r="DQ145" s="158"/>
      <c r="DR145" s="158"/>
      <c r="DS145" s="158"/>
      <c r="DT145" s="158"/>
      <c r="DU145" s="158"/>
      <c r="DV145" s="158"/>
      <c r="DW145" s="158"/>
      <c r="DX145" s="158"/>
      <c r="DY145" s="158"/>
      <c r="DZ145" s="22"/>
      <c r="EA145" s="22"/>
      <c r="EB145" s="22"/>
      <c r="EC145" s="22"/>
      <c r="ED145" s="22"/>
      <c r="EE145" s="22"/>
      <c r="EF145" s="22"/>
      <c r="EG145" s="22"/>
    </row>
    <row r="146" spans="1:137" s="10" customFormat="1" ht="15.9" customHeight="1" outlineLevel="1" x14ac:dyDescent="0.3">
      <c r="A146" s="7" t="s">
        <v>22</v>
      </c>
      <c r="B146" s="7" t="s">
        <v>23</v>
      </c>
      <c r="C146" s="8" t="s">
        <v>24</v>
      </c>
      <c r="D146" s="146">
        <v>57.29</v>
      </c>
      <c r="E146" s="7" t="s">
        <v>189</v>
      </c>
      <c r="F146" s="7" t="s">
        <v>303</v>
      </c>
      <c r="G146" s="9" t="s">
        <v>304</v>
      </c>
      <c r="H146" s="9" t="s">
        <v>22</v>
      </c>
      <c r="I146" s="204" cm="1">
        <f t="array" ref="I146">IFERROR(LOOKUP(2,1/(N146:GR146&lt;&gt;""),N$4:DRA$4),"")</f>
        <v>45201</v>
      </c>
      <c r="J146" s="169" cm="1">
        <f t="array" ref="J146">IFERROR(_xlfn.XLOOKUP(TRUE,N146:EH146&lt;&gt;"",N146:EH146,,,-1)," ")</f>
        <v>23.9</v>
      </c>
      <c r="K146" s="45"/>
      <c r="L146" s="45">
        <v>24.5</v>
      </c>
      <c r="M146" s="282" t="s">
        <v>28</v>
      </c>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AK146" s="57"/>
      <c r="AL146" s="57"/>
      <c r="AM146" s="57"/>
      <c r="AN146" s="57"/>
      <c r="AO146" s="57"/>
      <c r="AP146" s="57"/>
      <c r="AQ146" s="57"/>
      <c r="AR146" s="57"/>
      <c r="AS146" s="57"/>
      <c r="AT146" s="57"/>
      <c r="AU146" s="61"/>
      <c r="AV146" s="61"/>
      <c r="AW146" s="57"/>
      <c r="AX146" s="61"/>
      <c r="AY146" s="57"/>
      <c r="AZ146" s="57"/>
      <c r="BA146" s="57"/>
      <c r="BB146" s="61"/>
      <c r="BC146" s="61"/>
      <c r="BD146" s="57"/>
      <c r="BE146" s="57"/>
      <c r="BF146" s="57"/>
      <c r="BG146" s="57"/>
      <c r="BH146" s="57"/>
      <c r="BI146" s="61"/>
      <c r="BJ146" s="61"/>
      <c r="BK146" s="57"/>
      <c r="BL146" s="57"/>
      <c r="BM146" s="57"/>
      <c r="BN146" s="57"/>
      <c r="BO146" s="57"/>
      <c r="BP146" s="58"/>
      <c r="BQ146" s="61"/>
      <c r="BR146" s="57"/>
      <c r="BS146" s="57"/>
      <c r="BT146" s="57"/>
      <c r="BU146" s="57"/>
      <c r="BV146" s="57"/>
      <c r="BW146" s="57"/>
      <c r="BX146" s="57"/>
      <c r="BY146" s="57"/>
      <c r="BZ146" s="57"/>
      <c r="CA146" s="57"/>
      <c r="CB146" s="57">
        <v>23.9</v>
      </c>
      <c r="CC146" s="27"/>
      <c r="CD146" s="61"/>
      <c r="CE146" s="61"/>
      <c r="CF146" s="57"/>
      <c r="CG146" s="57"/>
      <c r="CH146" s="57"/>
      <c r="CI146" s="61"/>
      <c r="CJ146" s="57"/>
      <c r="CK146" s="61"/>
      <c r="CL146" s="61"/>
      <c r="CM146" s="61"/>
      <c r="CN146" s="61"/>
      <c r="CO146" s="61"/>
      <c r="CP146" s="61"/>
      <c r="CQ146" s="61"/>
      <c r="CR146" s="61"/>
      <c r="CS146" s="61"/>
      <c r="CT146" s="61"/>
      <c r="CU146" s="61"/>
      <c r="CV146" s="61"/>
      <c r="CW146" s="61"/>
      <c r="CX146" s="61"/>
      <c r="CY146" s="61"/>
      <c r="CZ146" s="61"/>
      <c r="DA146" s="61"/>
      <c r="DB146" s="61"/>
      <c r="DC146" s="61"/>
      <c r="DD146" s="61"/>
      <c r="DE146" s="61"/>
      <c r="DF146" s="61"/>
      <c r="DG146" s="61"/>
      <c r="DH146" s="61"/>
      <c r="DI146" s="61"/>
      <c r="DJ146" s="61"/>
      <c r="DK146" s="61"/>
      <c r="DL146" s="61"/>
      <c r="DM146" s="61"/>
      <c r="DN146" s="61"/>
      <c r="DO146" s="61"/>
      <c r="DP146" s="61"/>
      <c r="DQ146" s="156"/>
      <c r="DR146" s="156"/>
      <c r="DS146" s="156"/>
      <c r="DT146" s="156"/>
      <c r="DU146" s="156"/>
      <c r="DV146" s="156"/>
      <c r="DW146" s="156"/>
      <c r="DX146" s="156"/>
      <c r="DY146" s="156"/>
      <c r="DZ146" s="59"/>
      <c r="EA146" s="59"/>
      <c r="EB146" s="59"/>
      <c r="EC146" s="59"/>
      <c r="ED146" s="59"/>
      <c r="EE146" s="59"/>
      <c r="EF146" s="59"/>
      <c r="EG146" s="59"/>
    </row>
    <row r="147" spans="1:137" s="10" customFormat="1" ht="15.9" customHeight="1" outlineLevel="1" x14ac:dyDescent="0.3">
      <c r="A147" s="7" t="s">
        <v>22</v>
      </c>
      <c r="B147" s="7" t="s">
        <v>23</v>
      </c>
      <c r="C147" s="8" t="s">
        <v>24</v>
      </c>
      <c r="D147" s="146">
        <v>57.29</v>
      </c>
      <c r="E147" s="7" t="s">
        <v>189</v>
      </c>
      <c r="F147" s="7" t="s">
        <v>303</v>
      </c>
      <c r="G147" s="9" t="s">
        <v>305</v>
      </c>
      <c r="H147" s="9" t="s">
        <v>22</v>
      </c>
      <c r="I147" s="204" cm="1">
        <f t="array" ref="I147">IFERROR(LOOKUP(2,1/(N147:GR147&lt;&gt;""),N$4:DRA$4),"")</f>
        <v>45209</v>
      </c>
      <c r="J147" s="169" cm="1">
        <f t="array" ref="J147">IFERROR(_xlfn.XLOOKUP(TRUE,N147:EH147&lt;&gt;"",N147:EH147,,,-1)," ")</f>
        <v>24.7</v>
      </c>
      <c r="K147" s="45"/>
      <c r="L147" s="45">
        <v>24.5</v>
      </c>
      <c r="M147" s="282" t="s">
        <v>28</v>
      </c>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57"/>
      <c r="AN147" s="57"/>
      <c r="AO147" s="57"/>
      <c r="AP147" s="57"/>
      <c r="AQ147" s="57"/>
      <c r="AR147" s="57"/>
      <c r="AS147" s="57"/>
      <c r="AT147" s="57"/>
      <c r="AU147" s="61"/>
      <c r="AV147" s="61"/>
      <c r="AW147" s="57"/>
      <c r="AX147" s="61"/>
      <c r="AY147" s="57"/>
      <c r="AZ147" s="57"/>
      <c r="BA147" s="57"/>
      <c r="BB147" s="61"/>
      <c r="BC147" s="61"/>
      <c r="BD147" s="57"/>
      <c r="BE147" s="57"/>
      <c r="BF147" s="57"/>
      <c r="BG147" s="57"/>
      <c r="BH147" s="57"/>
      <c r="BI147" s="61"/>
      <c r="BJ147" s="61"/>
      <c r="BK147" s="57"/>
      <c r="BL147" s="57"/>
      <c r="BM147" s="57"/>
      <c r="BN147" s="57"/>
      <c r="BO147" s="57"/>
      <c r="BP147" s="58"/>
      <c r="BQ147" s="61"/>
      <c r="BR147" s="57"/>
      <c r="BS147" s="58"/>
      <c r="BT147" s="57"/>
      <c r="BU147" s="57"/>
      <c r="BV147" s="57"/>
      <c r="BW147" s="57"/>
      <c r="BX147" s="57"/>
      <c r="BY147" s="57"/>
      <c r="BZ147" s="57"/>
      <c r="CA147" s="57"/>
      <c r="CB147" s="57"/>
      <c r="CC147" s="27"/>
      <c r="CD147" s="61">
        <v>24</v>
      </c>
      <c r="CE147" s="61"/>
      <c r="CF147" s="57"/>
      <c r="CG147" s="57"/>
      <c r="CH147" s="57"/>
      <c r="CI147" s="57"/>
      <c r="CJ147" s="58">
        <v>24.7</v>
      </c>
      <c r="CK147" s="61"/>
      <c r="CL147" s="61"/>
      <c r="CM147" s="57"/>
      <c r="CN147" s="57"/>
      <c r="CO147" s="57"/>
      <c r="CP147" s="57"/>
      <c r="CQ147" s="57"/>
      <c r="CR147" s="61"/>
      <c r="CS147" s="61"/>
      <c r="CT147" s="57"/>
      <c r="CU147" s="57"/>
      <c r="CV147" s="61"/>
      <c r="CW147" s="61"/>
      <c r="CX147" s="61"/>
      <c r="CY147" s="61"/>
      <c r="CZ147" s="61"/>
      <c r="DA147" s="61"/>
      <c r="DB147" s="61"/>
      <c r="DC147" s="61"/>
      <c r="DD147" s="61"/>
      <c r="DE147" s="61"/>
      <c r="DF147" s="61"/>
      <c r="DG147" s="61"/>
      <c r="DH147" s="61"/>
      <c r="DI147" s="61"/>
      <c r="DJ147" s="61"/>
      <c r="DK147" s="61"/>
      <c r="DL147" s="61"/>
      <c r="DM147" s="61"/>
      <c r="DN147" s="61"/>
      <c r="DO147" s="61"/>
      <c r="DP147" s="61"/>
      <c r="DQ147" s="156"/>
      <c r="DR147" s="156"/>
      <c r="DS147" s="156"/>
      <c r="DT147" s="156"/>
      <c r="DU147" s="156"/>
      <c r="DV147" s="156"/>
      <c r="DW147" s="156"/>
      <c r="DX147" s="156"/>
      <c r="DY147" s="156"/>
      <c r="DZ147" s="22"/>
      <c r="EA147" s="22"/>
      <c r="EB147" s="22"/>
      <c r="EC147" s="22"/>
      <c r="ED147" s="22"/>
      <c r="EE147" s="22"/>
      <c r="EF147" s="22"/>
      <c r="EG147" s="22"/>
    </row>
    <row r="148" spans="1:137" s="5" customFormat="1" ht="15.9" customHeight="1" outlineLevel="1" x14ac:dyDescent="0.3">
      <c r="A148" s="7" t="s">
        <v>22</v>
      </c>
      <c r="B148" s="7" t="s">
        <v>23</v>
      </c>
      <c r="C148" s="8" t="s">
        <v>24</v>
      </c>
      <c r="D148" s="146"/>
      <c r="E148" s="7" t="s">
        <v>189</v>
      </c>
      <c r="F148" s="7" t="s">
        <v>303</v>
      </c>
      <c r="G148" s="9" t="s">
        <v>306</v>
      </c>
      <c r="H148" s="9" t="s">
        <v>22</v>
      </c>
      <c r="I148" s="204" cm="1">
        <f t="array" ref="I148">IFERROR(LOOKUP(2,1/(N148:GR148&lt;&gt;""),N$4:DRA$4),"")</f>
        <v>45204</v>
      </c>
      <c r="J148" s="266" cm="1">
        <f t="array" ref="J148">IFERROR(_xlfn.XLOOKUP(TRUE,N148:EH148&lt;&gt;"",N148:EH148,,,-1)," ")</f>
        <v>24.3</v>
      </c>
      <c r="K148" s="45"/>
      <c r="L148" s="45">
        <v>24.5</v>
      </c>
      <c r="M148" s="282" t="s">
        <v>28</v>
      </c>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c r="AT148" s="57"/>
      <c r="AU148" s="61"/>
      <c r="AV148" s="61"/>
      <c r="AW148" s="57"/>
      <c r="AX148" s="61"/>
      <c r="AY148" s="57"/>
      <c r="AZ148" s="57"/>
      <c r="BA148" s="57"/>
      <c r="BB148" s="61"/>
      <c r="BC148" s="61"/>
      <c r="BD148" s="57"/>
      <c r="BE148" s="57"/>
      <c r="BF148" s="57"/>
      <c r="BG148" s="57"/>
      <c r="BH148" s="57"/>
      <c r="BI148" s="61"/>
      <c r="BJ148" s="61"/>
      <c r="BK148" s="57"/>
      <c r="BL148" s="57"/>
      <c r="BM148" s="57"/>
      <c r="BN148" s="57"/>
      <c r="BO148" s="57"/>
      <c r="BP148" s="58"/>
      <c r="BQ148" s="61"/>
      <c r="BR148" s="57"/>
      <c r="BS148" s="58"/>
      <c r="BT148" s="57"/>
      <c r="BU148" s="57"/>
      <c r="BV148" s="57"/>
      <c r="BW148" s="57"/>
      <c r="BX148" s="57"/>
      <c r="BY148" s="57"/>
      <c r="BZ148" s="57"/>
      <c r="CA148" s="57"/>
      <c r="CB148" s="57"/>
      <c r="CC148" s="27"/>
      <c r="CD148" s="61">
        <v>24.8</v>
      </c>
      <c r="CE148" s="160">
        <v>24.3</v>
      </c>
      <c r="CF148" s="57"/>
      <c r="CG148" s="57"/>
      <c r="CH148" s="57"/>
      <c r="CI148" s="57"/>
      <c r="CJ148" s="10"/>
      <c r="CK148" s="61"/>
      <c r="CL148" s="61"/>
      <c r="CM148" s="57"/>
      <c r="CN148" s="57"/>
      <c r="CO148" s="57"/>
      <c r="CP148" s="57"/>
      <c r="CQ148" s="57"/>
      <c r="CR148" s="61"/>
      <c r="CS148" s="61"/>
      <c r="CT148" s="57"/>
      <c r="CU148" s="57"/>
      <c r="CV148" s="61"/>
      <c r="CW148" s="61"/>
      <c r="CX148" s="61"/>
      <c r="CY148" s="61"/>
      <c r="CZ148" s="61"/>
      <c r="DA148" s="61"/>
      <c r="DB148" s="61"/>
      <c r="DC148" s="61"/>
      <c r="DD148" s="61"/>
      <c r="DE148" s="61"/>
      <c r="DF148" s="61"/>
      <c r="DG148" s="61"/>
      <c r="DH148" s="61"/>
      <c r="DI148" s="61"/>
      <c r="DJ148" s="61"/>
      <c r="DK148" s="61"/>
      <c r="DL148" s="61"/>
      <c r="DM148" s="61"/>
      <c r="DN148" s="61"/>
      <c r="DO148" s="61"/>
      <c r="DP148" s="61"/>
      <c r="DQ148" s="156"/>
      <c r="DR148" s="156"/>
      <c r="DS148" s="156"/>
      <c r="DT148" s="156"/>
      <c r="DU148" s="156"/>
      <c r="DV148" s="156"/>
      <c r="DW148" s="156"/>
      <c r="DX148" s="156"/>
      <c r="DY148" s="156"/>
      <c r="DZ148" s="22"/>
      <c r="EA148" s="22"/>
      <c r="EB148" s="22"/>
      <c r="EC148" s="22"/>
      <c r="ED148" s="22"/>
      <c r="EE148" s="22"/>
      <c r="EF148" s="22"/>
      <c r="EG148" s="22"/>
    </row>
    <row r="149" spans="1:137" s="1" customFormat="1" ht="15.9" customHeight="1" outlineLevel="1" x14ac:dyDescent="0.3">
      <c r="A149" s="2" t="s">
        <v>22</v>
      </c>
      <c r="B149" s="7"/>
      <c r="C149" s="414" t="s">
        <v>24</v>
      </c>
      <c r="D149" s="148">
        <v>31.12</v>
      </c>
      <c r="E149" s="415" t="s">
        <v>189</v>
      </c>
      <c r="F149" s="53" t="s">
        <v>307</v>
      </c>
      <c r="G149" s="416" t="s">
        <v>308</v>
      </c>
      <c r="H149" s="52"/>
      <c r="I149" s="202" cm="1">
        <f t="array" ref="I149">IFERROR(LOOKUP(2,1/(N149:GR149&lt;&gt;""),N$4:DRA$4),"")</f>
        <v>45196</v>
      </c>
      <c r="J149" s="168" cm="1">
        <f t="array" ref="J149">IFERROR(_xlfn.XLOOKUP(TRUE,N149:EH149&lt;&gt;"",N149:EH149,,,-1)," ")</f>
        <v>23.5</v>
      </c>
      <c r="K149" s="46"/>
      <c r="L149" s="46"/>
      <c r="M149" s="281" t="s">
        <v>34</v>
      </c>
      <c r="N149" s="55"/>
      <c r="O149" s="55"/>
      <c r="P149" s="55"/>
      <c r="Q149" s="55"/>
      <c r="R149" s="55"/>
      <c r="S149" s="55"/>
      <c r="T149" s="55"/>
      <c r="U149" s="55"/>
      <c r="V149" s="55"/>
      <c r="W149" s="55"/>
      <c r="X149" s="55"/>
      <c r="Y149" s="55"/>
      <c r="Z149" s="55"/>
      <c r="AA149" s="55"/>
      <c r="AB149" s="55"/>
      <c r="AC149" s="55"/>
      <c r="AD149" s="55"/>
      <c r="AE149" s="55"/>
      <c r="AF149" s="55"/>
      <c r="AG149" s="55"/>
      <c r="AH149" s="55"/>
      <c r="AI149" s="55"/>
      <c r="AJ149" s="55"/>
      <c r="AK149" s="55"/>
      <c r="AL149" s="55"/>
      <c r="AM149" s="55"/>
      <c r="AN149" s="55"/>
      <c r="AO149" s="55"/>
      <c r="AP149" s="55"/>
      <c r="AQ149" s="55"/>
      <c r="AR149" s="55"/>
      <c r="AS149" s="55"/>
      <c r="AT149" s="55"/>
      <c r="AU149" s="153"/>
      <c r="AV149" s="153" t="s">
        <v>247</v>
      </c>
      <c r="AW149" s="55"/>
      <c r="AX149" s="153"/>
      <c r="AY149" s="55"/>
      <c r="AZ149" s="55"/>
      <c r="BA149" s="55"/>
      <c r="BB149" s="153"/>
      <c r="BC149" s="153"/>
      <c r="BD149" s="55"/>
      <c r="BE149" s="55"/>
      <c r="BF149" s="55"/>
      <c r="BG149" s="55"/>
      <c r="BH149" s="55"/>
      <c r="BI149" s="153"/>
      <c r="BJ149" s="153"/>
      <c r="BK149" s="55">
        <v>22</v>
      </c>
      <c r="BL149" s="55"/>
      <c r="BM149" s="55"/>
      <c r="BN149" s="55"/>
      <c r="BO149" s="55"/>
      <c r="BP149" s="56"/>
      <c r="BQ149" s="153"/>
      <c r="BR149" s="55"/>
      <c r="BS149" s="55"/>
      <c r="BT149" s="55"/>
      <c r="BU149" s="55"/>
      <c r="BV149" s="55">
        <v>23.5</v>
      </c>
      <c r="BW149" s="55">
        <v>23.5</v>
      </c>
      <c r="BX149" s="55"/>
      <c r="BY149" s="55"/>
      <c r="BZ149" s="55"/>
      <c r="CA149" s="55"/>
      <c r="CB149" s="55"/>
      <c r="CC149" s="401"/>
      <c r="CD149" s="153"/>
      <c r="CE149" s="153"/>
      <c r="CF149" s="55"/>
      <c r="CG149" s="153"/>
      <c r="CH149" s="55"/>
      <c r="CI149" s="153"/>
      <c r="CJ149" s="55"/>
      <c r="CK149" s="153"/>
      <c r="CL149" s="153"/>
      <c r="CM149" s="153"/>
      <c r="CN149" s="153"/>
      <c r="CO149" s="153"/>
      <c r="CP149" s="153"/>
      <c r="CQ149" s="153"/>
      <c r="CR149" s="153"/>
      <c r="CS149" s="153"/>
      <c r="CT149" s="153"/>
      <c r="CU149" s="153"/>
      <c r="CV149" s="153"/>
      <c r="CW149" s="153"/>
      <c r="CX149" s="153"/>
      <c r="CY149" s="153"/>
      <c r="CZ149" s="153"/>
      <c r="DA149" s="153"/>
      <c r="DB149" s="153"/>
      <c r="DC149" s="153"/>
      <c r="DD149" s="153"/>
      <c r="DE149" s="153"/>
      <c r="DF149" s="153"/>
      <c r="DG149" s="153"/>
      <c r="DH149" s="153"/>
      <c r="DI149" s="153"/>
      <c r="DJ149" s="153"/>
      <c r="DK149" s="153"/>
      <c r="DL149" s="153"/>
      <c r="DM149" s="153"/>
      <c r="DN149" s="153"/>
      <c r="DO149" s="153"/>
      <c r="DP149" s="153"/>
      <c r="DQ149" s="154"/>
      <c r="DR149" s="154"/>
      <c r="DS149" s="154"/>
      <c r="DT149" s="154"/>
      <c r="DU149" s="154"/>
      <c r="DV149" s="154"/>
      <c r="DW149" s="154"/>
      <c r="DX149" s="154"/>
      <c r="DY149" s="154"/>
      <c r="DZ149" s="22"/>
      <c r="EA149" s="22"/>
      <c r="EB149" s="22"/>
      <c r="EC149" s="22"/>
      <c r="ED149" s="22"/>
      <c r="EE149" s="22"/>
      <c r="EF149" s="22"/>
      <c r="EG149" s="22"/>
    </row>
    <row r="150" spans="1:137" s="10" customFormat="1" ht="15.9" customHeight="1" outlineLevel="1" x14ac:dyDescent="0.3">
      <c r="A150" s="7" t="s">
        <v>23</v>
      </c>
      <c r="B150" s="6" t="s">
        <v>23</v>
      </c>
      <c r="C150" s="8" t="s">
        <v>44</v>
      </c>
      <c r="D150" s="147">
        <v>35.04</v>
      </c>
      <c r="E150" s="7" t="s">
        <v>189</v>
      </c>
      <c r="F150" s="6" t="s">
        <v>309</v>
      </c>
      <c r="G150" s="9" t="s">
        <v>310</v>
      </c>
      <c r="H150" s="11"/>
      <c r="I150" s="204" cm="1">
        <f t="array" ref="I150">IFERROR(LOOKUP(2,1/(N150:GR150&lt;&gt;""),N$4:DRA$4),"")</f>
        <v>45226</v>
      </c>
      <c r="J150" s="169" cm="1">
        <f t="array" ref="J150">IFERROR(_xlfn.XLOOKUP(TRUE,N150:EH150&lt;&gt;"",N150:EH150,,,-1)," ")</f>
        <v>25.4</v>
      </c>
      <c r="K150" s="45">
        <v>23.5</v>
      </c>
      <c r="L150" s="45"/>
      <c r="M150" s="282" t="s">
        <v>238</v>
      </c>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c r="AT150" s="57"/>
      <c r="AU150" s="61"/>
      <c r="AV150" s="61"/>
      <c r="AW150" s="57"/>
      <c r="AX150" s="61"/>
      <c r="AY150" s="57"/>
      <c r="AZ150" s="57"/>
      <c r="BB150" s="61"/>
      <c r="BC150" s="61"/>
      <c r="BD150" s="57"/>
      <c r="BE150" s="57"/>
      <c r="BF150" s="57"/>
      <c r="BG150" s="57"/>
      <c r="BH150" s="57"/>
      <c r="BI150" s="61"/>
      <c r="BK150" s="57"/>
      <c r="BL150" s="57"/>
      <c r="BM150" s="57"/>
      <c r="BN150" s="57"/>
      <c r="BO150" s="57"/>
      <c r="BP150" s="58"/>
      <c r="BQ150" s="61"/>
      <c r="BR150" s="57"/>
      <c r="BS150" s="57"/>
      <c r="BT150" s="57"/>
      <c r="BU150" s="57"/>
      <c r="BV150" s="57"/>
      <c r="BW150" s="57"/>
      <c r="BX150" s="57"/>
      <c r="BY150" s="57"/>
      <c r="BZ150" s="57"/>
      <c r="CA150" s="57"/>
      <c r="CB150" s="57"/>
      <c r="CC150" s="27"/>
      <c r="CD150" s="61"/>
      <c r="CE150" s="61"/>
      <c r="CF150" s="57"/>
      <c r="CG150" s="57"/>
      <c r="CH150" s="57"/>
      <c r="CI150" s="57">
        <v>24.7</v>
      </c>
      <c r="CJ150" s="57"/>
      <c r="CK150" s="61"/>
      <c r="CL150" s="61"/>
      <c r="CM150" s="57"/>
      <c r="CN150" s="57"/>
      <c r="CO150" s="61"/>
      <c r="CP150" s="61"/>
      <c r="CQ150" s="61"/>
      <c r="CR150" s="61"/>
      <c r="CS150" s="61"/>
      <c r="CT150" s="61"/>
      <c r="CU150" s="61"/>
      <c r="CV150" s="61"/>
      <c r="CW150" s="61"/>
      <c r="CX150" s="61"/>
      <c r="CY150" s="61"/>
      <c r="CZ150" s="61"/>
      <c r="DA150" s="61">
        <v>25.4</v>
      </c>
      <c r="DB150" s="61"/>
      <c r="DC150" s="61"/>
      <c r="DD150" s="61"/>
      <c r="DE150" s="61"/>
      <c r="DF150" s="61"/>
      <c r="DG150" s="61"/>
      <c r="DH150" s="61"/>
      <c r="DI150" s="61"/>
      <c r="DJ150" s="61"/>
      <c r="DK150" s="61"/>
      <c r="DL150" s="61"/>
      <c r="DM150" s="61"/>
      <c r="DN150" s="61"/>
      <c r="DO150" s="61"/>
      <c r="DP150" s="61"/>
      <c r="DQ150" s="156"/>
      <c r="DR150" s="156"/>
      <c r="DS150" s="156"/>
      <c r="DT150" s="156"/>
      <c r="DU150" s="156"/>
      <c r="DV150" s="156"/>
      <c r="DW150" s="156"/>
      <c r="DX150" s="156"/>
      <c r="DY150" s="156"/>
      <c r="DZ150" s="59"/>
      <c r="EA150" s="59"/>
      <c r="EB150" s="59"/>
      <c r="EC150" s="59"/>
      <c r="ED150" s="59"/>
      <c r="EE150" s="59"/>
      <c r="EF150" s="59"/>
      <c r="EG150" s="59"/>
    </row>
    <row r="151" spans="1:137" s="1" customFormat="1" ht="15.9" customHeight="1" outlineLevel="1" x14ac:dyDescent="0.3">
      <c r="A151" s="2" t="s">
        <v>23</v>
      </c>
      <c r="B151" s="7"/>
      <c r="C151" s="4" t="s">
        <v>44</v>
      </c>
      <c r="D151" s="146">
        <v>59.66</v>
      </c>
      <c r="E151" s="2" t="s">
        <v>189</v>
      </c>
      <c r="F151" s="7" t="s">
        <v>311</v>
      </c>
      <c r="G151" s="3" t="s">
        <v>312</v>
      </c>
      <c r="H151" s="9"/>
      <c r="I151" s="202" cm="1">
        <f t="array" ref="I151">IFERROR(LOOKUP(2,1/(N151:GR151&lt;&gt;""),N$4:DRA$4),"")</f>
        <v>45217</v>
      </c>
      <c r="J151" s="168" cm="1">
        <f t="array" ref="J151">IFERROR(_xlfn.XLOOKUP(TRUE,N151:EH151&lt;&gt;"",N151:EH151,,,-1)," ")</f>
        <v>25.6</v>
      </c>
      <c r="K151" s="46">
        <v>24</v>
      </c>
      <c r="L151" s="46">
        <v>24.5</v>
      </c>
      <c r="M151" s="281" t="s">
        <v>151</v>
      </c>
      <c r="N151" s="55"/>
      <c r="O151" s="55"/>
      <c r="P151" s="55"/>
      <c r="Q151" s="55"/>
      <c r="R151" s="55"/>
      <c r="S151" s="55"/>
      <c r="T151" s="55"/>
      <c r="U151" s="55"/>
      <c r="V151" s="55"/>
      <c r="W151" s="55"/>
      <c r="X151" s="55"/>
      <c r="Y151" s="55"/>
      <c r="Z151" s="55"/>
      <c r="AA151" s="55"/>
      <c r="AB151" s="55"/>
      <c r="AC151" s="55"/>
      <c r="AD151" s="55"/>
      <c r="AE151" s="55"/>
      <c r="AF151" s="55"/>
      <c r="AG151" s="55"/>
      <c r="AH151" s="55"/>
      <c r="AI151" s="55"/>
      <c r="AJ151" s="55"/>
      <c r="AK151" s="55"/>
      <c r="AL151" s="55"/>
      <c r="AM151" s="55"/>
      <c r="AN151" s="55"/>
      <c r="AO151" s="55"/>
      <c r="AP151" s="55"/>
      <c r="AQ151" s="55"/>
      <c r="AR151" s="55"/>
      <c r="AS151" s="55"/>
      <c r="AT151" s="55"/>
      <c r="AU151" s="153"/>
      <c r="AV151" s="153"/>
      <c r="AW151" s="55"/>
      <c r="AX151" s="153"/>
      <c r="AY151" s="55"/>
      <c r="AZ151" s="55"/>
      <c r="BA151" s="55"/>
      <c r="BB151" s="153"/>
      <c r="BC151" s="153"/>
      <c r="BD151" s="55"/>
      <c r="BE151" s="55"/>
      <c r="BF151" s="55"/>
      <c r="BG151" s="55"/>
      <c r="BH151" s="55"/>
      <c r="BI151" s="153"/>
      <c r="BJ151" s="153"/>
      <c r="BK151" s="55"/>
      <c r="BL151" s="55"/>
      <c r="BM151" s="55"/>
      <c r="BN151" s="55"/>
      <c r="BO151" s="55"/>
      <c r="BP151" s="56"/>
      <c r="BQ151" s="153"/>
      <c r="BR151" s="55"/>
      <c r="BS151" s="55"/>
      <c r="BT151" s="55"/>
      <c r="BU151" s="55"/>
      <c r="BV151" s="55"/>
      <c r="BW151" s="55"/>
      <c r="BX151" s="55"/>
      <c r="BY151" s="55"/>
      <c r="BZ151" s="55"/>
      <c r="CA151" s="55"/>
      <c r="CB151" s="55"/>
      <c r="CC151" s="401"/>
      <c r="CD151" s="153"/>
      <c r="CE151" s="153"/>
      <c r="CF151" s="55"/>
      <c r="CG151" s="153"/>
      <c r="CH151" s="55"/>
      <c r="CI151" s="153"/>
      <c r="CJ151" s="55"/>
      <c r="CK151" s="153" t="s">
        <v>212</v>
      </c>
      <c r="CL151" s="153"/>
      <c r="CM151" s="153"/>
      <c r="CN151" s="153"/>
      <c r="CO151" s="153"/>
      <c r="CP151" s="153"/>
      <c r="CQ151" s="153"/>
      <c r="CR151" s="153">
        <v>25.6</v>
      </c>
      <c r="CS151" s="153"/>
      <c r="CT151" s="153"/>
      <c r="CU151" s="153"/>
      <c r="CV151" s="153"/>
      <c r="CW151" s="153"/>
      <c r="CX151" s="153"/>
      <c r="CY151" s="153"/>
      <c r="CZ151" s="153"/>
      <c r="DA151" s="153"/>
      <c r="DB151" s="153"/>
      <c r="DC151" s="153"/>
      <c r="DD151" s="153"/>
      <c r="DE151" s="153"/>
      <c r="DF151" s="153"/>
      <c r="DG151" s="153"/>
      <c r="DH151" s="153"/>
      <c r="DI151" s="153"/>
      <c r="DJ151" s="153"/>
      <c r="DK151" s="153"/>
      <c r="DL151" s="153"/>
      <c r="DM151" s="153"/>
      <c r="DN151" s="153"/>
      <c r="DO151" s="153"/>
      <c r="DP151" s="153"/>
      <c r="DQ151" s="154"/>
      <c r="DR151" s="154"/>
      <c r="DS151" s="154"/>
      <c r="DT151" s="154"/>
      <c r="DU151" s="154"/>
      <c r="DV151" s="154"/>
      <c r="DW151" s="154"/>
      <c r="DX151" s="154"/>
      <c r="DY151" s="154"/>
      <c r="DZ151" s="22"/>
      <c r="EA151" s="22"/>
      <c r="EB151" s="22"/>
      <c r="EC151" s="22"/>
      <c r="ED151" s="22"/>
      <c r="EE151" s="22"/>
      <c r="EF151" s="22"/>
      <c r="EG151" s="22"/>
    </row>
    <row r="152" spans="1:137" s="10" customFormat="1" ht="15.9" customHeight="1" outlineLevel="1" x14ac:dyDescent="0.3">
      <c r="A152" s="7"/>
      <c r="B152" s="7"/>
      <c r="C152" s="8" t="s">
        <v>24</v>
      </c>
      <c r="D152" s="146">
        <v>64.31</v>
      </c>
      <c r="E152" s="7" t="s">
        <v>189</v>
      </c>
      <c r="F152" s="7" t="s">
        <v>313</v>
      </c>
      <c r="G152" s="9" t="s">
        <v>314</v>
      </c>
      <c r="H152" s="11" t="s">
        <v>22</v>
      </c>
      <c r="I152" s="204" cm="1">
        <f t="array" ref="I152">IFERROR(LOOKUP(2,1/(N152:GR152&lt;&gt;""),N$4:DRA$4),"")</f>
        <v>45183</v>
      </c>
      <c r="J152" s="169" cm="1">
        <f t="array" ref="J152">IFERROR(_xlfn.XLOOKUP(TRUE,N152:EH152&lt;&gt;"",N152:EH152,,,-1)," ")</f>
        <v>19.8</v>
      </c>
      <c r="K152" s="45">
        <v>22.5</v>
      </c>
      <c r="L152" s="45"/>
      <c r="M152" s="282" t="s">
        <v>315</v>
      </c>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57"/>
      <c r="AT152" s="57"/>
      <c r="AU152" s="61"/>
      <c r="AV152" s="61"/>
      <c r="AW152" s="57"/>
      <c r="AX152" s="61"/>
      <c r="AY152" s="57"/>
      <c r="AZ152" s="57"/>
      <c r="BA152" s="57">
        <v>17</v>
      </c>
      <c r="BB152" s="61"/>
      <c r="BC152" s="61"/>
      <c r="BD152" s="57"/>
      <c r="BE152" s="57"/>
      <c r="BF152" s="57"/>
      <c r="BG152" s="57"/>
      <c r="BH152" s="57"/>
      <c r="BI152" s="61"/>
      <c r="BJ152" s="61">
        <v>19.8</v>
      </c>
      <c r="BK152" s="57"/>
      <c r="BL152" s="57"/>
      <c r="BM152" s="57"/>
      <c r="BN152" s="57"/>
      <c r="BO152" s="57"/>
      <c r="BP152" s="58"/>
      <c r="BQ152" s="61"/>
      <c r="BR152" s="57"/>
      <c r="BS152" s="57"/>
      <c r="BT152" s="57"/>
      <c r="BU152" s="57"/>
      <c r="BV152" s="57"/>
      <c r="BW152" s="57"/>
      <c r="BX152" s="57"/>
      <c r="BY152" s="57"/>
      <c r="BZ152" s="57"/>
      <c r="CA152" s="57"/>
      <c r="CB152" s="57"/>
      <c r="CC152" s="27"/>
      <c r="CD152" s="61"/>
      <c r="CE152" s="61"/>
      <c r="CF152" s="57"/>
      <c r="CG152" s="57"/>
      <c r="CH152" s="57"/>
      <c r="CI152" s="61"/>
      <c r="CJ152" s="57"/>
      <c r="CK152" s="61"/>
      <c r="CL152" s="61"/>
      <c r="CM152" s="61"/>
      <c r="CN152" s="61"/>
      <c r="CO152" s="61"/>
      <c r="CP152" s="61"/>
      <c r="CQ152" s="61"/>
      <c r="CR152" s="61"/>
      <c r="CS152" s="61"/>
      <c r="CT152" s="61"/>
      <c r="CU152" s="61"/>
      <c r="CV152" s="61"/>
      <c r="CW152" s="61"/>
      <c r="CX152" s="61"/>
      <c r="CY152" s="61"/>
      <c r="CZ152" s="61"/>
      <c r="DA152" s="61"/>
      <c r="DB152" s="61"/>
      <c r="DC152" s="61"/>
      <c r="DD152" s="61"/>
      <c r="DE152" s="61"/>
      <c r="DF152" s="61"/>
      <c r="DG152" s="61"/>
      <c r="DH152" s="61"/>
      <c r="DI152" s="61"/>
      <c r="DJ152" s="61"/>
      <c r="DK152" s="61"/>
      <c r="DL152" s="61"/>
      <c r="DM152" s="61"/>
      <c r="DN152" s="61"/>
      <c r="DO152" s="61"/>
      <c r="DP152" s="61"/>
      <c r="DQ152" s="156"/>
      <c r="DR152" s="156"/>
      <c r="DS152" s="156"/>
      <c r="DT152" s="156"/>
      <c r="DU152" s="156"/>
      <c r="DV152" s="156"/>
      <c r="DW152" s="156"/>
      <c r="DX152" s="156"/>
      <c r="DY152" s="156"/>
      <c r="DZ152" s="59"/>
      <c r="EA152" s="59"/>
      <c r="EB152" s="59"/>
      <c r="EC152" s="59"/>
      <c r="ED152" s="59"/>
      <c r="EE152" s="59"/>
      <c r="EF152" s="59"/>
      <c r="EG152" s="59"/>
    </row>
    <row r="153" spans="1:137" s="10" customFormat="1" ht="15.9" customHeight="1" outlineLevel="1" x14ac:dyDescent="0.3">
      <c r="A153" s="7"/>
      <c r="B153" s="7"/>
      <c r="C153" s="8" t="s">
        <v>24</v>
      </c>
      <c r="D153" s="146"/>
      <c r="E153" s="7" t="s">
        <v>189</v>
      </c>
      <c r="F153" s="7" t="s">
        <v>313</v>
      </c>
      <c r="G153" s="9" t="s">
        <v>316</v>
      </c>
      <c r="H153" s="11"/>
      <c r="I153" s="204" t="str" cm="1">
        <f t="array" ref="I153">IFERROR(LOOKUP(2,1/(N153:GR153&lt;&gt;""),N$4:DRA$4),"")</f>
        <v/>
      </c>
      <c r="J153" s="169" t="str" cm="1">
        <f t="array" ref="J153">IFERROR(_xlfn.XLOOKUP(TRUE,N153:EH153&lt;&gt;"",N153:EH153,,,-1)," ")</f>
        <v xml:space="preserve"> </v>
      </c>
      <c r="K153" s="45">
        <v>22.5</v>
      </c>
      <c r="L153" s="45"/>
      <c r="M153" s="282" t="s">
        <v>315</v>
      </c>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c r="AQ153" s="57"/>
      <c r="AR153" s="57"/>
      <c r="AS153" s="57"/>
      <c r="AT153" s="57"/>
      <c r="AU153" s="61"/>
      <c r="AV153" s="61"/>
      <c r="AW153" s="57"/>
      <c r="AX153" s="61"/>
      <c r="AY153" s="57"/>
      <c r="AZ153" s="57"/>
      <c r="BA153" s="57"/>
      <c r="BB153" s="61"/>
      <c r="BC153" s="61"/>
      <c r="BD153" s="57"/>
      <c r="BE153" s="57"/>
      <c r="BF153" s="57"/>
      <c r="BG153" s="57"/>
      <c r="BH153" s="57"/>
      <c r="BI153" s="61"/>
      <c r="BJ153" s="61"/>
      <c r="BK153" s="57"/>
      <c r="BL153" s="57"/>
      <c r="BM153" s="57"/>
      <c r="BN153" s="57"/>
      <c r="BO153" s="57"/>
      <c r="BP153" s="58"/>
      <c r="BQ153" s="61"/>
      <c r="BR153" s="57"/>
      <c r="BS153" s="57"/>
      <c r="BT153" s="57"/>
      <c r="BU153" s="57"/>
      <c r="BV153" s="57"/>
      <c r="BW153" s="57"/>
      <c r="BX153" s="57"/>
      <c r="BY153" s="57"/>
      <c r="BZ153" s="57"/>
      <c r="CA153" s="57"/>
      <c r="CB153" s="57"/>
      <c r="CC153" s="27"/>
      <c r="CD153" s="61"/>
      <c r="CE153" s="61"/>
      <c r="CF153" s="57"/>
      <c r="CG153" s="57"/>
      <c r="CH153" s="57"/>
      <c r="CI153" s="61"/>
      <c r="CJ153" s="57"/>
      <c r="CK153" s="61"/>
      <c r="CL153" s="61"/>
      <c r="CM153" s="61"/>
      <c r="CN153" s="61"/>
      <c r="CO153" s="61"/>
      <c r="CP153" s="61"/>
      <c r="CQ153" s="61"/>
      <c r="CR153" s="61"/>
      <c r="CS153" s="61"/>
      <c r="CT153" s="61"/>
      <c r="CU153" s="61"/>
      <c r="CV153" s="61"/>
      <c r="CW153" s="61"/>
      <c r="CX153" s="61"/>
      <c r="CY153" s="61"/>
      <c r="CZ153" s="61"/>
      <c r="DA153" s="61"/>
      <c r="DB153" s="61"/>
      <c r="DC153" s="61"/>
      <c r="DD153" s="61"/>
      <c r="DE153" s="61"/>
      <c r="DF153" s="61"/>
      <c r="DG153" s="61"/>
      <c r="DH153" s="61"/>
      <c r="DI153" s="61"/>
      <c r="DJ153" s="61"/>
      <c r="DK153" s="61"/>
      <c r="DL153" s="61"/>
      <c r="DM153" s="61"/>
      <c r="DN153" s="61"/>
      <c r="DO153" s="61"/>
      <c r="DP153" s="61"/>
      <c r="DQ153" s="156"/>
      <c r="DR153" s="156"/>
      <c r="DS153" s="156"/>
      <c r="DT153" s="156"/>
      <c r="DU153" s="156"/>
      <c r="DV153" s="156"/>
      <c r="DW153" s="156"/>
      <c r="DX153" s="156"/>
      <c r="DY153" s="156"/>
      <c r="DZ153" s="59"/>
      <c r="EA153" s="59"/>
      <c r="EB153" s="59"/>
      <c r="EC153" s="59"/>
      <c r="ED153" s="59"/>
      <c r="EE153" s="59"/>
      <c r="EF153" s="59"/>
      <c r="EG153" s="59"/>
    </row>
    <row r="154" spans="1:137" s="10" customFormat="1" ht="15.9" customHeight="1" outlineLevel="1" x14ac:dyDescent="0.3">
      <c r="A154" s="7"/>
      <c r="B154" s="7"/>
      <c r="C154" s="8" t="s">
        <v>24</v>
      </c>
      <c r="D154" s="146"/>
      <c r="E154" s="7" t="s">
        <v>189</v>
      </c>
      <c r="F154" s="7" t="s">
        <v>313</v>
      </c>
      <c r="G154" s="9" t="s">
        <v>317</v>
      </c>
      <c r="H154" s="11"/>
      <c r="I154" s="204" cm="1">
        <f t="array" ref="I154">IFERROR(LOOKUP(2,1/(N154:GR154&lt;&gt;""),N$4:DRA$4),"")</f>
        <v>45218</v>
      </c>
      <c r="J154" s="169" cm="1">
        <f t="array" ref="J154">IFERROR(_xlfn.XLOOKUP(TRUE,N154:EH154&lt;&gt;"",N154:EH154,,,-1)," ")</f>
        <v>25</v>
      </c>
      <c r="K154" s="45">
        <v>22.5</v>
      </c>
      <c r="L154" s="45"/>
      <c r="M154" s="282" t="s">
        <v>315</v>
      </c>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57"/>
      <c r="AT154" s="57" t="s">
        <v>318</v>
      </c>
      <c r="AU154" s="61"/>
      <c r="AV154" s="61"/>
      <c r="AW154" s="57"/>
      <c r="AX154" s="61"/>
      <c r="AY154" s="57"/>
      <c r="AZ154" s="57"/>
      <c r="BA154" s="57" t="s">
        <v>319</v>
      </c>
      <c r="BB154" s="61"/>
      <c r="BC154" s="61"/>
      <c r="BD154" s="57"/>
      <c r="BE154" s="57"/>
      <c r="BF154" s="57"/>
      <c r="BG154" s="57"/>
      <c r="BH154" s="57"/>
      <c r="BI154" s="61"/>
      <c r="BJ154" s="61"/>
      <c r="BK154" s="57"/>
      <c r="BL154" s="57"/>
      <c r="BM154" s="57"/>
      <c r="BN154" s="57"/>
      <c r="BO154" s="57"/>
      <c r="BP154" s="58"/>
      <c r="BQ154" s="61"/>
      <c r="BR154" s="57"/>
      <c r="BS154" s="57"/>
      <c r="BT154" s="57"/>
      <c r="BU154" s="57"/>
      <c r="BV154" s="57"/>
      <c r="BW154" s="57"/>
      <c r="BX154" s="57"/>
      <c r="BY154" s="57"/>
      <c r="BZ154" s="57"/>
      <c r="CA154" s="57"/>
      <c r="CB154" s="57"/>
      <c r="CC154" s="27"/>
      <c r="CD154" s="61"/>
      <c r="CE154" s="61"/>
      <c r="CF154" s="57"/>
      <c r="CG154" s="57"/>
      <c r="CH154" s="57"/>
      <c r="CI154" s="61"/>
      <c r="CJ154" s="57"/>
      <c r="CK154" s="61"/>
      <c r="CL154" s="61"/>
      <c r="CM154" s="61"/>
      <c r="CN154" s="61"/>
      <c r="CO154" s="61"/>
      <c r="CP154" s="61"/>
      <c r="CQ154" s="61"/>
      <c r="CR154" s="61"/>
      <c r="CS154" s="61">
        <v>25</v>
      </c>
      <c r="CT154" s="61"/>
      <c r="CU154" s="61"/>
      <c r="CV154" s="61"/>
      <c r="CW154" s="61"/>
      <c r="CX154" s="61"/>
      <c r="CY154" s="61"/>
      <c r="CZ154" s="61"/>
      <c r="DA154" s="61"/>
      <c r="DB154" s="61"/>
      <c r="DC154" s="61"/>
      <c r="DD154" s="61"/>
      <c r="DE154" s="61"/>
      <c r="DF154" s="61"/>
      <c r="DG154" s="61"/>
      <c r="DH154" s="61"/>
      <c r="DI154" s="61"/>
      <c r="DJ154" s="61"/>
      <c r="DK154" s="61"/>
      <c r="DL154" s="61"/>
      <c r="DM154" s="61"/>
      <c r="DN154" s="61"/>
      <c r="DO154" s="61"/>
      <c r="DP154" s="61"/>
      <c r="DQ154" s="156"/>
      <c r="DR154" s="156"/>
      <c r="DS154" s="156"/>
      <c r="DT154" s="156"/>
      <c r="DU154" s="156"/>
      <c r="DV154" s="156"/>
      <c r="DW154" s="156"/>
      <c r="DX154" s="156"/>
      <c r="DY154" s="156"/>
      <c r="DZ154" s="59"/>
      <c r="EA154" s="59"/>
      <c r="EB154" s="59"/>
      <c r="EC154" s="59"/>
      <c r="ED154" s="59"/>
      <c r="EE154" s="59"/>
      <c r="EF154" s="59"/>
      <c r="EG154" s="59"/>
    </row>
    <row r="155" spans="1:137" s="10" customFormat="1" ht="15.9" customHeight="1" outlineLevel="1" x14ac:dyDescent="0.3">
      <c r="A155" s="7"/>
      <c r="B155" s="7"/>
      <c r="C155" s="8" t="s">
        <v>24</v>
      </c>
      <c r="D155" s="146"/>
      <c r="E155" s="7" t="s">
        <v>189</v>
      </c>
      <c r="F155" s="7" t="s">
        <v>313</v>
      </c>
      <c r="G155" s="9" t="s">
        <v>320</v>
      </c>
      <c r="H155" s="11"/>
      <c r="I155" s="204" cm="1">
        <f t="array" ref="I155">IFERROR(LOOKUP(2,1/(N155:GR155&lt;&gt;""),N$4:DRA$4),"")</f>
        <v>45218</v>
      </c>
      <c r="J155" s="169" cm="1">
        <f t="array" ref="J155">IFERROR(_xlfn.XLOOKUP(TRUE,N155:EH155&lt;&gt;"",N155:EH155,,,-1)," ")</f>
        <v>24</v>
      </c>
      <c r="K155" s="45">
        <v>22.5</v>
      </c>
      <c r="L155" s="45"/>
      <c r="M155" s="282" t="s">
        <v>315</v>
      </c>
      <c r="N155" s="57"/>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c r="AR155" s="57"/>
      <c r="AS155" s="57"/>
      <c r="AT155" s="57"/>
      <c r="AU155" s="61"/>
      <c r="AV155" s="61"/>
      <c r="AW155" s="57"/>
      <c r="AX155" s="61"/>
      <c r="AY155" s="57"/>
      <c r="AZ155" s="57"/>
      <c r="BA155" s="57">
        <v>19.2</v>
      </c>
      <c r="BB155" s="61"/>
      <c r="BC155" s="61"/>
      <c r="BD155" s="57"/>
      <c r="BE155" s="57"/>
      <c r="BF155" s="57"/>
      <c r="BG155" s="57"/>
      <c r="BH155" s="57"/>
      <c r="BI155" s="61"/>
      <c r="BJ155" s="61"/>
      <c r="BK155" s="57"/>
      <c r="BL155" s="57"/>
      <c r="BM155" s="57"/>
      <c r="BN155" s="57"/>
      <c r="BO155" s="57"/>
      <c r="BP155" s="58"/>
      <c r="BQ155" s="61"/>
      <c r="BR155" s="57"/>
      <c r="BS155" s="57"/>
      <c r="BT155" s="57"/>
      <c r="BU155" s="57"/>
      <c r="BV155" s="57"/>
      <c r="BW155" s="57"/>
      <c r="BX155" s="57"/>
      <c r="BY155" s="57"/>
      <c r="BZ155" s="57"/>
      <c r="CA155" s="57"/>
      <c r="CB155" s="57"/>
      <c r="CC155" s="27"/>
      <c r="CD155" s="61"/>
      <c r="CE155" s="61"/>
      <c r="CF155" s="57"/>
      <c r="CG155" s="57"/>
      <c r="CH155" s="57"/>
      <c r="CI155" s="61"/>
      <c r="CJ155" s="57"/>
      <c r="CK155" s="61"/>
      <c r="CL155" s="61"/>
      <c r="CM155" s="61"/>
      <c r="CN155" s="61"/>
      <c r="CO155" s="61"/>
      <c r="CP155" s="61"/>
      <c r="CQ155" s="61"/>
      <c r="CR155" s="61"/>
      <c r="CS155" s="61">
        <v>24</v>
      </c>
      <c r="CT155" s="61"/>
      <c r="CU155" s="61"/>
      <c r="CV155" s="61"/>
      <c r="CW155" s="61"/>
      <c r="CX155" s="61"/>
      <c r="CY155" s="61"/>
      <c r="CZ155" s="61"/>
      <c r="DA155" s="61"/>
      <c r="DB155" s="61"/>
      <c r="DC155" s="61"/>
      <c r="DD155" s="61"/>
      <c r="DE155" s="61"/>
      <c r="DF155" s="61"/>
      <c r="DG155" s="61"/>
      <c r="DH155" s="61"/>
      <c r="DI155" s="61"/>
      <c r="DJ155" s="61"/>
      <c r="DK155" s="61"/>
      <c r="DL155" s="61"/>
      <c r="DM155" s="61"/>
      <c r="DN155" s="61"/>
      <c r="DO155" s="61"/>
      <c r="DP155" s="61"/>
      <c r="DQ155" s="156"/>
      <c r="DR155" s="156"/>
      <c r="DS155" s="156"/>
      <c r="DT155" s="156"/>
      <c r="DU155" s="156"/>
      <c r="DV155" s="156"/>
      <c r="DW155" s="156"/>
      <c r="DX155" s="156"/>
      <c r="DY155" s="156"/>
      <c r="DZ155" s="59"/>
      <c r="EA155" s="59"/>
      <c r="EB155" s="59"/>
      <c r="EC155" s="59"/>
      <c r="ED155" s="59"/>
      <c r="EE155" s="59"/>
      <c r="EF155" s="59"/>
      <c r="EG155" s="59"/>
    </row>
    <row r="156" spans="1:137" s="1" customFormat="1" ht="15.9" customHeight="1" outlineLevel="1" x14ac:dyDescent="0.3">
      <c r="A156" s="2" t="s">
        <v>22</v>
      </c>
      <c r="B156" s="6"/>
      <c r="C156" s="4" t="s">
        <v>44</v>
      </c>
      <c r="D156" s="147">
        <v>4.2300000000000004</v>
      </c>
      <c r="E156" s="2" t="s">
        <v>189</v>
      </c>
      <c r="F156" s="6" t="s">
        <v>321</v>
      </c>
      <c r="G156" s="3" t="s">
        <v>322</v>
      </c>
      <c r="H156" s="9"/>
      <c r="I156" s="202" cm="1">
        <f t="array" ref="I156">IFERROR(LOOKUP(2,1/(N156:GR156&lt;&gt;""),N$4:DRA$4),"")</f>
        <v>45218</v>
      </c>
      <c r="J156" s="168" cm="1">
        <f t="array" ref="J156">IFERROR(_xlfn.XLOOKUP(TRUE,N156:EH156&lt;&gt;"",N156:EH156,,,-1)," ")</f>
        <v>24</v>
      </c>
      <c r="K156" s="46">
        <v>24</v>
      </c>
      <c r="L156" s="46">
        <v>24.5</v>
      </c>
      <c r="M156" s="281" t="s">
        <v>28</v>
      </c>
      <c r="N156" s="55"/>
      <c r="O156" s="55"/>
      <c r="P156" s="55"/>
      <c r="Q156" s="55"/>
      <c r="R156" s="55"/>
      <c r="S156" s="55"/>
      <c r="T156" s="55"/>
      <c r="U156" s="55"/>
      <c r="V156" s="55"/>
      <c r="W156" s="55"/>
      <c r="X156" s="55"/>
      <c r="Y156" s="55"/>
      <c r="Z156" s="55"/>
      <c r="AA156" s="55"/>
      <c r="AB156" s="55"/>
      <c r="AC156" s="55"/>
      <c r="AD156" s="55"/>
      <c r="AE156" s="55"/>
      <c r="AF156" s="55"/>
      <c r="AG156" s="55"/>
      <c r="AH156" s="55"/>
      <c r="AI156" s="55"/>
      <c r="AJ156" s="55"/>
      <c r="AK156" s="55"/>
      <c r="AL156" s="55"/>
      <c r="AM156" s="55"/>
      <c r="AN156" s="55"/>
      <c r="AO156" s="55"/>
      <c r="AP156" s="55"/>
      <c r="AQ156" s="55"/>
      <c r="AR156" s="55"/>
      <c r="AS156" s="55"/>
      <c r="AT156" s="55"/>
      <c r="AU156" s="153"/>
      <c r="AV156" s="153"/>
      <c r="AW156" s="55"/>
      <c r="AX156" s="153"/>
      <c r="AY156" s="55"/>
      <c r="AZ156" s="55">
        <v>18.2</v>
      </c>
      <c r="BA156" s="55"/>
      <c r="BB156" s="153"/>
      <c r="BC156" s="153"/>
      <c r="BD156" s="55"/>
      <c r="BE156" s="55"/>
      <c r="BF156" s="55"/>
      <c r="BG156" s="55"/>
      <c r="BH156" s="55"/>
      <c r="BI156" s="153"/>
      <c r="BJ156" s="153"/>
      <c r="BK156" s="55"/>
      <c r="BL156" s="55"/>
      <c r="BM156" s="55"/>
      <c r="BN156" s="55"/>
      <c r="BO156" s="55"/>
      <c r="BP156" s="56"/>
      <c r="BQ156" s="153"/>
      <c r="BR156" s="55"/>
      <c r="BS156" s="55"/>
      <c r="BT156" s="55"/>
      <c r="BU156" s="55"/>
      <c r="BV156" s="55"/>
      <c r="BW156" s="55"/>
      <c r="BX156" s="55"/>
      <c r="BY156" s="55"/>
      <c r="BZ156" s="55">
        <v>21.4</v>
      </c>
      <c r="CA156" s="55"/>
      <c r="CB156" s="55"/>
      <c r="CC156" s="401"/>
      <c r="CD156" s="153"/>
      <c r="CE156" s="153"/>
      <c r="CF156" s="55"/>
      <c r="CG156" s="153">
        <v>22.5</v>
      </c>
      <c r="CH156" s="55"/>
      <c r="CI156" s="153"/>
      <c r="CJ156" s="55"/>
      <c r="CK156" s="153"/>
      <c r="CL156" s="153"/>
      <c r="CM156" s="157">
        <v>21.5</v>
      </c>
      <c r="CN156" s="153"/>
      <c r="CO156" s="153"/>
      <c r="CP156" s="153"/>
      <c r="CQ156" s="153"/>
      <c r="CR156" s="153"/>
      <c r="CS156" s="153">
        <v>24</v>
      </c>
      <c r="CT156" s="153"/>
      <c r="CU156" s="153"/>
      <c r="CV156" s="153"/>
      <c r="CW156" s="153"/>
      <c r="CX156" s="153"/>
      <c r="CY156" s="153"/>
      <c r="CZ156" s="153"/>
      <c r="DA156" s="153"/>
      <c r="DB156" s="153"/>
      <c r="DC156" s="153"/>
      <c r="DD156" s="153"/>
      <c r="DE156" s="153"/>
      <c r="DF156" s="153"/>
      <c r="DG156" s="153"/>
      <c r="DH156" s="153"/>
      <c r="DI156" s="153"/>
      <c r="DJ156" s="153"/>
      <c r="DK156" s="153"/>
      <c r="DL156" s="153"/>
      <c r="DM156" s="153"/>
      <c r="DN156" s="153"/>
      <c r="DO156" s="153"/>
      <c r="DP156" s="153"/>
      <c r="DQ156" s="154"/>
      <c r="DR156" s="154"/>
      <c r="DS156" s="154"/>
      <c r="DT156" s="154"/>
      <c r="DU156" s="154"/>
      <c r="DV156" s="154"/>
      <c r="DW156" s="154"/>
      <c r="DX156" s="154"/>
      <c r="DY156" s="154"/>
      <c r="DZ156" s="22"/>
      <c r="EA156" s="22"/>
      <c r="EB156" s="22"/>
      <c r="EC156" s="22"/>
      <c r="ED156" s="22"/>
      <c r="EE156" s="22"/>
      <c r="EF156" s="22"/>
      <c r="EG156" s="22"/>
    </row>
    <row r="157" spans="1:137" s="10" customFormat="1" ht="15.9" customHeight="1" outlineLevel="1" x14ac:dyDescent="0.3">
      <c r="A157" s="7" t="s">
        <v>22</v>
      </c>
      <c r="B157" s="7"/>
      <c r="C157" s="8" t="s">
        <v>24</v>
      </c>
      <c r="D157" s="146">
        <v>18.59</v>
      </c>
      <c r="E157" s="7" t="s">
        <v>189</v>
      </c>
      <c r="F157" s="7" t="s">
        <v>323</v>
      </c>
      <c r="G157" s="9" t="s">
        <v>324</v>
      </c>
      <c r="H157" s="11"/>
      <c r="I157" s="204" cm="1">
        <f t="array" ref="I157">IFERROR(LOOKUP(2,1/(N157:GR157&lt;&gt;""),N$4:DRA$4),"")</f>
        <v>45213</v>
      </c>
      <c r="J157" s="266" cm="1">
        <f t="array" ref="J157">IFERROR(_xlfn.XLOOKUP(TRUE,N157:EH157&lt;&gt;"",N157:EH157,,,-1)," ")</f>
        <v>24.6</v>
      </c>
      <c r="K157" s="45"/>
      <c r="L157" s="45">
        <v>24.5</v>
      </c>
      <c r="M157" s="282" t="s">
        <v>28</v>
      </c>
      <c r="N157" s="57"/>
      <c r="O157" s="57"/>
      <c r="P157" s="57"/>
      <c r="Q157" s="57"/>
      <c r="R157" s="57"/>
      <c r="S157" s="57"/>
      <c r="T157" s="57"/>
      <c r="U157" s="57"/>
      <c r="V157" s="57"/>
      <c r="W157" s="57"/>
      <c r="X157" s="57"/>
      <c r="Y157" s="57"/>
      <c r="Z157" s="57"/>
      <c r="AA157" s="57"/>
      <c r="AB157" s="57"/>
      <c r="AC157" s="57"/>
      <c r="AD157" s="57"/>
      <c r="AE157" s="57"/>
      <c r="AF157" s="57"/>
      <c r="AG157" s="57"/>
      <c r="AH157" s="57"/>
      <c r="AI157" s="57"/>
      <c r="AJ157" s="57"/>
      <c r="AK157" s="57"/>
      <c r="AL157" s="57"/>
      <c r="AM157" s="57"/>
      <c r="AN157" s="57"/>
      <c r="AO157" s="57"/>
      <c r="AP157" s="57"/>
      <c r="AQ157" s="57"/>
      <c r="AR157" s="57"/>
      <c r="AS157" s="57"/>
      <c r="AT157" s="57"/>
      <c r="AU157" s="61"/>
      <c r="AV157" s="61"/>
      <c r="AW157" s="57"/>
      <c r="AX157" s="61"/>
      <c r="AY157" s="57"/>
      <c r="AZ157" s="57"/>
      <c r="BA157" s="57"/>
      <c r="BB157" s="61"/>
      <c r="BC157" s="61"/>
      <c r="BD157" s="57"/>
      <c r="BE157" s="57"/>
      <c r="BF157" s="57"/>
      <c r="BG157" s="57"/>
      <c r="BH157" s="57"/>
      <c r="BI157" s="61"/>
      <c r="BJ157" s="61"/>
      <c r="BK157" s="57">
        <v>21.4</v>
      </c>
      <c r="BL157" s="57"/>
      <c r="BM157" s="57"/>
      <c r="BN157" s="57"/>
      <c r="BO157" s="57"/>
      <c r="BP157" s="58"/>
      <c r="BQ157" s="61"/>
      <c r="BR157" s="57"/>
      <c r="BS157" s="58"/>
      <c r="BT157" s="57"/>
      <c r="BU157" s="57"/>
      <c r="BV157" s="57"/>
      <c r="BW157" s="57"/>
      <c r="BX157" s="57"/>
      <c r="BY157" s="57"/>
      <c r="BZ157" s="57"/>
      <c r="CA157" s="57"/>
      <c r="CB157" s="57"/>
      <c r="CC157" s="27"/>
      <c r="CD157" s="61">
        <v>23.5</v>
      </c>
      <c r="CE157" s="61"/>
      <c r="CF157" s="57"/>
      <c r="CG157" s="61"/>
      <c r="CH157" s="57"/>
      <c r="CI157" s="61"/>
      <c r="CJ157" s="57">
        <v>25</v>
      </c>
      <c r="CK157" s="61"/>
      <c r="CL157" s="61"/>
      <c r="CM157" s="61"/>
      <c r="CN157" s="160">
        <v>24.6</v>
      </c>
      <c r="CO157" s="61"/>
      <c r="CP157" s="61"/>
      <c r="CQ157" s="61"/>
      <c r="CR157" s="61"/>
      <c r="CS157" s="61"/>
      <c r="CT157" s="61"/>
      <c r="CU157" s="61"/>
      <c r="CV157" s="61"/>
      <c r="CW157" s="61"/>
      <c r="CX157" s="61"/>
      <c r="CY157" s="61"/>
      <c r="CZ157" s="61"/>
      <c r="DA157" s="61"/>
      <c r="DB157" s="61"/>
      <c r="DC157" s="61"/>
      <c r="DD157" s="61"/>
      <c r="DE157" s="61"/>
      <c r="DF157" s="61"/>
      <c r="DG157" s="61"/>
      <c r="DH157" s="61"/>
      <c r="DI157" s="61"/>
      <c r="DJ157" s="61"/>
      <c r="DK157" s="61"/>
      <c r="DL157" s="61"/>
      <c r="DM157" s="61"/>
      <c r="DN157" s="61"/>
      <c r="DO157" s="61"/>
      <c r="DP157" s="61"/>
      <c r="DQ157" s="156"/>
      <c r="DR157" s="156"/>
      <c r="DS157" s="156"/>
      <c r="DT157" s="156"/>
      <c r="DU157" s="156"/>
      <c r="DV157" s="156"/>
      <c r="DW157" s="156"/>
      <c r="DX157" s="156"/>
      <c r="DY157" s="156"/>
      <c r="DZ157" s="78"/>
      <c r="EA157" s="78"/>
      <c r="EB157" s="78"/>
      <c r="EC157" s="78"/>
      <c r="ED157" s="78"/>
      <c r="EE157" s="78"/>
      <c r="EF157" s="78"/>
      <c r="EG157" s="78"/>
    </row>
    <row r="158" spans="1:137" s="10" customFormat="1" ht="15.9" customHeight="1" outlineLevel="1" x14ac:dyDescent="0.3">
      <c r="A158" s="7" t="s">
        <v>22</v>
      </c>
      <c r="B158" s="7"/>
      <c r="C158" s="8" t="s">
        <v>24</v>
      </c>
      <c r="D158" s="146"/>
      <c r="E158" s="7" t="s">
        <v>189</v>
      </c>
      <c r="F158" s="7" t="s">
        <v>323</v>
      </c>
      <c r="G158" s="9" t="s">
        <v>325</v>
      </c>
      <c r="H158" s="11"/>
      <c r="I158" s="204" cm="1">
        <f t="array" ref="I158">IFERROR(LOOKUP(2,1/(N158:GR158&lt;&gt;""),N$4:DRA$4),"")</f>
        <v>45213</v>
      </c>
      <c r="J158" s="169" cm="1">
        <f t="array" ref="J158">IFERROR(_xlfn.XLOOKUP(TRUE,N158:EH158&lt;&gt;"",N158:EH158,,,-1)," ")</f>
        <v>24.3</v>
      </c>
      <c r="K158" s="45"/>
      <c r="L158" s="45">
        <v>24.5</v>
      </c>
      <c r="M158" s="282" t="s">
        <v>28</v>
      </c>
      <c r="N158" s="57"/>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c r="AT158" s="57"/>
      <c r="AU158" s="61"/>
      <c r="AV158" s="61"/>
      <c r="AW158" s="57"/>
      <c r="AX158" s="61"/>
      <c r="AY158" s="57"/>
      <c r="AZ158" s="57"/>
      <c r="BA158" s="57"/>
      <c r="BB158" s="61"/>
      <c r="BC158" s="61"/>
      <c r="BD158" s="57"/>
      <c r="BE158" s="57"/>
      <c r="BF158" s="57"/>
      <c r="BG158" s="57"/>
      <c r="BH158" s="57"/>
      <c r="BI158" s="61"/>
      <c r="BJ158" s="61"/>
      <c r="BK158" s="57">
        <v>20.8</v>
      </c>
      <c r="BL158" s="57"/>
      <c r="BM158" s="57"/>
      <c r="BN158" s="57"/>
      <c r="BO158" s="57"/>
      <c r="BP158" s="58"/>
      <c r="BQ158" s="61"/>
      <c r="BR158" s="57"/>
      <c r="BS158" s="58"/>
      <c r="BT158" s="57"/>
      <c r="BU158" s="57"/>
      <c r="BV158" s="57"/>
      <c r="BW158" s="57"/>
      <c r="BX158" s="57"/>
      <c r="BY158" s="57"/>
      <c r="BZ158" s="57"/>
      <c r="CA158" s="57"/>
      <c r="CB158" s="57"/>
      <c r="CC158" s="27"/>
      <c r="CD158" s="61">
        <v>22.6</v>
      </c>
      <c r="CE158" s="61"/>
      <c r="CF158" s="57"/>
      <c r="CG158" s="61"/>
      <c r="CH158" s="57"/>
      <c r="CI158" s="61"/>
      <c r="CJ158" s="57">
        <v>24.3</v>
      </c>
      <c r="CK158" s="61"/>
      <c r="CL158" s="61"/>
      <c r="CM158" s="61"/>
      <c r="CN158" s="61">
        <v>24.3</v>
      </c>
      <c r="CO158" s="61"/>
      <c r="CP158" s="61"/>
      <c r="CQ158" s="61"/>
      <c r="CR158" s="61"/>
      <c r="CS158" s="61"/>
      <c r="CT158" s="61"/>
      <c r="CU158" s="61"/>
      <c r="CV158" s="61"/>
      <c r="CW158" s="61"/>
      <c r="CX158" s="61"/>
      <c r="CY158" s="61"/>
      <c r="CZ158" s="61"/>
      <c r="DA158" s="61"/>
      <c r="DB158" s="61"/>
      <c r="DC158" s="61"/>
      <c r="DD158" s="61"/>
      <c r="DE158" s="61"/>
      <c r="DF158" s="61"/>
      <c r="DG158" s="61"/>
      <c r="DH158" s="61"/>
      <c r="DI158" s="61"/>
      <c r="DJ158" s="61"/>
      <c r="DK158" s="61"/>
      <c r="DL158" s="61"/>
      <c r="DM158" s="61"/>
      <c r="DN158" s="61"/>
      <c r="DO158" s="61"/>
      <c r="DP158" s="61"/>
      <c r="DQ158" s="156"/>
      <c r="DR158" s="156"/>
      <c r="DS158" s="156"/>
      <c r="DT158" s="156"/>
      <c r="DU158" s="156"/>
      <c r="DV158" s="156"/>
      <c r="DW158" s="156"/>
      <c r="DX158" s="156"/>
      <c r="DY158" s="156"/>
      <c r="DZ158" s="59"/>
      <c r="EA158" s="59"/>
      <c r="EB158" s="59"/>
      <c r="EC158" s="59"/>
      <c r="ED158" s="59"/>
      <c r="EE158" s="59"/>
      <c r="EF158" s="59"/>
      <c r="EG158" s="59"/>
    </row>
    <row r="159" spans="1:137" s="5" customFormat="1" ht="15.9" customHeight="1" outlineLevel="1" x14ac:dyDescent="0.3">
      <c r="A159" s="6"/>
      <c r="B159" s="6"/>
      <c r="C159" s="50" t="s">
        <v>44</v>
      </c>
      <c r="D159" s="147">
        <v>44</v>
      </c>
      <c r="E159" s="6" t="s">
        <v>189</v>
      </c>
      <c r="F159" s="6" t="s">
        <v>326</v>
      </c>
      <c r="G159" s="11" t="s">
        <v>327</v>
      </c>
      <c r="H159" s="11"/>
      <c r="I159" s="205" cm="1">
        <f t="array" ref="I159">IFERROR(LOOKUP(2,1/(N159:GR159&lt;&gt;""),N$4:DRA$4),"")</f>
        <v>45226</v>
      </c>
      <c r="J159" s="170" cm="1">
        <f t="array" ref="J159">IFERROR(_xlfn.XLOOKUP(TRUE,N159:EH159&lt;&gt;"",N159:EH159,,,-1)," ")</f>
        <v>24.8</v>
      </c>
      <c r="K159" s="49">
        <v>24</v>
      </c>
      <c r="L159" s="49"/>
      <c r="M159" s="284" t="s">
        <v>34</v>
      </c>
      <c r="N159" s="62"/>
      <c r="O159" s="62"/>
      <c r="P159" s="62"/>
      <c r="Q159" s="62"/>
      <c r="R159" s="62"/>
      <c r="S159" s="62"/>
      <c r="T159" s="62"/>
      <c r="U159" s="62"/>
      <c r="V159" s="62"/>
      <c r="W159" s="62"/>
      <c r="X159" s="62"/>
      <c r="Y159" s="62"/>
      <c r="Z159" s="62"/>
      <c r="AA159" s="62"/>
      <c r="AB159" s="62"/>
      <c r="AC159" s="62"/>
      <c r="AD159" s="62"/>
      <c r="AE159" s="62"/>
      <c r="AF159" s="62"/>
      <c r="AG159" s="62"/>
      <c r="AH159" s="62"/>
      <c r="AI159" s="62"/>
      <c r="AJ159" s="62"/>
      <c r="AK159" s="62"/>
      <c r="AL159" s="62"/>
      <c r="AM159" s="62"/>
      <c r="AN159" s="62"/>
      <c r="AO159" s="62"/>
      <c r="AP159" s="62"/>
      <c r="AQ159" s="62"/>
      <c r="AR159" s="62"/>
      <c r="AS159" s="62"/>
      <c r="AT159" s="62"/>
      <c r="AU159" s="63"/>
      <c r="AV159" s="63"/>
      <c r="AW159" s="62"/>
      <c r="AX159" s="63"/>
      <c r="AY159" s="62"/>
      <c r="AZ159" s="62"/>
      <c r="BA159" s="62"/>
      <c r="BB159" s="63"/>
      <c r="BC159" s="63"/>
      <c r="BD159" s="62"/>
      <c r="BE159" s="62"/>
      <c r="BF159" s="62"/>
      <c r="BG159" s="62"/>
      <c r="BH159" s="62"/>
      <c r="BI159" s="63"/>
      <c r="BJ159" s="63"/>
      <c r="BK159" s="62"/>
      <c r="BL159" s="62"/>
      <c r="BM159" s="62"/>
      <c r="BN159" s="62"/>
      <c r="BO159" s="62"/>
      <c r="BP159" s="64"/>
      <c r="BQ159" s="63"/>
      <c r="BR159" s="62"/>
      <c r="BS159" s="64"/>
      <c r="BT159" s="62"/>
      <c r="BU159" s="62"/>
      <c r="BV159" s="62"/>
      <c r="BW159" s="62"/>
      <c r="BX159" s="62"/>
      <c r="BY159" s="62"/>
      <c r="BZ159" s="62"/>
      <c r="CA159" s="62"/>
      <c r="CB159" s="62"/>
      <c r="CC159" s="51"/>
      <c r="CD159" s="63"/>
      <c r="CE159" s="63"/>
      <c r="CF159" s="62"/>
      <c r="CG159" s="63"/>
      <c r="CH159" s="62"/>
      <c r="CI159" s="63"/>
      <c r="CJ159" s="62"/>
      <c r="CK159" s="63"/>
      <c r="CL159" s="63"/>
      <c r="CM159" s="63"/>
      <c r="CN159" s="63"/>
      <c r="CO159" s="63"/>
      <c r="CP159" s="63"/>
      <c r="CQ159" s="63"/>
      <c r="CR159" s="63"/>
      <c r="CS159" s="63"/>
      <c r="CT159" s="63"/>
      <c r="CU159" s="63"/>
      <c r="CV159" s="63"/>
      <c r="CW159" s="63"/>
      <c r="CX159" s="63"/>
      <c r="CY159" s="63"/>
      <c r="CZ159" s="63"/>
      <c r="DA159" s="63">
        <v>24.8</v>
      </c>
      <c r="DB159" s="63"/>
      <c r="DC159" s="63"/>
      <c r="DD159" s="63"/>
      <c r="DE159" s="63"/>
      <c r="DF159" s="63"/>
      <c r="DG159" s="63"/>
      <c r="DH159" s="63"/>
      <c r="DI159" s="63"/>
      <c r="DJ159" s="63"/>
      <c r="DK159" s="63"/>
      <c r="DL159" s="63"/>
      <c r="DM159" s="63"/>
      <c r="DN159" s="63"/>
      <c r="DO159" s="63"/>
      <c r="DP159" s="63"/>
      <c r="DQ159" s="158"/>
      <c r="DR159" s="158"/>
      <c r="DS159" s="158"/>
      <c r="DT159" s="158"/>
      <c r="DU159" s="158"/>
      <c r="DV159" s="158"/>
      <c r="DW159" s="158"/>
      <c r="DX159" s="158"/>
      <c r="DY159" s="158"/>
      <c r="DZ159" s="65"/>
      <c r="EA159" s="65"/>
      <c r="EB159" s="65"/>
      <c r="EC159" s="65"/>
      <c r="ED159" s="65"/>
      <c r="EE159" s="65"/>
      <c r="EF159" s="65"/>
      <c r="EG159" s="65"/>
    </row>
    <row r="160" spans="1:137" s="5" customFormat="1" ht="15.9" customHeight="1" outlineLevel="1" x14ac:dyDescent="0.3">
      <c r="A160" s="6"/>
      <c r="B160" s="6"/>
      <c r="C160" s="50" t="s">
        <v>44</v>
      </c>
      <c r="D160" s="147">
        <v>44</v>
      </c>
      <c r="E160" s="6" t="s">
        <v>189</v>
      </c>
      <c r="F160" s="6" t="s">
        <v>326</v>
      </c>
      <c r="G160" s="11" t="s">
        <v>328</v>
      </c>
      <c r="H160" s="11"/>
      <c r="I160" s="205" cm="1">
        <f t="array" ref="I160">IFERROR(LOOKUP(2,1/(N160:GR160&lt;&gt;""),N$4:DRA$4),"")</f>
        <v>45226</v>
      </c>
      <c r="J160" s="170" cm="1">
        <f t="array" ref="J160">IFERROR(_xlfn.XLOOKUP(TRUE,N160:EH160&lt;&gt;"",N160:EH160,,,-1)," ")</f>
        <v>25</v>
      </c>
      <c r="K160" s="49">
        <v>24</v>
      </c>
      <c r="L160" s="49"/>
      <c r="M160" s="284" t="s">
        <v>34</v>
      </c>
      <c r="N160" s="62"/>
      <c r="O160" s="62"/>
      <c r="P160" s="62"/>
      <c r="Q160" s="62"/>
      <c r="R160" s="62"/>
      <c r="S160" s="62"/>
      <c r="T160" s="62"/>
      <c r="U160" s="62"/>
      <c r="V160" s="62"/>
      <c r="W160" s="62"/>
      <c r="X160" s="62"/>
      <c r="Y160" s="62"/>
      <c r="Z160" s="62"/>
      <c r="AA160" s="62"/>
      <c r="AB160" s="62"/>
      <c r="AC160" s="62"/>
      <c r="AD160" s="62"/>
      <c r="AE160" s="62"/>
      <c r="AF160" s="62"/>
      <c r="AG160" s="62"/>
      <c r="AH160" s="62"/>
      <c r="AI160" s="62"/>
      <c r="AJ160" s="62"/>
      <c r="AK160" s="62"/>
      <c r="AL160" s="62"/>
      <c r="AM160" s="62"/>
      <c r="AN160" s="62"/>
      <c r="AO160" s="62"/>
      <c r="AP160" s="62"/>
      <c r="AQ160" s="62"/>
      <c r="AR160" s="62"/>
      <c r="AS160" s="62"/>
      <c r="AT160" s="62"/>
      <c r="AU160" s="63"/>
      <c r="AV160" s="63"/>
      <c r="AW160" s="62"/>
      <c r="AX160" s="63"/>
      <c r="AY160" s="62"/>
      <c r="AZ160" s="62"/>
      <c r="BA160" s="62"/>
      <c r="BB160" s="63"/>
      <c r="BC160" s="63"/>
      <c r="BD160" s="62"/>
      <c r="BE160" s="62"/>
      <c r="BF160" s="62"/>
      <c r="BG160" s="62"/>
      <c r="BH160" s="62"/>
      <c r="BI160" s="63"/>
      <c r="BJ160" s="63"/>
      <c r="BK160" s="62"/>
      <c r="BL160" s="62"/>
      <c r="BM160" s="62"/>
      <c r="BN160" s="62"/>
      <c r="BO160" s="62"/>
      <c r="BP160" s="64"/>
      <c r="BQ160" s="63"/>
      <c r="BR160" s="62"/>
      <c r="BS160" s="64"/>
      <c r="BT160" s="62"/>
      <c r="BU160" s="62"/>
      <c r="BV160" s="62"/>
      <c r="BW160" s="62"/>
      <c r="BX160" s="62"/>
      <c r="BY160" s="62"/>
      <c r="BZ160" s="62"/>
      <c r="CA160" s="62"/>
      <c r="CB160" s="62"/>
      <c r="CC160" s="51"/>
      <c r="CD160" s="63"/>
      <c r="CE160" s="63"/>
      <c r="CF160" s="62"/>
      <c r="CG160" s="63"/>
      <c r="CH160" s="62"/>
      <c r="CI160" s="63"/>
      <c r="CJ160" s="62"/>
      <c r="CK160" s="63"/>
      <c r="CL160" s="63"/>
      <c r="CM160" s="63"/>
      <c r="CN160" s="63"/>
      <c r="CO160" s="63"/>
      <c r="CP160" s="63"/>
      <c r="CQ160" s="63"/>
      <c r="CR160" s="63"/>
      <c r="CS160" s="63"/>
      <c r="CT160" s="63"/>
      <c r="CU160" s="63"/>
      <c r="CV160" s="63"/>
      <c r="CW160" s="63"/>
      <c r="CX160" s="63"/>
      <c r="CY160" s="63"/>
      <c r="CZ160" s="63"/>
      <c r="DA160" s="63">
        <v>25</v>
      </c>
      <c r="DB160" s="63"/>
      <c r="DC160" s="63"/>
      <c r="DD160" s="63"/>
      <c r="DE160" s="63"/>
      <c r="DF160" s="63"/>
      <c r="DG160" s="63"/>
      <c r="DH160" s="63"/>
      <c r="DI160" s="63"/>
      <c r="DJ160" s="63"/>
      <c r="DK160" s="63"/>
      <c r="DL160" s="63"/>
      <c r="DM160" s="63"/>
      <c r="DN160" s="63"/>
      <c r="DO160" s="63"/>
      <c r="DP160" s="63"/>
      <c r="DQ160" s="158"/>
      <c r="DR160" s="158"/>
      <c r="DS160" s="158"/>
      <c r="DT160" s="158"/>
      <c r="DU160" s="158"/>
      <c r="DV160" s="158"/>
      <c r="DW160" s="158"/>
      <c r="DX160" s="158"/>
      <c r="DY160" s="158"/>
      <c r="DZ160" s="65"/>
      <c r="EA160" s="65"/>
      <c r="EB160" s="65"/>
      <c r="EC160" s="65"/>
      <c r="ED160" s="65"/>
      <c r="EE160" s="65"/>
      <c r="EF160" s="65"/>
      <c r="EG160" s="65"/>
    </row>
    <row r="161" spans="1:138" s="1" customFormat="1" ht="15.9" customHeight="1" outlineLevel="1" x14ac:dyDescent="0.3">
      <c r="A161" s="6"/>
      <c r="B161" s="6"/>
      <c r="C161" s="50" t="s">
        <v>44</v>
      </c>
      <c r="D161" s="147">
        <v>44</v>
      </c>
      <c r="E161" s="6" t="s">
        <v>189</v>
      </c>
      <c r="F161" s="6" t="s">
        <v>326</v>
      </c>
      <c r="G161" s="11" t="s">
        <v>329</v>
      </c>
      <c r="H161" s="11"/>
      <c r="I161" s="205" cm="1">
        <f t="array" ref="I161">IFERROR(LOOKUP(2,1/(N161:GR161&lt;&gt;""),N$4:DRA$4),"")</f>
        <v>45219</v>
      </c>
      <c r="J161" s="170" cm="1">
        <f t="array" ref="J161">IFERROR(_xlfn.XLOOKUP(TRUE,N161:EH161&lt;&gt;"",N161:EH161,,,-1)," ")</f>
        <v>24.4</v>
      </c>
      <c r="K161" s="49">
        <v>24</v>
      </c>
      <c r="L161" s="49"/>
      <c r="M161" s="284" t="s">
        <v>34</v>
      </c>
      <c r="N161" s="55"/>
      <c r="O161" s="55"/>
      <c r="P161" s="55"/>
      <c r="Q161" s="55"/>
      <c r="R161" s="55"/>
      <c r="S161" s="55"/>
      <c r="T161" s="55"/>
      <c r="U161" s="55"/>
      <c r="V161" s="55"/>
      <c r="W161" s="55"/>
      <c r="X161" s="55"/>
      <c r="Y161" s="55"/>
      <c r="Z161" s="55"/>
      <c r="AA161" s="55"/>
      <c r="AB161" s="55"/>
      <c r="AC161" s="55"/>
      <c r="AD161" s="55"/>
      <c r="AE161" s="55"/>
      <c r="AF161" s="55"/>
      <c r="AG161" s="55"/>
      <c r="AH161" s="55"/>
      <c r="AI161" s="55"/>
      <c r="AJ161" s="55"/>
      <c r="AK161" s="55"/>
      <c r="AL161" s="55"/>
      <c r="AM161" s="55"/>
      <c r="AN161" s="55"/>
      <c r="AO161" s="55"/>
      <c r="AP161" s="55"/>
      <c r="AQ161" s="55"/>
      <c r="AR161" s="55"/>
      <c r="AS161" s="55"/>
      <c r="AT161" s="55"/>
      <c r="AU161" s="153"/>
      <c r="AV161" s="153"/>
      <c r="AW161" s="55"/>
      <c r="AX161" s="153"/>
      <c r="AY161" s="55"/>
      <c r="AZ161" s="55"/>
      <c r="BA161" s="55"/>
      <c r="BB161" s="153"/>
      <c r="BC161" s="153"/>
      <c r="BD161" s="55"/>
      <c r="BE161" s="55"/>
      <c r="BF161" s="55"/>
      <c r="BG161" s="55"/>
      <c r="BH161" s="55"/>
      <c r="BI161" s="153"/>
      <c r="BJ161" s="153"/>
      <c r="BK161" s="55"/>
      <c r="BL161" s="55"/>
      <c r="BM161" s="55"/>
      <c r="BN161" s="55"/>
      <c r="BO161" s="55"/>
      <c r="BP161" s="56"/>
      <c r="BQ161" s="153"/>
      <c r="BR161" s="55"/>
      <c r="BS161" s="55"/>
      <c r="BT161" s="55"/>
      <c r="BU161" s="55"/>
      <c r="BV161" s="55"/>
      <c r="BW161" s="55"/>
      <c r="BX161" s="55"/>
      <c r="BY161" s="55"/>
      <c r="BZ161" s="55"/>
      <c r="CA161" s="55"/>
      <c r="CB161" s="56"/>
      <c r="CC161" s="60"/>
      <c r="CD161" s="153"/>
      <c r="CE161" s="153"/>
      <c r="CF161" s="55"/>
      <c r="CG161" s="55"/>
      <c r="CH161" s="55"/>
      <c r="CI161" s="153"/>
      <c r="CJ161" s="55"/>
      <c r="CK161" s="153"/>
      <c r="CL161" s="153"/>
      <c r="CM161" s="153"/>
      <c r="CN161" s="153"/>
      <c r="CO161" s="153"/>
      <c r="CP161" s="153"/>
      <c r="CQ161" s="153"/>
      <c r="CR161" s="153"/>
      <c r="CS161" s="153"/>
      <c r="CT161" s="153">
        <v>24.4</v>
      </c>
      <c r="CU161" s="153"/>
      <c r="CV161" s="153"/>
      <c r="CW161" s="153"/>
      <c r="CX161" s="153"/>
      <c r="CY161" s="153"/>
      <c r="CZ161" s="153"/>
      <c r="DA161" s="153"/>
      <c r="DB161" s="153"/>
      <c r="DC161" s="153"/>
      <c r="DD161" s="153"/>
      <c r="DE161" s="153"/>
      <c r="DF161" s="153"/>
      <c r="DG161" s="153"/>
      <c r="DH161" s="153"/>
      <c r="DI161" s="153"/>
      <c r="DJ161" s="153"/>
      <c r="DK161" s="153"/>
      <c r="DL161" s="153"/>
      <c r="DM161" s="153"/>
      <c r="DN161" s="153"/>
      <c r="DO161" s="153"/>
      <c r="DP161" s="153"/>
      <c r="DQ161" s="154"/>
      <c r="DR161" s="154"/>
      <c r="DS161" s="154"/>
      <c r="DT161" s="154"/>
      <c r="DU161" s="154"/>
      <c r="DV161" s="154"/>
      <c r="DW161" s="154"/>
      <c r="DX161" s="154"/>
      <c r="DY161" s="154"/>
      <c r="DZ161" s="22"/>
      <c r="EA161" s="22"/>
      <c r="EB161" s="22"/>
      <c r="EC161" s="22"/>
      <c r="ED161" s="22"/>
      <c r="EE161" s="22"/>
      <c r="EF161" s="22"/>
      <c r="EG161" s="22"/>
    </row>
    <row r="162" spans="1:138" s="97" customFormat="1" ht="15.9" customHeight="1" x14ac:dyDescent="0.3">
      <c r="A162" s="83"/>
      <c r="B162" s="83"/>
      <c r="C162" s="91"/>
      <c r="D162" s="82"/>
      <c r="E162" s="83" t="s">
        <v>330</v>
      </c>
      <c r="F162" s="83"/>
      <c r="G162" s="84" t="s">
        <v>331</v>
      </c>
      <c r="H162" s="84"/>
      <c r="I162" s="203"/>
      <c r="J162" s="167"/>
      <c r="K162" s="220"/>
      <c r="L162" s="92"/>
      <c r="M162" s="280" t="s">
        <v>21</v>
      </c>
      <c r="N162" s="94"/>
      <c r="O162" s="94"/>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94"/>
      <c r="AU162" s="101"/>
      <c r="AV162" s="101"/>
      <c r="AW162" s="94"/>
      <c r="AX162" s="101"/>
      <c r="AY162" s="101"/>
      <c r="AZ162" s="101"/>
      <c r="BA162" s="101"/>
      <c r="BB162" s="101"/>
      <c r="BC162" s="101"/>
      <c r="BD162" s="101"/>
      <c r="BE162" s="101"/>
      <c r="BF162" s="101"/>
      <c r="BG162" s="94"/>
      <c r="BH162" s="94"/>
      <c r="BI162" s="101"/>
      <c r="BJ162" s="101"/>
      <c r="BK162" s="94"/>
      <c r="BL162" s="94"/>
      <c r="BM162" s="94"/>
      <c r="BN162" s="101"/>
      <c r="BO162" s="94"/>
      <c r="BP162" s="95"/>
      <c r="BQ162" s="101"/>
      <c r="BR162" s="94"/>
      <c r="BS162" s="94"/>
      <c r="BT162" s="94"/>
      <c r="BU162" s="94"/>
      <c r="BV162" s="94"/>
      <c r="BW162" s="94"/>
      <c r="BX162" s="94"/>
      <c r="BY162" s="94"/>
      <c r="BZ162" s="94"/>
      <c r="CA162" s="94"/>
      <c r="CB162" s="94"/>
      <c r="CC162" s="93"/>
      <c r="CD162" s="101"/>
      <c r="CE162" s="101"/>
      <c r="CF162" s="94"/>
      <c r="CG162" s="94"/>
      <c r="CH162" s="101"/>
      <c r="CI162" s="94"/>
      <c r="CJ162" s="94"/>
      <c r="CK162" s="101"/>
      <c r="CL162" s="101"/>
      <c r="CM162" s="94"/>
      <c r="CN162" s="101"/>
      <c r="CO162" s="101"/>
      <c r="CP162" s="101"/>
      <c r="CQ162" s="101"/>
      <c r="CR162" s="101"/>
      <c r="CS162" s="101"/>
      <c r="CT162" s="101"/>
      <c r="CU162" s="101"/>
      <c r="CV162" s="101"/>
      <c r="CW162" s="101"/>
      <c r="CX162" s="101"/>
      <c r="CY162" s="101"/>
      <c r="CZ162" s="101"/>
      <c r="DA162" s="101"/>
      <c r="DB162" s="101"/>
      <c r="DC162" s="101"/>
      <c r="DD162" s="101"/>
      <c r="DE162" s="101"/>
      <c r="DF162" s="101"/>
      <c r="DG162" s="101"/>
      <c r="DH162" s="101"/>
      <c r="DI162" s="101"/>
      <c r="DJ162" s="101"/>
      <c r="DK162" s="101"/>
      <c r="DL162" s="101"/>
      <c r="DM162" s="101"/>
      <c r="DN162" s="101"/>
      <c r="DO162" s="101"/>
      <c r="DP162" s="101"/>
      <c r="DQ162" s="161"/>
      <c r="DR162" s="161"/>
      <c r="DS162" s="161"/>
      <c r="DT162" s="161"/>
      <c r="DU162" s="161"/>
      <c r="DV162" s="161"/>
      <c r="DW162" s="161"/>
      <c r="DX162" s="161"/>
      <c r="DY162" s="161"/>
      <c r="DZ162" s="59"/>
      <c r="EA162" s="59"/>
      <c r="EB162" s="59"/>
      <c r="EC162" s="59"/>
      <c r="ED162" s="59"/>
      <c r="EE162" s="59"/>
      <c r="EF162" s="59"/>
      <c r="EG162" s="59"/>
    </row>
    <row r="163" spans="1:138" s="1" customFormat="1" ht="15.6" customHeight="1" outlineLevel="1" x14ac:dyDescent="0.3">
      <c r="A163" s="2" t="s">
        <v>23</v>
      </c>
      <c r="B163" s="2"/>
      <c r="C163" s="4" t="s">
        <v>24</v>
      </c>
      <c r="D163" s="145">
        <v>4.75</v>
      </c>
      <c r="E163" s="2" t="s">
        <v>330</v>
      </c>
      <c r="F163" s="2" t="s">
        <v>332</v>
      </c>
      <c r="G163" s="3" t="s">
        <v>333</v>
      </c>
      <c r="H163" s="3"/>
      <c r="I163" s="205" cm="1">
        <f t="array" ref="I163">IFERROR(LOOKUP(2,1/(N163:GR163&lt;&gt;""),N$4:DRA$4),"")</f>
        <v>45168</v>
      </c>
      <c r="J163" s="227" cm="1">
        <f t="array" ref="J163">IFERROR(_xlfn.XLOOKUP(TRUE,N163:EH163&lt;&gt;"",N163:EH163,,,-1)," ")</f>
        <v>21</v>
      </c>
      <c r="K163" s="46">
        <v>21</v>
      </c>
      <c r="L163" s="46">
        <v>21.5</v>
      </c>
      <c r="M163" s="281" t="s">
        <v>28</v>
      </c>
      <c r="N163" s="55"/>
      <c r="O163" s="55"/>
      <c r="P163" s="55"/>
      <c r="Q163" s="55"/>
      <c r="R163" s="55"/>
      <c r="S163" s="55"/>
      <c r="T163" s="55"/>
      <c r="U163" s="55"/>
      <c r="V163" s="55"/>
      <c r="W163" s="55"/>
      <c r="X163" s="55"/>
      <c r="Y163" s="55"/>
      <c r="Z163" s="55"/>
      <c r="AA163" s="55"/>
      <c r="AB163" s="55"/>
      <c r="AC163" s="55"/>
      <c r="AD163" s="55"/>
      <c r="AE163" s="55"/>
      <c r="AF163" s="55"/>
      <c r="AG163" s="55"/>
      <c r="AH163" s="55">
        <v>16.100000000000001</v>
      </c>
      <c r="AI163" s="55"/>
      <c r="AJ163" s="55"/>
      <c r="AK163" s="55"/>
      <c r="AL163" s="55"/>
      <c r="AM163" s="55"/>
      <c r="AN163" s="55"/>
      <c r="AO163" s="55"/>
      <c r="AP163" s="55"/>
      <c r="AQ163" s="55"/>
      <c r="AR163" s="55"/>
      <c r="AS163" s="55" t="s">
        <v>334</v>
      </c>
      <c r="AT163" s="55"/>
      <c r="AU163" s="157">
        <v>21</v>
      </c>
      <c r="AV163" s="153"/>
      <c r="AW163" s="55"/>
      <c r="AX163" s="153"/>
      <c r="AY163" s="153"/>
      <c r="AZ163" s="153"/>
      <c r="BA163" s="153"/>
      <c r="BB163" s="153"/>
      <c r="BC163" s="153"/>
      <c r="BD163" s="153"/>
      <c r="BE163" s="153"/>
      <c r="BF163" s="153"/>
      <c r="BG163" s="153"/>
      <c r="BH163" s="55"/>
      <c r="BI163" s="153"/>
      <c r="BJ163" s="153"/>
      <c r="BK163" s="55"/>
      <c r="BL163" s="153"/>
      <c r="BM163" s="55"/>
      <c r="BN163" s="153"/>
      <c r="BO163" s="55"/>
      <c r="BP163" s="56"/>
      <c r="BQ163" s="153"/>
      <c r="BR163" s="153"/>
      <c r="BS163" s="55"/>
      <c r="BT163" s="153"/>
      <c r="BU163" s="153"/>
      <c r="BV163" s="153"/>
      <c r="BW163" s="153"/>
      <c r="BX163" s="153"/>
      <c r="BY163" s="153"/>
      <c r="BZ163" s="153"/>
      <c r="CA163" s="153"/>
      <c r="CB163" s="55"/>
      <c r="CC163" s="153"/>
      <c r="CD163" s="153"/>
      <c r="CE163" s="153"/>
      <c r="CF163" s="55"/>
      <c r="CG163" s="153"/>
      <c r="CH163" s="153"/>
      <c r="CI163" s="153"/>
      <c r="CJ163" s="55"/>
      <c r="CK163" s="153"/>
      <c r="CL163" s="153"/>
      <c r="CM163" s="153"/>
      <c r="CN163" s="153"/>
      <c r="CO163" s="153"/>
      <c r="CP163" s="153"/>
      <c r="CQ163" s="153"/>
      <c r="CR163" s="153"/>
      <c r="CS163" s="153"/>
      <c r="CT163" s="153"/>
      <c r="CU163" s="153"/>
      <c r="CV163" s="153"/>
      <c r="CW163" s="153"/>
      <c r="CX163" s="153"/>
      <c r="CY163" s="153"/>
      <c r="CZ163" s="153"/>
      <c r="DA163" s="153"/>
      <c r="DB163" s="153"/>
      <c r="DC163" s="153"/>
      <c r="DD163" s="153"/>
      <c r="DE163" s="153"/>
      <c r="DF163" s="153"/>
      <c r="DG163" s="153"/>
      <c r="DH163" s="153"/>
      <c r="DI163" s="153"/>
      <c r="DJ163" s="153"/>
      <c r="DK163" s="153"/>
      <c r="DL163" s="153"/>
      <c r="DM163" s="153"/>
      <c r="DN163" s="153"/>
      <c r="DO163" s="153"/>
      <c r="DP163" s="153"/>
      <c r="DQ163" s="154"/>
      <c r="DR163" s="154"/>
      <c r="DS163" s="154"/>
      <c r="DT163" s="154"/>
      <c r="DU163" s="154"/>
      <c r="DV163" s="154"/>
      <c r="DW163" s="154"/>
      <c r="DX163" s="154"/>
      <c r="DY163" s="154"/>
      <c r="DZ163" s="22"/>
      <c r="EA163" s="22"/>
      <c r="EB163" s="22"/>
      <c r="EC163" s="22"/>
      <c r="ED163" s="22"/>
      <c r="EE163" s="22"/>
      <c r="EF163" s="22"/>
      <c r="EG163" s="22"/>
    </row>
    <row r="164" spans="1:138" s="1" customFormat="1" ht="15.9" customHeight="1" x14ac:dyDescent="0.3">
      <c r="A164" s="83"/>
      <c r="B164" s="83"/>
      <c r="C164" s="91"/>
      <c r="D164" s="82"/>
      <c r="E164" s="83" t="s">
        <v>335</v>
      </c>
      <c r="F164" s="83"/>
      <c r="G164" s="84" t="s">
        <v>336</v>
      </c>
      <c r="H164" s="84"/>
      <c r="I164" s="203"/>
      <c r="J164" s="167"/>
      <c r="K164" s="220"/>
      <c r="L164" s="92"/>
      <c r="M164" s="280" t="s">
        <v>21</v>
      </c>
      <c r="N164" s="98"/>
      <c r="O164" s="98"/>
      <c r="P164" s="98"/>
      <c r="Q164" s="98"/>
      <c r="R164" s="98"/>
      <c r="S164" s="98"/>
      <c r="T164" s="98"/>
      <c r="U164" s="98"/>
      <c r="V164" s="98"/>
      <c r="W164" s="98"/>
      <c r="X164" s="98"/>
      <c r="Y164" s="98"/>
      <c r="Z164" s="98"/>
      <c r="AA164" s="98"/>
      <c r="AB164" s="98"/>
      <c r="AC164" s="98"/>
      <c r="AD164" s="98"/>
      <c r="AE164" s="98"/>
      <c r="AF164" s="98"/>
      <c r="AG164" s="98"/>
      <c r="AH164" s="98"/>
      <c r="AI164" s="98"/>
      <c r="AJ164" s="98"/>
      <c r="AK164" s="98"/>
      <c r="AL164" s="98"/>
      <c r="AM164" s="98"/>
      <c r="AN164" s="98"/>
      <c r="AO164" s="98"/>
      <c r="AP164" s="98"/>
      <c r="AQ164" s="98"/>
      <c r="AR164" s="98"/>
      <c r="AS164" s="98"/>
      <c r="AT164" s="98"/>
      <c r="AU164" s="162"/>
      <c r="AV164" s="162"/>
      <c r="AW164" s="98"/>
      <c r="AX164" s="98"/>
      <c r="AY164" s="98"/>
      <c r="AZ164" s="98"/>
      <c r="BA164" s="98"/>
      <c r="BB164" s="162"/>
      <c r="BC164" s="162"/>
      <c r="BD164" s="98"/>
      <c r="BE164" s="98"/>
      <c r="BF164" s="162"/>
      <c r="BG164" s="98"/>
      <c r="BH164" s="98"/>
      <c r="BI164" s="162"/>
      <c r="BJ164" s="162"/>
      <c r="BK164" s="98"/>
      <c r="BL164" s="98"/>
      <c r="BM164" s="98"/>
      <c r="BN164" s="162"/>
      <c r="BO164" s="98"/>
      <c r="BP164" s="99"/>
      <c r="BQ164" s="162"/>
      <c r="BR164" s="98"/>
      <c r="BS164" s="98"/>
      <c r="BT164" s="98"/>
      <c r="BU164" s="98"/>
      <c r="BV164" s="98"/>
      <c r="BW164" s="98"/>
      <c r="BX164" s="98"/>
      <c r="BY164" s="98"/>
      <c r="BZ164" s="98"/>
      <c r="CA164" s="98"/>
      <c r="CB164" s="98"/>
      <c r="CC164" s="406"/>
      <c r="CD164" s="162"/>
      <c r="CE164" s="162"/>
      <c r="CF164" s="98"/>
      <c r="CG164" s="98"/>
      <c r="CH164" s="162"/>
      <c r="CI164" s="98"/>
      <c r="CJ164" s="98"/>
      <c r="CK164" s="162"/>
      <c r="CL164" s="162"/>
      <c r="CM164" s="98"/>
      <c r="CN164" s="162"/>
      <c r="CO164" s="162"/>
      <c r="CP164" s="162"/>
      <c r="CQ164" s="162"/>
      <c r="CR164" s="162"/>
      <c r="CS164" s="162"/>
      <c r="CT164" s="162"/>
      <c r="CU164" s="162"/>
      <c r="CV164" s="162"/>
      <c r="CW164" s="162"/>
      <c r="CX164" s="162"/>
      <c r="CY164" s="162"/>
      <c r="CZ164" s="162"/>
      <c r="DA164" s="162"/>
      <c r="DB164" s="162"/>
      <c r="DC164" s="162"/>
      <c r="DD164" s="162"/>
      <c r="DE164" s="162"/>
      <c r="DF164" s="162"/>
      <c r="DG164" s="162"/>
      <c r="DH164" s="162"/>
      <c r="DI164" s="162"/>
      <c r="DJ164" s="162"/>
      <c r="DK164" s="162"/>
      <c r="DL164" s="162"/>
      <c r="DM164" s="162"/>
      <c r="DN164" s="162"/>
      <c r="DO164" s="162"/>
      <c r="DP164" s="162"/>
      <c r="DQ164" s="161"/>
      <c r="DR164" s="161"/>
      <c r="DS164" s="161"/>
      <c r="DT164" s="161"/>
      <c r="DU164" s="161"/>
      <c r="DV164" s="161"/>
      <c r="DW164" s="161"/>
      <c r="DX164" s="161"/>
      <c r="DY164" s="161"/>
      <c r="DZ164" s="22"/>
      <c r="EA164" s="22"/>
      <c r="EB164" s="22"/>
      <c r="EC164" s="22"/>
      <c r="ED164" s="22"/>
      <c r="EE164" s="22"/>
      <c r="EF164" s="22"/>
      <c r="EG164" s="22"/>
    </row>
    <row r="165" spans="1:138" s="97" customFormat="1" ht="15.9" customHeight="1" outlineLevel="1" x14ac:dyDescent="0.3">
      <c r="A165" s="2" t="s">
        <v>23</v>
      </c>
      <c r="B165" s="2"/>
      <c r="C165" s="4" t="s">
        <v>31</v>
      </c>
      <c r="D165" s="145"/>
      <c r="E165" s="2" t="s">
        <v>335</v>
      </c>
      <c r="F165" s="2"/>
      <c r="G165" s="3" t="s">
        <v>337</v>
      </c>
      <c r="H165" s="3"/>
      <c r="I165" s="202" cm="1">
        <f t="array" ref="I165">IFERROR(LOOKUP(2,1/(N165:GR165&lt;&gt;""),N$4:DRA$4),"")</f>
        <v>45180</v>
      </c>
      <c r="J165" s="271" cm="1">
        <f t="array" ref="J165">IFERROR(_xlfn.XLOOKUP(TRUE,N165:EH165&lt;&gt;"",N165:EH165,,,-1)," ")</f>
        <v>23.1</v>
      </c>
      <c r="K165" s="46">
        <v>23</v>
      </c>
      <c r="L165" s="46">
        <v>23</v>
      </c>
      <c r="M165" s="281" t="s">
        <v>28</v>
      </c>
      <c r="N165" s="55"/>
      <c r="O165" s="55"/>
      <c r="P165" s="55"/>
      <c r="Q165" s="55"/>
      <c r="R165" s="55"/>
      <c r="S165" s="55"/>
      <c r="T165" s="55"/>
      <c r="U165" s="55"/>
      <c r="V165" s="55"/>
      <c r="W165" s="55"/>
      <c r="X165" s="55"/>
      <c r="Y165" s="55"/>
      <c r="Z165" s="55"/>
      <c r="AA165" s="55"/>
      <c r="AB165" s="55"/>
      <c r="AC165" s="55"/>
      <c r="AD165" s="55"/>
      <c r="AE165" s="55"/>
      <c r="AF165" s="55"/>
      <c r="AG165" s="55"/>
      <c r="AH165" s="55"/>
      <c r="AI165" s="55"/>
      <c r="AJ165" s="55"/>
      <c r="AK165" s="55"/>
      <c r="AL165" s="55"/>
      <c r="AM165" s="55"/>
      <c r="AN165" s="55"/>
      <c r="AO165" s="55"/>
      <c r="AP165" s="55"/>
      <c r="AQ165" s="55"/>
      <c r="AR165" s="55"/>
      <c r="AS165" s="55"/>
      <c r="AT165" s="56">
        <v>20.3</v>
      </c>
      <c r="AU165" s="153"/>
      <c r="AV165" s="153"/>
      <c r="AW165" s="55"/>
      <c r="AX165" s="153"/>
      <c r="AY165" s="153"/>
      <c r="AZ165" s="153"/>
      <c r="BA165" s="157">
        <v>21.2</v>
      </c>
      <c r="BB165" s="153"/>
      <c r="BC165" s="153"/>
      <c r="BD165" s="153"/>
      <c r="BE165" s="153"/>
      <c r="BF165" s="153"/>
      <c r="BG165" s="157">
        <v>23.1</v>
      </c>
      <c r="BH165" s="55"/>
      <c r="BI165" s="153"/>
      <c r="BJ165" s="153"/>
      <c r="BK165" s="55"/>
      <c r="BL165" s="153"/>
      <c r="BM165" s="55"/>
      <c r="BN165" s="153"/>
      <c r="BO165" s="55"/>
      <c r="BP165" s="56"/>
      <c r="BQ165" s="153"/>
      <c r="BR165" s="153"/>
      <c r="BS165" s="55"/>
      <c r="BT165" s="153"/>
      <c r="BU165" s="153"/>
      <c r="BV165" s="153"/>
      <c r="BW165" s="153"/>
      <c r="BX165" s="153"/>
      <c r="BY165" s="153"/>
      <c r="BZ165" s="153"/>
      <c r="CA165" s="153"/>
      <c r="CB165" s="56"/>
      <c r="CC165" s="157"/>
      <c r="CD165" s="153"/>
      <c r="CE165" s="153"/>
      <c r="CF165" s="55"/>
      <c r="CG165" s="153"/>
      <c r="CH165" s="153"/>
      <c r="CI165" s="153"/>
      <c r="CJ165" s="55"/>
      <c r="CK165" s="153"/>
      <c r="CL165" s="153"/>
      <c r="CM165" s="153"/>
      <c r="CN165" s="153"/>
      <c r="CO165" s="153"/>
      <c r="CP165" s="153"/>
      <c r="CQ165" s="153"/>
      <c r="CR165" s="153"/>
      <c r="CS165" s="153"/>
      <c r="CT165" s="153"/>
      <c r="CU165" s="153"/>
      <c r="CV165" s="153"/>
      <c r="CW165" s="153"/>
      <c r="CX165" s="153"/>
      <c r="CY165" s="153"/>
      <c r="CZ165" s="153"/>
      <c r="DA165" s="153"/>
      <c r="DB165" s="153"/>
      <c r="DC165" s="153"/>
      <c r="DD165" s="153"/>
      <c r="DE165" s="153"/>
      <c r="DF165" s="153"/>
      <c r="DG165" s="153"/>
      <c r="DH165" s="153"/>
      <c r="DI165" s="153"/>
      <c r="DJ165" s="153"/>
      <c r="DK165" s="153"/>
      <c r="DL165" s="153"/>
      <c r="DM165" s="153"/>
      <c r="DN165" s="153"/>
      <c r="DO165" s="153"/>
      <c r="DP165" s="153"/>
      <c r="DQ165" s="154"/>
      <c r="DR165" s="154"/>
      <c r="DS165" s="154"/>
      <c r="DT165" s="154"/>
      <c r="DU165" s="154"/>
      <c r="DV165" s="154"/>
      <c r="DW165" s="154"/>
      <c r="DX165" s="154"/>
      <c r="DY165" s="154"/>
      <c r="DZ165" s="22"/>
      <c r="EA165" s="22"/>
      <c r="EB165" s="22"/>
      <c r="EC165" s="22"/>
      <c r="ED165" s="22"/>
      <c r="EE165" s="22"/>
      <c r="EF165" s="22"/>
      <c r="EG165" s="22"/>
    </row>
    <row r="166" spans="1:138" s="10" customFormat="1" ht="15.9" customHeight="1" outlineLevel="1" x14ac:dyDescent="0.3">
      <c r="A166" s="2" t="s">
        <v>23</v>
      </c>
      <c r="B166" s="2" t="s">
        <v>23</v>
      </c>
      <c r="C166" s="4" t="s">
        <v>31</v>
      </c>
      <c r="D166" s="145">
        <v>38.4</v>
      </c>
      <c r="E166" s="2" t="s">
        <v>335</v>
      </c>
      <c r="F166" s="2" t="s">
        <v>338</v>
      </c>
      <c r="G166" s="3" t="s">
        <v>339</v>
      </c>
      <c r="H166" s="3"/>
      <c r="I166" s="202" cm="1">
        <f t="array" ref="I166">IFERROR(LOOKUP(2,1/(N166:GR166&lt;&gt;""),N$4:DRA$4),"")</f>
        <v>45181</v>
      </c>
      <c r="J166" s="170" cm="1">
        <f t="array" ref="J166">IFERROR(_xlfn.XLOOKUP(TRUE,N166:EH166&lt;&gt;"",N166:EH166,,,-1)," ")</f>
        <v>20</v>
      </c>
      <c r="K166" s="46">
        <v>23</v>
      </c>
      <c r="L166" s="46">
        <v>23</v>
      </c>
      <c r="M166" s="281" t="s">
        <v>28</v>
      </c>
      <c r="N166" s="55"/>
      <c r="O166" s="55"/>
      <c r="P166" s="55"/>
      <c r="Q166" s="55"/>
      <c r="R166" s="55"/>
      <c r="S166" s="55"/>
      <c r="T166" s="55"/>
      <c r="U166" s="55"/>
      <c r="V166" s="55"/>
      <c r="W166" s="55"/>
      <c r="X166" s="55"/>
      <c r="Y166" s="55"/>
      <c r="Z166" s="55"/>
      <c r="AA166" s="55"/>
      <c r="AB166" s="55"/>
      <c r="AC166" s="55"/>
      <c r="AD166" s="55"/>
      <c r="AE166" s="55"/>
      <c r="AF166" s="55"/>
      <c r="AG166" s="55"/>
      <c r="AH166" s="55">
        <v>17</v>
      </c>
      <c r="AI166" s="55"/>
      <c r="AJ166" s="55"/>
      <c r="AK166" s="55"/>
      <c r="AL166" s="55"/>
      <c r="AM166" s="55"/>
      <c r="AN166" s="55">
        <v>18.600000000000001</v>
      </c>
      <c r="AO166" s="55"/>
      <c r="AP166" s="55"/>
      <c r="AQ166" s="55"/>
      <c r="AR166" s="55"/>
      <c r="AS166" s="55"/>
      <c r="AT166" s="55"/>
      <c r="AU166" s="153"/>
      <c r="AV166" s="153"/>
      <c r="AW166" s="55"/>
      <c r="AX166" s="153"/>
      <c r="AY166" s="153"/>
      <c r="AZ166" s="153"/>
      <c r="BA166" s="153"/>
      <c r="BB166" s="153"/>
      <c r="BC166" s="153"/>
      <c r="BD166" s="153"/>
      <c r="BE166" s="153"/>
      <c r="BF166" s="153"/>
      <c r="BG166" s="153"/>
      <c r="BH166" s="171">
        <v>20</v>
      </c>
      <c r="BI166" s="153"/>
      <c r="BJ166" s="153"/>
      <c r="BK166" s="55"/>
      <c r="BL166" s="153"/>
      <c r="BM166" s="55"/>
      <c r="BN166" s="153"/>
      <c r="BO166" s="55"/>
      <c r="BP166" s="56"/>
      <c r="BQ166" s="153"/>
      <c r="BR166" s="153"/>
      <c r="BS166" s="55"/>
      <c r="BT166" s="153"/>
      <c r="BU166" s="153"/>
      <c r="BV166" s="153"/>
      <c r="BW166" s="153"/>
      <c r="BX166" s="153"/>
      <c r="BY166" s="153"/>
      <c r="BZ166" s="153"/>
      <c r="CA166" s="153"/>
      <c r="CB166" s="56"/>
      <c r="CC166" s="157"/>
      <c r="CD166" s="153"/>
      <c r="CE166" s="153"/>
      <c r="CF166" s="55"/>
      <c r="CG166" s="153"/>
      <c r="CH166" s="153"/>
      <c r="CI166" s="153"/>
      <c r="CJ166" s="55"/>
      <c r="CK166" s="153"/>
      <c r="CL166" s="153"/>
      <c r="CM166" s="153"/>
      <c r="CN166" s="153"/>
      <c r="CO166" s="153"/>
      <c r="CP166" s="153"/>
      <c r="CQ166" s="153"/>
      <c r="CR166" s="153"/>
      <c r="CS166" s="153"/>
      <c r="CT166" s="153"/>
      <c r="CU166" s="153"/>
      <c r="CV166" s="153"/>
      <c r="CW166" s="153"/>
      <c r="CX166" s="153"/>
      <c r="CY166" s="153"/>
      <c r="CZ166" s="153"/>
      <c r="DA166" s="153"/>
      <c r="DB166" s="153"/>
      <c r="DC166" s="153"/>
      <c r="DD166" s="153"/>
      <c r="DE166" s="153"/>
      <c r="DF166" s="153"/>
      <c r="DG166" s="153"/>
      <c r="DH166" s="153"/>
      <c r="DI166" s="153"/>
      <c r="DJ166" s="153"/>
      <c r="DK166" s="153"/>
      <c r="DL166" s="153"/>
      <c r="DM166" s="153"/>
      <c r="DN166" s="153"/>
      <c r="DO166" s="153"/>
      <c r="DP166" s="153"/>
      <c r="DQ166" s="154"/>
      <c r="DR166" s="154"/>
      <c r="DS166" s="154"/>
      <c r="DT166" s="154"/>
      <c r="DU166" s="154"/>
      <c r="DV166" s="154"/>
      <c r="DW166" s="154"/>
      <c r="DX166" s="154"/>
      <c r="DY166" s="154"/>
      <c r="DZ166" s="22"/>
      <c r="EA166" s="22"/>
      <c r="EB166" s="22"/>
      <c r="EC166" s="22"/>
      <c r="ED166" s="22"/>
      <c r="EE166" s="22"/>
      <c r="EF166" s="22"/>
      <c r="EG166" s="22"/>
      <c r="EH166" s="1"/>
    </row>
    <row r="167" spans="1:138" s="10" customFormat="1" ht="15.9" customHeight="1" outlineLevel="1" x14ac:dyDescent="0.3">
      <c r="A167" s="2" t="s">
        <v>23</v>
      </c>
      <c r="B167" s="2"/>
      <c r="C167" s="4" t="s">
        <v>31</v>
      </c>
      <c r="D167" s="145"/>
      <c r="E167" s="2" t="s">
        <v>335</v>
      </c>
      <c r="F167" s="2"/>
      <c r="G167" s="3" t="s">
        <v>340</v>
      </c>
      <c r="H167" s="3"/>
      <c r="I167" s="202" cm="1">
        <f t="array" ref="I167">IFERROR(LOOKUP(2,1/(N167:GR167&lt;&gt;""),N$4:DRA$4),"")</f>
        <v>45180</v>
      </c>
      <c r="J167" s="271" cm="1">
        <f t="array" ref="J167">IFERROR(_xlfn.XLOOKUP(TRUE,N167:EH167&lt;&gt;"",N167:EH167,,,-1)," ")</f>
        <v>22.2</v>
      </c>
      <c r="K167" s="46">
        <v>23</v>
      </c>
      <c r="L167" s="46">
        <v>23</v>
      </c>
      <c r="M167" s="281" t="s">
        <v>28</v>
      </c>
      <c r="N167" s="55"/>
      <c r="O167" s="55"/>
      <c r="P167" s="55"/>
      <c r="Q167" s="55"/>
      <c r="R167" s="55"/>
      <c r="S167" s="55"/>
      <c r="T167" s="55"/>
      <c r="U167" s="55"/>
      <c r="V167" s="55"/>
      <c r="W167" s="55"/>
      <c r="X167" s="55"/>
      <c r="Y167" s="55"/>
      <c r="Z167" s="55"/>
      <c r="AA167" s="55"/>
      <c r="AB167" s="55"/>
      <c r="AC167" s="55"/>
      <c r="AD167" s="55"/>
      <c r="AE167" s="55"/>
      <c r="AF167" s="55"/>
      <c r="AG167" s="55"/>
      <c r="AH167" s="55"/>
      <c r="AI167" s="55"/>
      <c r="AJ167" s="55"/>
      <c r="AK167" s="55"/>
      <c r="AL167" s="55"/>
      <c r="AM167" s="55"/>
      <c r="AN167" s="55"/>
      <c r="AO167" s="55"/>
      <c r="AP167" s="55"/>
      <c r="AQ167" s="55"/>
      <c r="AR167" s="55"/>
      <c r="AS167" s="55"/>
      <c r="AT167" s="56">
        <v>20.3</v>
      </c>
      <c r="AU167" s="153"/>
      <c r="AV167" s="153"/>
      <c r="AW167" s="55"/>
      <c r="AX167" s="153"/>
      <c r="AY167" s="153"/>
      <c r="AZ167" s="153"/>
      <c r="BA167" s="157">
        <v>21</v>
      </c>
      <c r="BB167" s="153"/>
      <c r="BC167" s="153"/>
      <c r="BD167" s="153"/>
      <c r="BE167" s="153"/>
      <c r="BF167" s="153"/>
      <c r="BG167" s="157">
        <v>22.2</v>
      </c>
      <c r="BH167" s="55"/>
      <c r="BI167" s="153"/>
      <c r="BJ167" s="153"/>
      <c r="BK167" s="55"/>
      <c r="BL167" s="153"/>
      <c r="BM167" s="55"/>
      <c r="BN167" s="153"/>
      <c r="BO167" s="55"/>
      <c r="BP167" s="56"/>
      <c r="BQ167" s="153"/>
      <c r="BR167" s="153"/>
      <c r="BS167" s="55"/>
      <c r="BT167" s="153"/>
      <c r="BU167" s="153"/>
      <c r="BV167" s="153"/>
      <c r="BW167" s="153"/>
      <c r="BX167" s="153"/>
      <c r="BY167" s="153"/>
      <c r="BZ167" s="153"/>
      <c r="CA167" s="153"/>
      <c r="CB167" s="56"/>
      <c r="CC167" s="157"/>
      <c r="CD167" s="153"/>
      <c r="CE167" s="153"/>
      <c r="CF167" s="55"/>
      <c r="CG167" s="153"/>
      <c r="CH167" s="153"/>
      <c r="CI167" s="153"/>
      <c r="CJ167" s="55"/>
      <c r="CK167" s="153"/>
      <c r="CL167" s="153"/>
      <c r="CM167" s="153"/>
      <c r="CN167" s="153"/>
      <c r="CO167" s="153"/>
      <c r="CP167" s="153"/>
      <c r="CQ167" s="153"/>
      <c r="CR167" s="153"/>
      <c r="CS167" s="153"/>
      <c r="CT167" s="153"/>
      <c r="CU167" s="153"/>
      <c r="CV167" s="153"/>
      <c r="CW167" s="153"/>
      <c r="CX167" s="153"/>
      <c r="CY167" s="153"/>
      <c r="CZ167" s="153"/>
      <c r="DA167" s="153"/>
      <c r="DB167" s="153"/>
      <c r="DC167" s="153"/>
      <c r="DD167" s="153"/>
      <c r="DE167" s="153"/>
      <c r="DF167" s="153"/>
      <c r="DG167" s="153"/>
      <c r="DH167" s="153"/>
      <c r="DI167" s="153"/>
      <c r="DJ167" s="153"/>
      <c r="DK167" s="153"/>
      <c r="DL167" s="153"/>
      <c r="DM167" s="153"/>
      <c r="DN167" s="153"/>
      <c r="DO167" s="153"/>
      <c r="DP167" s="153"/>
      <c r="DQ167" s="154"/>
      <c r="DR167" s="154"/>
      <c r="DS167" s="154"/>
      <c r="DT167" s="154"/>
      <c r="DU167" s="154"/>
      <c r="DV167" s="154"/>
      <c r="DW167" s="154"/>
      <c r="DX167" s="154"/>
      <c r="DY167" s="154"/>
      <c r="DZ167" s="59"/>
      <c r="EA167" s="59"/>
      <c r="EB167" s="59"/>
      <c r="EC167" s="59"/>
      <c r="ED167" s="59"/>
      <c r="EE167" s="59"/>
      <c r="EF167" s="59"/>
      <c r="EG167" s="59"/>
      <c r="EH167" s="1"/>
    </row>
    <row r="168" spans="1:138" s="10" customFormat="1" ht="15.9" customHeight="1" outlineLevel="1" x14ac:dyDescent="0.3">
      <c r="A168" s="2" t="s">
        <v>23</v>
      </c>
      <c r="B168" s="2" t="s">
        <v>23</v>
      </c>
      <c r="C168" s="4" t="s">
        <v>31</v>
      </c>
      <c r="D168" s="145"/>
      <c r="E168" s="2" t="s">
        <v>335</v>
      </c>
      <c r="F168" s="2" t="s">
        <v>338</v>
      </c>
      <c r="G168" s="3" t="s">
        <v>341</v>
      </c>
      <c r="H168" s="3"/>
      <c r="I168" s="202" cm="1">
        <f t="array" ref="I168">IFERROR(LOOKUP(2,1/(N168:GR168&lt;&gt;""),N$4:DRA$4),"")</f>
        <v>45180</v>
      </c>
      <c r="J168" s="271" cm="1">
        <f t="array" ref="J168">IFERROR(_xlfn.XLOOKUP(TRUE,N168:EH168&lt;&gt;"",N168:EH168,,,-1)," ")</f>
        <v>21.4</v>
      </c>
      <c r="K168" s="46">
        <v>23</v>
      </c>
      <c r="L168" s="46">
        <v>23</v>
      </c>
      <c r="M168" s="281" t="s">
        <v>28</v>
      </c>
      <c r="N168" s="55"/>
      <c r="O168" s="55"/>
      <c r="P168" s="55"/>
      <c r="Q168" s="55"/>
      <c r="R168" s="55"/>
      <c r="S168" s="55"/>
      <c r="T168" s="55"/>
      <c r="U168" s="55"/>
      <c r="V168" s="55"/>
      <c r="W168" s="55"/>
      <c r="X168" s="55"/>
      <c r="Y168" s="55"/>
      <c r="Z168" s="55"/>
      <c r="AA168" s="55"/>
      <c r="AB168" s="55"/>
      <c r="AC168" s="55"/>
      <c r="AD168" s="55"/>
      <c r="AE168" s="55"/>
      <c r="AF168" s="55"/>
      <c r="AG168" s="55"/>
      <c r="AH168" s="55">
        <v>18.399999999999999</v>
      </c>
      <c r="AI168" s="55"/>
      <c r="AJ168" s="55"/>
      <c r="AK168" s="55"/>
      <c r="AL168" s="55"/>
      <c r="AM168" s="55"/>
      <c r="AN168" s="55">
        <v>19.399999999999999</v>
      </c>
      <c r="AO168" s="55"/>
      <c r="AP168" s="55"/>
      <c r="AQ168" s="55"/>
      <c r="AR168" s="55"/>
      <c r="AS168" s="55"/>
      <c r="AT168" s="56">
        <v>20.399999999999999</v>
      </c>
      <c r="AU168" s="153"/>
      <c r="AV168" s="153"/>
      <c r="AW168" s="55"/>
      <c r="AX168" s="153"/>
      <c r="AY168" s="153"/>
      <c r="AZ168" s="153"/>
      <c r="BA168" s="157">
        <v>21</v>
      </c>
      <c r="BB168" s="153"/>
      <c r="BC168" s="153"/>
      <c r="BD168" s="153"/>
      <c r="BE168" s="153"/>
      <c r="BF168" s="153"/>
      <c r="BG168" s="157">
        <v>21.4</v>
      </c>
      <c r="BH168" s="55"/>
      <c r="BI168" s="153"/>
      <c r="BJ168" s="153"/>
      <c r="BK168" s="55"/>
      <c r="BL168" s="153"/>
      <c r="BM168" s="55"/>
      <c r="BN168" s="153"/>
      <c r="BO168" s="55"/>
      <c r="BP168" s="56"/>
      <c r="BQ168" s="153"/>
      <c r="BR168" s="153"/>
      <c r="BS168" s="55"/>
      <c r="BT168" s="153"/>
      <c r="BU168" s="153"/>
      <c r="BV168" s="153"/>
      <c r="BW168" s="153"/>
      <c r="BX168" s="153"/>
      <c r="BY168" s="153"/>
      <c r="BZ168" s="153"/>
      <c r="CA168" s="153"/>
      <c r="CB168" s="56"/>
      <c r="CC168" s="157"/>
      <c r="CD168" s="153"/>
      <c r="CE168" s="153"/>
      <c r="CF168" s="55"/>
      <c r="CG168" s="153"/>
      <c r="CH168" s="153"/>
      <c r="CI168" s="153"/>
      <c r="CJ168" s="55"/>
      <c r="CK168" s="153"/>
      <c r="CL168" s="153"/>
      <c r="CM168" s="153"/>
      <c r="CN168" s="153"/>
      <c r="CO168" s="153"/>
      <c r="CP168" s="153"/>
      <c r="CQ168" s="153"/>
      <c r="CR168" s="153"/>
      <c r="CS168" s="153"/>
      <c r="CT168" s="153"/>
      <c r="CU168" s="153"/>
      <c r="CV168" s="153"/>
      <c r="CW168" s="153"/>
      <c r="CX168" s="153"/>
      <c r="CY168" s="153"/>
      <c r="CZ168" s="153"/>
      <c r="DA168" s="153"/>
      <c r="DB168" s="153"/>
      <c r="DC168" s="153"/>
      <c r="DD168" s="153"/>
      <c r="DE168" s="153"/>
      <c r="DF168" s="153"/>
      <c r="DG168" s="153"/>
      <c r="DH168" s="153"/>
      <c r="DI168" s="153"/>
      <c r="DJ168" s="153"/>
      <c r="DK168" s="153"/>
      <c r="DL168" s="153"/>
      <c r="DM168" s="153"/>
      <c r="DN168" s="153"/>
      <c r="DO168" s="153"/>
      <c r="DP168" s="153"/>
      <c r="DQ168" s="154"/>
      <c r="DR168" s="154"/>
      <c r="DS168" s="154"/>
      <c r="DT168" s="154"/>
      <c r="DU168" s="154"/>
      <c r="DV168" s="154"/>
      <c r="DW168" s="154"/>
      <c r="DX168" s="154"/>
      <c r="DY168" s="154"/>
      <c r="DZ168" s="22"/>
      <c r="EA168" s="22"/>
      <c r="EB168" s="22"/>
      <c r="EC168" s="22"/>
      <c r="ED168" s="22"/>
      <c r="EE168" s="22"/>
      <c r="EF168" s="22"/>
      <c r="EG168" s="22"/>
      <c r="EH168" s="1"/>
    </row>
    <row r="169" spans="1:138" s="10" customFormat="1" ht="15.9" customHeight="1" x14ac:dyDescent="0.3">
      <c r="A169" s="83"/>
      <c r="B169" s="83"/>
      <c r="C169" s="91"/>
      <c r="D169" s="82"/>
      <c r="E169" s="83" t="s">
        <v>342</v>
      </c>
      <c r="F169" s="83"/>
      <c r="G169" s="84" t="s">
        <v>343</v>
      </c>
      <c r="H169" s="84"/>
      <c r="I169" s="203"/>
      <c r="J169" s="167"/>
      <c r="K169" s="220"/>
      <c r="L169" s="92"/>
      <c r="M169" s="280" t="s">
        <v>21</v>
      </c>
      <c r="N169" s="94"/>
      <c r="O169" s="94"/>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94"/>
      <c r="AU169" s="101"/>
      <c r="AV169" s="101"/>
      <c r="AW169" s="94"/>
      <c r="AX169" s="101"/>
      <c r="AY169" s="101"/>
      <c r="AZ169" s="101"/>
      <c r="BA169" s="101"/>
      <c r="BB169" s="101"/>
      <c r="BC169" s="101"/>
      <c r="BD169" s="101"/>
      <c r="BE169" s="101"/>
      <c r="BF169" s="101"/>
      <c r="BG169" s="94"/>
      <c r="BH169" s="94"/>
      <c r="BI169" s="101"/>
      <c r="BJ169" s="101"/>
      <c r="BK169" s="94"/>
      <c r="BL169" s="94"/>
      <c r="BM169" s="94"/>
      <c r="BN169" s="101"/>
      <c r="BO169" s="94"/>
      <c r="BP169" s="95"/>
      <c r="BQ169" s="101"/>
      <c r="BR169" s="94"/>
      <c r="BS169" s="94"/>
      <c r="BT169" s="94"/>
      <c r="BU169" s="94"/>
      <c r="BV169" s="94"/>
      <c r="BW169" s="94"/>
      <c r="BX169" s="94"/>
      <c r="BY169" s="94"/>
      <c r="BZ169" s="94"/>
      <c r="CA169" s="94"/>
      <c r="CB169" s="94"/>
      <c r="CC169" s="93"/>
      <c r="CD169" s="101"/>
      <c r="CE169" s="101"/>
      <c r="CF169" s="94"/>
      <c r="CG169" s="94"/>
      <c r="CH169" s="101"/>
      <c r="CI169" s="94"/>
      <c r="CJ169" s="94"/>
      <c r="CK169" s="101"/>
      <c r="CL169" s="101"/>
      <c r="CM169" s="94"/>
      <c r="CN169" s="101"/>
      <c r="CO169" s="101"/>
      <c r="CP169" s="101"/>
      <c r="CQ169" s="101"/>
      <c r="CR169" s="101"/>
      <c r="CS169" s="101"/>
      <c r="CT169" s="101"/>
      <c r="CU169" s="101"/>
      <c r="CV169" s="101"/>
      <c r="CW169" s="101"/>
      <c r="CX169" s="101"/>
      <c r="CY169" s="101"/>
      <c r="CZ169" s="101"/>
      <c r="DA169" s="101"/>
      <c r="DB169" s="101"/>
      <c r="DC169" s="101"/>
      <c r="DD169" s="101"/>
      <c r="DE169" s="101"/>
      <c r="DF169" s="101"/>
      <c r="DG169" s="101"/>
      <c r="DH169" s="101"/>
      <c r="DI169" s="101"/>
      <c r="DJ169" s="101"/>
      <c r="DK169" s="101"/>
      <c r="DL169" s="101"/>
      <c r="DM169" s="101"/>
      <c r="DN169" s="101"/>
      <c r="DO169" s="101"/>
      <c r="DP169" s="101"/>
      <c r="DQ169" s="161"/>
      <c r="DR169" s="161"/>
      <c r="DS169" s="161"/>
      <c r="DT169" s="161"/>
      <c r="DU169" s="161"/>
      <c r="DV169" s="161"/>
      <c r="DW169" s="161"/>
      <c r="DX169" s="161"/>
      <c r="DY169" s="161"/>
      <c r="DZ169" s="22"/>
      <c r="EA169" s="22"/>
      <c r="EB169" s="22"/>
      <c r="EC169" s="22"/>
      <c r="ED169" s="22"/>
      <c r="EE169" s="22"/>
      <c r="EF169" s="22"/>
      <c r="EG169" s="22"/>
      <c r="EH169" s="1"/>
    </row>
    <row r="170" spans="1:138" s="97" customFormat="1" ht="15.9" customHeight="1" outlineLevel="1" x14ac:dyDescent="0.3">
      <c r="A170" s="2" t="s">
        <v>22</v>
      </c>
      <c r="B170" s="2"/>
      <c r="C170" s="4" t="s">
        <v>24</v>
      </c>
      <c r="D170" s="145">
        <v>4.51</v>
      </c>
      <c r="E170" s="2" t="s">
        <v>342</v>
      </c>
      <c r="F170" s="2" t="s">
        <v>344</v>
      </c>
      <c r="G170" s="3" t="s">
        <v>345</v>
      </c>
      <c r="H170" s="3"/>
      <c r="I170" s="205" cm="1">
        <f t="array" ref="I170">IFERROR(LOOKUP(2,1/(N170:GR170&lt;&gt;""),N$4:DRA$4),"")</f>
        <v>45183</v>
      </c>
      <c r="J170" s="271" cm="1">
        <f t="array" ref="J170">IFERROR(_xlfn.XLOOKUP(TRUE,N170:EH170&lt;&gt;"",N170:EH170,,,-1)," ")</f>
        <v>24.3</v>
      </c>
      <c r="K170" s="46">
        <v>21</v>
      </c>
      <c r="L170" s="46">
        <v>21.5</v>
      </c>
      <c r="M170" s="281" t="s">
        <v>151</v>
      </c>
      <c r="N170" s="55"/>
      <c r="O170" s="55"/>
      <c r="P170" s="55"/>
      <c r="Q170" s="55"/>
      <c r="R170" s="55"/>
      <c r="S170" s="55"/>
      <c r="T170" s="55"/>
      <c r="U170" s="55"/>
      <c r="V170" s="55"/>
      <c r="W170" s="55"/>
      <c r="X170" s="55"/>
      <c r="Y170" s="55"/>
      <c r="Z170" s="55"/>
      <c r="AA170" s="55"/>
      <c r="AB170" s="55"/>
      <c r="AC170" s="55"/>
      <c r="AD170" s="55"/>
      <c r="AE170" s="55"/>
      <c r="AF170" s="55"/>
      <c r="AG170" s="55"/>
      <c r="AH170" s="55"/>
      <c r="AI170" s="55"/>
      <c r="AJ170" s="55"/>
      <c r="AK170" s="55"/>
      <c r="AL170" s="55">
        <v>18.600000000000001</v>
      </c>
      <c r="AM170" s="55"/>
      <c r="AN170" s="55"/>
      <c r="AO170" s="55"/>
      <c r="AP170" s="55"/>
      <c r="AQ170" s="55"/>
      <c r="AR170" s="55"/>
      <c r="AS170" s="55">
        <v>19.3</v>
      </c>
      <c r="AT170" s="55"/>
      <c r="AU170" s="153"/>
      <c r="AV170" s="153"/>
      <c r="AW170" s="55"/>
      <c r="AX170" s="153">
        <v>20.399999999999999</v>
      </c>
      <c r="AY170" s="153"/>
      <c r="AZ170" s="153"/>
      <c r="BA170" s="153"/>
      <c r="BB170" s="153"/>
      <c r="BC170" s="153"/>
      <c r="BD170" s="157">
        <v>20.9</v>
      </c>
      <c r="BE170" s="153"/>
      <c r="BF170" s="153"/>
      <c r="BG170" s="153"/>
      <c r="BH170" s="55"/>
      <c r="BI170" s="153"/>
      <c r="BJ170" s="153">
        <v>24.3</v>
      </c>
      <c r="BK170" s="55"/>
      <c r="BL170" s="153"/>
      <c r="BM170" s="55"/>
      <c r="BN170" s="153"/>
      <c r="BO170" s="55"/>
      <c r="BP170" s="56"/>
      <c r="BQ170" s="153"/>
      <c r="BR170" s="153"/>
      <c r="BS170" s="55"/>
      <c r="BT170" s="153"/>
      <c r="BU170" s="153"/>
      <c r="BV170" s="153"/>
      <c r="BW170" s="153"/>
      <c r="BX170" s="153"/>
      <c r="BY170" s="153"/>
      <c r="BZ170" s="153"/>
      <c r="CA170" s="153"/>
      <c r="CB170" s="55"/>
      <c r="CC170" s="153"/>
      <c r="CD170" s="153"/>
      <c r="CE170" s="153"/>
      <c r="CF170" s="55"/>
      <c r="CG170" s="153"/>
      <c r="CH170" s="153"/>
      <c r="CI170" s="153"/>
      <c r="CJ170" s="55"/>
      <c r="CK170" s="153"/>
      <c r="CL170" s="153"/>
      <c r="CM170" s="153"/>
      <c r="CN170" s="153"/>
      <c r="CO170" s="153"/>
      <c r="CP170" s="153"/>
      <c r="CQ170" s="153"/>
      <c r="CR170" s="153"/>
      <c r="CS170" s="153"/>
      <c r="CT170" s="153"/>
      <c r="CU170" s="153"/>
      <c r="CV170" s="153"/>
      <c r="CW170" s="153"/>
      <c r="CX170" s="153"/>
      <c r="CY170" s="153"/>
      <c r="CZ170" s="153"/>
      <c r="DA170" s="153"/>
      <c r="DB170" s="153"/>
      <c r="DC170" s="153"/>
      <c r="DD170" s="153"/>
      <c r="DE170" s="153"/>
      <c r="DF170" s="153"/>
      <c r="DG170" s="153"/>
      <c r="DH170" s="153"/>
      <c r="DI170" s="153"/>
      <c r="DJ170" s="153"/>
      <c r="DK170" s="153"/>
      <c r="DL170" s="153"/>
      <c r="DM170" s="153"/>
      <c r="DN170" s="153"/>
      <c r="DO170" s="153"/>
      <c r="DP170" s="153"/>
      <c r="DQ170" s="154"/>
      <c r="DR170" s="154"/>
      <c r="DS170" s="154"/>
      <c r="DT170" s="154"/>
      <c r="DU170" s="154"/>
      <c r="DV170" s="154"/>
      <c r="DW170" s="154"/>
      <c r="DX170" s="154"/>
      <c r="DY170" s="154"/>
      <c r="DZ170" s="22"/>
      <c r="EA170" s="22"/>
      <c r="EB170" s="22"/>
      <c r="EC170" s="22"/>
      <c r="ED170" s="22"/>
      <c r="EE170" s="22"/>
      <c r="EF170" s="22"/>
      <c r="EG170" s="22"/>
    </row>
    <row r="171" spans="1:138" s="97" customFormat="1" ht="15.9" customHeight="1" x14ac:dyDescent="0.3">
      <c r="A171" s="83"/>
      <c r="B171" s="83"/>
      <c r="C171" s="91"/>
      <c r="D171" s="82"/>
      <c r="E171" s="83" t="s">
        <v>346</v>
      </c>
      <c r="F171" s="83"/>
      <c r="G171" s="84" t="s">
        <v>347</v>
      </c>
      <c r="H171" s="84"/>
      <c r="I171" s="203"/>
      <c r="J171" s="167"/>
      <c r="K171" s="221"/>
      <c r="L171" s="93"/>
      <c r="M171" s="280" t="s">
        <v>21</v>
      </c>
      <c r="N171" s="81"/>
      <c r="O171" s="83"/>
      <c r="P171" s="83"/>
      <c r="Q171" s="83"/>
      <c r="R171" s="83"/>
      <c r="S171" s="81"/>
      <c r="T171" s="83"/>
      <c r="U171" s="83"/>
      <c r="V171" s="83"/>
      <c r="W171" s="83"/>
      <c r="X171" s="81"/>
      <c r="Y171" s="83"/>
      <c r="Z171" s="83"/>
      <c r="AA171" s="83"/>
      <c r="AB171" s="83"/>
      <c r="AC171" s="81"/>
      <c r="AD171" s="83"/>
      <c r="AE171" s="83"/>
      <c r="AF171" s="83"/>
      <c r="AG171" s="83"/>
      <c r="AH171" s="81"/>
      <c r="AI171" s="83"/>
      <c r="AJ171" s="83"/>
      <c r="AK171" s="83"/>
      <c r="AL171" s="83"/>
      <c r="AM171" s="81"/>
      <c r="AN171" s="83"/>
      <c r="AO171" s="83"/>
      <c r="AP171" s="83"/>
      <c r="AQ171" s="83"/>
      <c r="AR171" s="102"/>
      <c r="AS171" s="103"/>
      <c r="AT171" s="103"/>
      <c r="AU171" s="83"/>
      <c r="AV171" s="83"/>
      <c r="AW171" s="102"/>
      <c r="AX171" s="83"/>
      <c r="AY171" s="83"/>
      <c r="AZ171" s="83"/>
      <c r="BA171" s="83"/>
      <c r="BB171" s="81"/>
      <c r="BC171" s="83"/>
      <c r="BD171" s="83"/>
      <c r="BE171" s="83"/>
      <c r="BF171" s="83"/>
      <c r="BG171" s="102"/>
      <c r="BH171" s="103"/>
      <c r="BI171" s="83"/>
      <c r="BJ171" s="83"/>
      <c r="BK171" s="103"/>
      <c r="BL171" s="102"/>
      <c r="BM171" s="103"/>
      <c r="BN171" s="83"/>
      <c r="BO171" s="103"/>
      <c r="BP171" s="104"/>
      <c r="BQ171" s="81"/>
      <c r="BR171" s="103"/>
      <c r="BS171" s="103"/>
      <c r="BT171" s="103"/>
      <c r="BU171" s="103"/>
      <c r="BV171" s="102"/>
      <c r="BW171" s="103"/>
      <c r="BX171" s="103"/>
      <c r="BY171" s="103"/>
      <c r="BZ171" s="103"/>
      <c r="CA171" s="102"/>
      <c r="CB171" s="103"/>
      <c r="CC171" s="83"/>
      <c r="CD171" s="83"/>
      <c r="CE171" s="83"/>
      <c r="CF171" s="102"/>
      <c r="CG171" s="94"/>
      <c r="CH171" s="101"/>
      <c r="CI171" s="94"/>
      <c r="CJ171" s="94"/>
      <c r="CK171" s="101"/>
      <c r="CL171" s="101"/>
      <c r="CM171" s="94"/>
      <c r="CN171" s="101"/>
      <c r="CO171" s="101"/>
      <c r="CP171" s="101"/>
      <c r="CQ171" s="101"/>
      <c r="CR171" s="101"/>
      <c r="CS171" s="101"/>
      <c r="CT171" s="101"/>
      <c r="CU171" s="101"/>
      <c r="CV171" s="101"/>
      <c r="CW171" s="101"/>
      <c r="CX171" s="101"/>
      <c r="CY171" s="101"/>
      <c r="CZ171" s="101"/>
      <c r="DA171" s="101"/>
      <c r="DB171" s="101"/>
      <c r="DC171" s="101"/>
      <c r="DD171" s="101"/>
      <c r="DE171" s="101"/>
      <c r="DF171" s="101"/>
      <c r="DG171" s="101"/>
      <c r="DH171" s="101"/>
      <c r="DI171" s="101"/>
      <c r="DJ171" s="101"/>
      <c r="DK171" s="101"/>
      <c r="DL171" s="101"/>
      <c r="DM171" s="101"/>
      <c r="DN171" s="101"/>
      <c r="DO171" s="101"/>
      <c r="DP171" s="101"/>
      <c r="DQ171" s="161"/>
      <c r="DR171" s="161"/>
      <c r="DS171" s="161"/>
      <c r="DT171" s="161"/>
      <c r="DU171" s="161"/>
      <c r="DV171" s="161"/>
      <c r="DW171" s="161"/>
      <c r="DX171" s="161"/>
      <c r="DY171" s="161"/>
      <c r="DZ171" s="65"/>
      <c r="EA171" s="65"/>
      <c r="EB171" s="65"/>
      <c r="EC171" s="65"/>
      <c r="ED171" s="65"/>
      <c r="EE171" s="65"/>
      <c r="EF171" s="65"/>
      <c r="EG171" s="65"/>
    </row>
    <row r="172" spans="1:138" s="1" customFormat="1" ht="15.9" customHeight="1" outlineLevel="1" x14ac:dyDescent="0.3">
      <c r="A172" s="2" t="s">
        <v>22</v>
      </c>
      <c r="B172" s="2"/>
      <c r="C172" s="4" t="s">
        <v>24</v>
      </c>
      <c r="D172" s="145">
        <v>4.51</v>
      </c>
      <c r="E172" s="2" t="s">
        <v>346</v>
      </c>
      <c r="F172" s="2" t="s">
        <v>348</v>
      </c>
      <c r="G172" s="3" t="s">
        <v>349</v>
      </c>
      <c r="H172" s="3"/>
      <c r="I172" s="205" cm="1">
        <f t="array" ref="I172">IFERROR(LOOKUP(2,1/(N172:GR172&lt;&gt;""),N$4:DRA$4),"")</f>
        <v>45177</v>
      </c>
      <c r="J172" s="271" cm="1">
        <f t="array" ref="J172">IFERROR(_xlfn.XLOOKUP(TRUE,N172:EH172&lt;&gt;"",N172:EH172,,,-1)," ")</f>
        <v>22.1</v>
      </c>
      <c r="K172" s="46">
        <v>21</v>
      </c>
      <c r="L172" s="46">
        <v>21.5</v>
      </c>
      <c r="M172" s="281" t="s">
        <v>151</v>
      </c>
      <c r="N172" s="55"/>
      <c r="O172" s="55"/>
      <c r="P172" s="55"/>
      <c r="Q172" s="55"/>
      <c r="R172" s="55"/>
      <c r="S172" s="55"/>
      <c r="T172" s="55"/>
      <c r="U172" s="55"/>
      <c r="V172" s="55"/>
      <c r="W172" s="55"/>
      <c r="X172" s="55"/>
      <c r="Y172" s="55"/>
      <c r="Z172" s="55">
        <v>16</v>
      </c>
      <c r="AA172" s="55"/>
      <c r="AB172" s="55"/>
      <c r="AC172" s="55"/>
      <c r="AD172" s="55"/>
      <c r="AE172" s="55">
        <v>16.399999999999999</v>
      </c>
      <c r="AF172" s="55"/>
      <c r="AG172" s="55"/>
      <c r="AH172" s="55"/>
      <c r="AI172" s="55"/>
      <c r="AJ172" s="56"/>
      <c r="AK172" s="55"/>
      <c r="AL172" s="55">
        <v>17.600000000000001</v>
      </c>
      <c r="AM172" s="55"/>
      <c r="AN172" s="55"/>
      <c r="AO172" s="55"/>
      <c r="AP172" s="55"/>
      <c r="AQ172" s="55"/>
      <c r="AR172" s="55"/>
      <c r="AS172" s="55">
        <v>20.2</v>
      </c>
      <c r="AT172" s="56"/>
      <c r="AU172" s="153"/>
      <c r="AV172" s="153"/>
      <c r="AW172" s="55"/>
      <c r="AX172" s="153">
        <v>20.8</v>
      </c>
      <c r="AY172" s="153"/>
      <c r="AZ172" s="153"/>
      <c r="BA172" s="153"/>
      <c r="BB172" s="153"/>
      <c r="BC172" s="153"/>
      <c r="BD172" s="157">
        <v>22.1</v>
      </c>
      <c r="BE172" s="153"/>
      <c r="BF172" s="153"/>
      <c r="BG172" s="153"/>
      <c r="BH172" s="55"/>
      <c r="BI172" s="153"/>
      <c r="BJ172" s="153"/>
      <c r="BK172" s="55"/>
      <c r="BL172" s="153"/>
      <c r="BM172" s="55"/>
      <c r="BN172" s="153"/>
      <c r="BO172" s="55"/>
      <c r="BP172" s="56"/>
      <c r="BQ172" s="153"/>
      <c r="BR172" s="153"/>
      <c r="BS172" s="55"/>
      <c r="BT172" s="153"/>
      <c r="BU172" s="153"/>
      <c r="BV172" s="153"/>
      <c r="BW172" s="153"/>
      <c r="BX172" s="153"/>
      <c r="BY172" s="153"/>
      <c r="BZ172" s="153"/>
      <c r="CA172" s="153"/>
      <c r="CB172" s="55"/>
      <c r="CC172" s="153"/>
      <c r="CD172" s="153"/>
      <c r="CE172" s="153"/>
      <c r="CF172" s="55"/>
      <c r="CG172" s="153"/>
      <c r="CH172" s="153"/>
      <c r="CI172" s="153"/>
      <c r="CJ172" s="55"/>
      <c r="CK172" s="153"/>
      <c r="CL172" s="153"/>
      <c r="CM172" s="153"/>
      <c r="CN172" s="153"/>
      <c r="CO172" s="153"/>
      <c r="CP172" s="153"/>
      <c r="CQ172" s="153"/>
      <c r="CR172" s="153"/>
      <c r="CS172" s="153"/>
      <c r="CT172" s="153"/>
      <c r="CU172" s="153"/>
      <c r="CV172" s="153"/>
      <c r="CW172" s="153"/>
      <c r="CX172" s="153"/>
      <c r="CY172" s="153"/>
      <c r="CZ172" s="153"/>
      <c r="DA172" s="153"/>
      <c r="DB172" s="153"/>
      <c r="DC172" s="153"/>
      <c r="DD172" s="153"/>
      <c r="DE172" s="153"/>
      <c r="DF172" s="153"/>
      <c r="DG172" s="153"/>
      <c r="DH172" s="153"/>
      <c r="DI172" s="153"/>
      <c r="DJ172" s="153"/>
      <c r="DK172" s="153"/>
      <c r="DL172" s="153"/>
      <c r="DM172" s="153"/>
      <c r="DN172" s="153"/>
      <c r="DO172" s="153"/>
      <c r="DP172" s="153"/>
      <c r="DQ172" s="154"/>
      <c r="DR172" s="154"/>
      <c r="DS172" s="154"/>
      <c r="DT172" s="154"/>
      <c r="DU172" s="154"/>
      <c r="DV172" s="154"/>
      <c r="DW172" s="154"/>
      <c r="DX172" s="154"/>
      <c r="DY172" s="154"/>
      <c r="DZ172" s="65"/>
      <c r="EA172" s="65"/>
      <c r="EB172" s="65"/>
      <c r="EC172" s="65"/>
      <c r="ED172" s="65"/>
      <c r="EE172" s="65"/>
      <c r="EF172" s="65"/>
      <c r="EG172" s="65"/>
    </row>
    <row r="173" spans="1:138" s="97" customFormat="1" ht="15.9" customHeight="1" x14ac:dyDescent="0.3">
      <c r="A173" s="83"/>
      <c r="B173" s="83"/>
      <c r="C173" s="91"/>
      <c r="D173" s="82"/>
      <c r="E173" s="83" t="s">
        <v>350</v>
      </c>
      <c r="F173" s="83"/>
      <c r="G173" s="84" t="s">
        <v>351</v>
      </c>
      <c r="H173" s="84"/>
      <c r="I173" s="203"/>
      <c r="J173" s="167"/>
      <c r="K173" s="220"/>
      <c r="L173" s="92"/>
      <c r="M173" s="280" t="s">
        <v>21</v>
      </c>
      <c r="N173" s="94"/>
      <c r="O173" s="94"/>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94"/>
      <c r="AU173" s="101"/>
      <c r="AV173" s="101"/>
      <c r="AW173" s="94"/>
      <c r="AX173" s="101"/>
      <c r="AY173" s="101"/>
      <c r="AZ173" s="94"/>
      <c r="BA173" s="94"/>
      <c r="BB173" s="101"/>
      <c r="BC173" s="101"/>
      <c r="BD173" s="101"/>
      <c r="BE173" s="101"/>
      <c r="BF173" s="101"/>
      <c r="BG173" s="94"/>
      <c r="BH173" s="94"/>
      <c r="BI173" s="101"/>
      <c r="BJ173" s="101"/>
      <c r="BK173" s="94"/>
      <c r="BL173" s="94"/>
      <c r="BM173" s="94"/>
      <c r="BN173" s="101"/>
      <c r="BO173" s="94"/>
      <c r="BP173" s="95"/>
      <c r="BQ173" s="101"/>
      <c r="BR173" s="94"/>
      <c r="BS173" s="94"/>
      <c r="BT173" s="94"/>
      <c r="BU173" s="94"/>
      <c r="BV173" s="94"/>
      <c r="BW173" s="94"/>
      <c r="BX173" s="94"/>
      <c r="BY173" s="94"/>
      <c r="BZ173" s="94"/>
      <c r="CA173" s="94"/>
      <c r="CB173" s="94"/>
      <c r="CC173" s="93"/>
      <c r="CD173" s="101"/>
      <c r="CE173" s="101"/>
      <c r="CF173" s="94"/>
      <c r="CG173" s="94"/>
      <c r="CH173" s="101"/>
      <c r="CI173" s="94"/>
      <c r="CJ173" s="94"/>
      <c r="CK173" s="101"/>
      <c r="CL173" s="101"/>
      <c r="CM173" s="94"/>
      <c r="CN173" s="94"/>
      <c r="CO173" s="94"/>
      <c r="CP173" s="94"/>
      <c r="CQ173" s="94"/>
      <c r="CR173" s="101"/>
      <c r="CS173" s="101"/>
      <c r="CT173" s="94"/>
      <c r="CU173" s="94"/>
      <c r="CV173" s="101"/>
      <c r="CW173" s="101"/>
      <c r="CX173" s="101"/>
      <c r="CY173" s="101"/>
      <c r="CZ173" s="101"/>
      <c r="DA173" s="101"/>
      <c r="DB173" s="101"/>
      <c r="DC173" s="101"/>
      <c r="DD173" s="101"/>
      <c r="DE173" s="101"/>
      <c r="DF173" s="101"/>
      <c r="DG173" s="101"/>
      <c r="DH173" s="101"/>
      <c r="DI173" s="101"/>
      <c r="DJ173" s="101"/>
      <c r="DK173" s="101"/>
      <c r="DL173" s="101"/>
      <c r="DM173" s="101"/>
      <c r="DN173" s="101"/>
      <c r="DO173" s="101"/>
      <c r="DP173" s="101"/>
      <c r="DQ173" s="161"/>
      <c r="DR173" s="161"/>
      <c r="DS173" s="161"/>
      <c r="DT173" s="161"/>
      <c r="DU173" s="161"/>
      <c r="DV173" s="161"/>
      <c r="DW173" s="161"/>
      <c r="DX173" s="161"/>
      <c r="DY173" s="161"/>
      <c r="DZ173" s="59"/>
      <c r="EA173" s="59"/>
      <c r="EB173" s="59"/>
      <c r="EC173" s="59"/>
      <c r="ED173" s="59"/>
      <c r="EE173" s="59"/>
      <c r="EF173" s="59"/>
      <c r="EG173" s="59"/>
    </row>
    <row r="174" spans="1:138" s="10" customFormat="1" ht="15.9" customHeight="1" outlineLevel="1" x14ac:dyDescent="0.3">
      <c r="A174" s="7" t="s">
        <v>22</v>
      </c>
      <c r="B174" s="7"/>
      <c r="C174" s="8" t="s">
        <v>44</v>
      </c>
      <c r="D174" s="146">
        <v>19.05</v>
      </c>
      <c r="E174" s="7" t="s">
        <v>350</v>
      </c>
      <c r="F174" s="7" t="s">
        <v>352</v>
      </c>
      <c r="G174" s="9" t="s">
        <v>353</v>
      </c>
      <c r="H174" s="9"/>
      <c r="I174" s="204" cm="1">
        <f t="array" ref="I174">IFERROR(LOOKUP(2,1/(N174:GR174&lt;&gt;""),N$4:DRA$4),"")</f>
        <v>45217</v>
      </c>
      <c r="J174" s="266" cm="1">
        <f t="array" ref="J174">IFERROR(_xlfn.XLOOKUP(TRUE,N174:EH174&lt;&gt;"",N174:EH174,,,-1)," ")</f>
        <v>24</v>
      </c>
      <c r="K174" s="45">
        <v>24.5</v>
      </c>
      <c r="L174" s="45">
        <v>25</v>
      </c>
      <c r="M174" s="282" t="s">
        <v>28</v>
      </c>
      <c r="N174" s="57"/>
      <c r="O174" s="57"/>
      <c r="P174" s="57"/>
      <c r="Q174" s="57"/>
      <c r="R174" s="57"/>
      <c r="S174" s="57"/>
      <c r="T174" s="57"/>
      <c r="U174" s="57"/>
      <c r="V174" s="57"/>
      <c r="W174" s="57"/>
      <c r="X174" s="57"/>
      <c r="Y174" s="57"/>
      <c r="Z174" s="57"/>
      <c r="AA174" s="57"/>
      <c r="AB174" s="57"/>
      <c r="AC174" s="57"/>
      <c r="AD174" s="57"/>
      <c r="AE174" s="57"/>
      <c r="AF174" s="57"/>
      <c r="AG174" s="57"/>
      <c r="AH174" s="57"/>
      <c r="AI174" s="57"/>
      <c r="AJ174" s="57"/>
      <c r="AK174" s="57"/>
      <c r="AL174" s="57"/>
      <c r="AM174" s="57"/>
      <c r="AN174" s="57"/>
      <c r="AO174" s="57"/>
      <c r="AP174" s="57"/>
      <c r="AQ174" s="57">
        <v>16.600000000000001</v>
      </c>
      <c r="AR174" s="57"/>
      <c r="AS174" s="57"/>
      <c r="AT174" s="57"/>
      <c r="AU174" s="61"/>
      <c r="AV174" s="61"/>
      <c r="AW174" s="57"/>
      <c r="AX174" s="61"/>
      <c r="AY174" s="61"/>
      <c r="AZ174" s="57"/>
      <c r="BA174" s="58"/>
      <c r="BB174" s="61">
        <v>19.399999999999999</v>
      </c>
      <c r="BC174" s="61"/>
      <c r="BD174" s="61"/>
      <c r="BE174" s="61"/>
      <c r="BF174" s="57"/>
      <c r="BG174" s="57"/>
      <c r="BH174" s="58"/>
      <c r="BI174" s="61">
        <v>19.899999999999999</v>
      </c>
      <c r="BJ174" s="61"/>
      <c r="BK174" s="57"/>
      <c r="BL174" s="57"/>
      <c r="BM174" s="57"/>
      <c r="BN174" s="61"/>
      <c r="BO174" s="57"/>
      <c r="BP174" s="58"/>
      <c r="BQ174" s="61"/>
      <c r="BR174" s="61"/>
      <c r="BS174" s="57"/>
      <c r="BT174" s="61"/>
      <c r="BU174" s="61"/>
      <c r="BV174" s="61"/>
      <c r="BW174" s="61"/>
      <c r="BX174" s="61">
        <v>21.9</v>
      </c>
      <c r="BY174" s="61"/>
      <c r="BZ174" s="61"/>
      <c r="CA174" s="61"/>
      <c r="CB174" s="57"/>
      <c r="CC174" s="27"/>
      <c r="CD174" s="61"/>
      <c r="CE174" s="61"/>
      <c r="CF174" s="57"/>
      <c r="CG174" s="61">
        <v>22.1</v>
      </c>
      <c r="CH174" s="61"/>
      <c r="CI174" s="61"/>
      <c r="CJ174" s="57"/>
      <c r="CK174" s="61"/>
      <c r="CL174" s="160">
        <v>23</v>
      </c>
      <c r="CM174" s="61"/>
      <c r="CN174" s="61"/>
      <c r="CO174" s="61"/>
      <c r="CP174" s="61"/>
      <c r="CQ174" s="61"/>
      <c r="CR174" s="61">
        <v>24</v>
      </c>
      <c r="CS174" s="61"/>
      <c r="CT174" s="61"/>
      <c r="CU174" s="61"/>
      <c r="CV174" s="61"/>
      <c r="CW174" s="61"/>
      <c r="CX174" s="61"/>
      <c r="CY174" s="61"/>
      <c r="CZ174" s="61"/>
      <c r="DA174" s="61"/>
      <c r="DB174" s="61"/>
      <c r="DC174" s="61"/>
      <c r="DD174" s="61"/>
      <c r="DE174" s="61"/>
      <c r="DF174" s="61"/>
      <c r="DG174" s="61"/>
      <c r="DH174" s="61"/>
      <c r="DI174" s="61"/>
      <c r="DJ174" s="61"/>
      <c r="DK174" s="61"/>
      <c r="DL174" s="61"/>
      <c r="DM174" s="61"/>
      <c r="DN174" s="61"/>
      <c r="DO174" s="61"/>
      <c r="DP174" s="61"/>
      <c r="DQ174" s="156"/>
      <c r="DR174" s="156"/>
      <c r="DS174" s="156"/>
      <c r="DT174" s="156"/>
      <c r="DU174" s="156"/>
      <c r="DV174" s="156"/>
      <c r="DW174" s="156"/>
      <c r="DX174" s="156"/>
      <c r="DY174" s="156"/>
      <c r="DZ174" s="59"/>
      <c r="EA174" s="59"/>
      <c r="EB174" s="59"/>
      <c r="EC174" s="59"/>
      <c r="ED174" s="59"/>
      <c r="EE174" s="59"/>
      <c r="EF174" s="59"/>
      <c r="EG174" s="59"/>
    </row>
    <row r="175" spans="1:138" s="5" customFormat="1" ht="15.9" customHeight="1" outlineLevel="1" x14ac:dyDescent="0.3">
      <c r="A175" s="6" t="s">
        <v>22</v>
      </c>
      <c r="B175" s="6" t="s">
        <v>23</v>
      </c>
      <c r="C175" s="50" t="s">
        <v>44</v>
      </c>
      <c r="D175" s="147">
        <v>35.56</v>
      </c>
      <c r="E175" s="6" t="s">
        <v>350</v>
      </c>
      <c r="F175" s="6" t="s">
        <v>354</v>
      </c>
      <c r="G175" s="11" t="s">
        <v>355</v>
      </c>
      <c r="H175" s="11"/>
      <c r="I175" s="205" cm="1">
        <f t="array" ref="I175">IFERROR(LOOKUP(2,1/(N175:GR175&lt;&gt;""),N$4:DRA$4),"")</f>
        <v>45210</v>
      </c>
      <c r="J175" s="271" cm="1">
        <f t="array" ref="J175">IFERROR(_xlfn.XLOOKUP(TRUE,N175:EH175&lt;&gt;"",N175:EH175,,,-1)," ")</f>
        <v>23</v>
      </c>
      <c r="K175" s="49">
        <v>24</v>
      </c>
      <c r="L175" s="49">
        <v>25</v>
      </c>
      <c r="M175" s="284" t="s">
        <v>28</v>
      </c>
      <c r="N175" s="62"/>
      <c r="O175" s="62"/>
      <c r="P175" s="62"/>
      <c r="Q175" s="62"/>
      <c r="R175" s="62"/>
      <c r="S175" s="62"/>
      <c r="T175" s="62"/>
      <c r="U175" s="62"/>
      <c r="V175" s="62"/>
      <c r="W175" s="62"/>
      <c r="X175" s="62"/>
      <c r="Y175" s="62"/>
      <c r="Z175" s="62"/>
      <c r="AA175" s="62"/>
      <c r="AB175" s="62"/>
      <c r="AC175" s="62"/>
      <c r="AD175" s="62"/>
      <c r="AE175" s="62"/>
      <c r="AF175" s="62"/>
      <c r="AG175" s="62"/>
      <c r="AH175" s="62"/>
      <c r="AI175" s="62"/>
      <c r="AJ175" s="62"/>
      <c r="AK175" s="62"/>
      <c r="AL175" s="62"/>
      <c r="AM175" s="62"/>
      <c r="AN175" s="62"/>
      <c r="AO175" s="62"/>
      <c r="AP175" s="62"/>
      <c r="AQ175" s="62"/>
      <c r="AR175" s="62"/>
      <c r="AS175" s="62"/>
      <c r="AT175" s="62"/>
      <c r="AU175" s="63"/>
      <c r="AV175" s="63"/>
      <c r="AW175" s="62"/>
      <c r="AX175" s="63"/>
      <c r="AY175" s="63"/>
      <c r="AZ175" s="62"/>
      <c r="BA175" s="62"/>
      <c r="BB175" s="63">
        <v>20.9</v>
      </c>
      <c r="BC175" s="63"/>
      <c r="BD175" s="63"/>
      <c r="BE175" s="62"/>
      <c r="BF175" s="63"/>
      <c r="BG175" s="62"/>
      <c r="BH175" s="62"/>
      <c r="BI175" s="63"/>
      <c r="BJ175" s="63">
        <v>21.8</v>
      </c>
      <c r="BK175" s="64"/>
      <c r="BL175" s="62"/>
      <c r="BM175" s="62"/>
      <c r="BN175" s="63"/>
      <c r="BO175" s="62"/>
      <c r="BP175" s="62">
        <v>22.7</v>
      </c>
      <c r="BQ175" s="63"/>
      <c r="BR175" s="62"/>
      <c r="BS175" s="62"/>
      <c r="BT175" s="62"/>
      <c r="BU175" s="62"/>
      <c r="BV175" s="62"/>
      <c r="BW175" s="62"/>
      <c r="BX175" s="62"/>
      <c r="BY175" s="62">
        <v>23</v>
      </c>
      <c r="BZ175" s="62"/>
      <c r="CA175" s="62"/>
      <c r="CB175" s="62"/>
      <c r="CC175" s="51"/>
      <c r="CD175" s="63"/>
      <c r="CE175" s="63"/>
      <c r="CF175" s="64">
        <v>22.5</v>
      </c>
      <c r="CG175" s="63"/>
      <c r="CH175" s="63"/>
      <c r="CI175" s="63"/>
      <c r="CJ175" s="62"/>
      <c r="CK175" s="63">
        <v>23</v>
      </c>
      <c r="CL175" s="63"/>
      <c r="CM175" s="63"/>
      <c r="CN175" s="63"/>
      <c r="CO175" s="63"/>
      <c r="CP175" s="63"/>
      <c r="CQ175" s="63"/>
      <c r="CR175" s="63"/>
      <c r="CS175" s="63"/>
      <c r="CT175" s="63"/>
      <c r="CU175" s="63"/>
      <c r="CV175" s="63"/>
      <c r="CW175" s="63"/>
      <c r="CX175" s="63"/>
      <c r="CY175" s="63"/>
      <c r="CZ175" s="63"/>
      <c r="DA175" s="63"/>
      <c r="DB175" s="63"/>
      <c r="DC175" s="63"/>
      <c r="DD175" s="63"/>
      <c r="DE175" s="63"/>
      <c r="DF175" s="63"/>
      <c r="DG175" s="63"/>
      <c r="DH175" s="63"/>
      <c r="DI175" s="63"/>
      <c r="DJ175" s="63"/>
      <c r="DK175" s="63"/>
      <c r="DL175" s="63"/>
      <c r="DM175" s="63"/>
      <c r="DN175" s="63"/>
      <c r="DO175" s="63"/>
      <c r="DP175" s="63"/>
      <c r="DQ175" s="158"/>
      <c r="DR175" s="158"/>
      <c r="DS175" s="158"/>
      <c r="DT175" s="158"/>
      <c r="DU175" s="158"/>
      <c r="DV175" s="158"/>
      <c r="DW175" s="158"/>
      <c r="DX175" s="158"/>
      <c r="DY175" s="158"/>
      <c r="DZ175" s="59"/>
      <c r="EA175" s="59"/>
      <c r="EB175" s="59"/>
      <c r="EC175" s="59"/>
      <c r="ED175" s="59"/>
      <c r="EE175" s="59"/>
      <c r="EF175" s="59"/>
      <c r="EG175" s="59"/>
    </row>
    <row r="176" spans="1:138" s="5" customFormat="1" ht="15.9" customHeight="1" outlineLevel="1" x14ac:dyDescent="0.3">
      <c r="A176" s="6" t="s">
        <v>22</v>
      </c>
      <c r="B176" s="6" t="s">
        <v>23</v>
      </c>
      <c r="C176" s="50" t="s">
        <v>44</v>
      </c>
      <c r="D176" s="147"/>
      <c r="E176" s="6" t="s">
        <v>350</v>
      </c>
      <c r="F176" s="6" t="s">
        <v>354</v>
      </c>
      <c r="G176" s="11" t="s">
        <v>356</v>
      </c>
      <c r="H176" s="11"/>
      <c r="I176" s="205" t="str" cm="1">
        <f t="array" ref="I176">IFERROR(LOOKUP(2,1/(N176:GR176&lt;&gt;""),N$4:DRA$4),"")</f>
        <v/>
      </c>
      <c r="J176" s="170" t="str" cm="1">
        <f t="array" ref="J176">IFERROR(_xlfn.XLOOKUP(TRUE,N176:EH176&lt;&gt;"",N176:EH176,,,-1)," ")</f>
        <v xml:space="preserve"> </v>
      </c>
      <c r="K176" s="49">
        <v>24</v>
      </c>
      <c r="L176" s="49">
        <v>25</v>
      </c>
      <c r="M176" s="284" t="s">
        <v>28</v>
      </c>
      <c r="N176" s="62"/>
      <c r="O176" s="62"/>
      <c r="P176" s="62"/>
      <c r="Q176" s="62"/>
      <c r="R176" s="62"/>
      <c r="S176" s="62"/>
      <c r="T176" s="62"/>
      <c r="U176" s="62"/>
      <c r="V176" s="62"/>
      <c r="W176" s="62"/>
      <c r="X176" s="62"/>
      <c r="Y176" s="62"/>
      <c r="Z176" s="62"/>
      <c r="AA176" s="62"/>
      <c r="AB176" s="62"/>
      <c r="AC176" s="62"/>
      <c r="AD176" s="62"/>
      <c r="AE176" s="62"/>
      <c r="AF176" s="62"/>
      <c r="AG176" s="62"/>
      <c r="AH176" s="62"/>
      <c r="AI176" s="62"/>
      <c r="AJ176" s="62"/>
      <c r="AK176" s="62"/>
      <c r="AL176" s="62"/>
      <c r="AM176" s="62"/>
      <c r="AN176" s="62"/>
      <c r="AO176" s="62"/>
      <c r="AP176" s="62"/>
      <c r="AQ176" s="62"/>
      <c r="AR176" s="62"/>
      <c r="AS176" s="62"/>
      <c r="AT176" s="62"/>
      <c r="AU176" s="63"/>
      <c r="AV176" s="63"/>
      <c r="AW176" s="62"/>
      <c r="AX176" s="63"/>
      <c r="AY176" s="63"/>
      <c r="AZ176" s="62"/>
      <c r="BA176" s="62"/>
      <c r="BB176" s="63"/>
      <c r="BC176" s="63"/>
      <c r="BD176" s="63"/>
      <c r="BE176" s="63"/>
      <c r="BF176" s="63"/>
      <c r="BG176" s="62"/>
      <c r="BH176" s="62"/>
      <c r="BI176" s="63"/>
      <c r="BJ176" s="63"/>
      <c r="BK176" s="62"/>
      <c r="BL176" s="62"/>
      <c r="BM176" s="62"/>
      <c r="BN176" s="63"/>
      <c r="BO176" s="62"/>
      <c r="BP176" s="64"/>
      <c r="BQ176" s="63"/>
      <c r="BR176" s="62"/>
      <c r="BS176" s="62"/>
      <c r="BT176" s="62"/>
      <c r="BU176" s="62"/>
      <c r="BV176" s="62"/>
      <c r="BW176" s="62"/>
      <c r="BX176" s="62"/>
      <c r="BY176" s="62"/>
      <c r="BZ176" s="62"/>
      <c r="CA176" s="62"/>
      <c r="CB176" s="62"/>
      <c r="CC176" s="51"/>
      <c r="CD176" s="63"/>
      <c r="CE176" s="63"/>
      <c r="CF176" s="62"/>
      <c r="CG176" s="63"/>
      <c r="CH176" s="63"/>
      <c r="CI176" s="63"/>
      <c r="CJ176" s="62"/>
      <c r="CK176" s="63"/>
      <c r="CL176" s="63"/>
      <c r="CM176" s="63"/>
      <c r="CN176" s="63"/>
      <c r="CO176" s="63"/>
      <c r="CP176" s="63"/>
      <c r="CQ176" s="63"/>
      <c r="CR176" s="63"/>
      <c r="CS176" s="63"/>
      <c r="CT176" s="63"/>
      <c r="CU176" s="63"/>
      <c r="CV176" s="63"/>
      <c r="CW176" s="63"/>
      <c r="CX176" s="63"/>
      <c r="CY176" s="63"/>
      <c r="CZ176" s="63"/>
      <c r="DA176" s="63"/>
      <c r="DB176" s="63"/>
      <c r="DC176" s="63"/>
      <c r="DD176" s="63"/>
      <c r="DE176" s="63"/>
      <c r="DF176" s="63"/>
      <c r="DG176" s="63"/>
      <c r="DH176" s="63"/>
      <c r="DI176" s="63"/>
      <c r="DJ176" s="63"/>
      <c r="DK176" s="63"/>
      <c r="DL176" s="63"/>
      <c r="DM176" s="63"/>
      <c r="DN176" s="63"/>
      <c r="DO176" s="63"/>
      <c r="DP176" s="63"/>
      <c r="DQ176" s="158"/>
      <c r="DR176" s="158"/>
      <c r="DS176" s="158"/>
      <c r="DT176" s="158"/>
      <c r="DU176" s="158"/>
      <c r="DV176" s="158"/>
      <c r="DW176" s="158"/>
      <c r="DX176" s="158"/>
      <c r="DY176" s="158"/>
      <c r="DZ176" s="65"/>
      <c r="EA176" s="65"/>
      <c r="EB176" s="65"/>
      <c r="EC176" s="65"/>
      <c r="ED176" s="65"/>
      <c r="EE176" s="65"/>
      <c r="EF176" s="65"/>
      <c r="EG176" s="65"/>
    </row>
    <row r="177" spans="1:137" s="5" customFormat="1" ht="15.9" customHeight="1" outlineLevel="1" x14ac:dyDescent="0.3">
      <c r="A177" s="6" t="s">
        <v>22</v>
      </c>
      <c r="B177" s="6" t="s">
        <v>23</v>
      </c>
      <c r="C177" s="50" t="s">
        <v>44</v>
      </c>
      <c r="D177" s="147"/>
      <c r="E177" s="6" t="s">
        <v>350</v>
      </c>
      <c r="F177" s="6" t="s">
        <v>354</v>
      </c>
      <c r="G177" s="11" t="s">
        <v>357</v>
      </c>
      <c r="H177" s="11"/>
      <c r="I177" s="205" t="str" cm="1">
        <f t="array" ref="I177">IFERROR(LOOKUP(2,1/(N177:GR177&lt;&gt;""),N$4:DRA$4),"")</f>
        <v/>
      </c>
      <c r="J177" s="170" t="str" cm="1">
        <f t="array" ref="J177">IFERROR(_xlfn.XLOOKUP(TRUE,N177:EH177&lt;&gt;"",N177:EH177,,,-1)," ")</f>
        <v xml:space="preserve"> </v>
      </c>
      <c r="K177" s="49">
        <v>24</v>
      </c>
      <c r="L177" s="49">
        <v>25</v>
      </c>
      <c r="M177" s="284" t="s">
        <v>28</v>
      </c>
      <c r="N177" s="62"/>
      <c r="O177" s="62"/>
      <c r="P177" s="62"/>
      <c r="Q177" s="62"/>
      <c r="R177" s="62"/>
      <c r="S177" s="62"/>
      <c r="T177" s="62"/>
      <c r="U177" s="62"/>
      <c r="V177" s="62"/>
      <c r="W177" s="62"/>
      <c r="X177" s="62"/>
      <c r="Y177" s="62"/>
      <c r="Z177" s="62"/>
      <c r="AA177" s="62"/>
      <c r="AB177" s="62"/>
      <c r="AC177" s="62"/>
      <c r="AD177" s="62"/>
      <c r="AE177" s="62"/>
      <c r="AF177" s="62"/>
      <c r="AG177" s="62"/>
      <c r="AH177" s="62"/>
      <c r="AI177" s="62"/>
      <c r="AJ177" s="62"/>
      <c r="AK177" s="62"/>
      <c r="AL177" s="62"/>
      <c r="AM177" s="62"/>
      <c r="AN177" s="62"/>
      <c r="AO177" s="62"/>
      <c r="AP177" s="62"/>
      <c r="AQ177" s="62"/>
      <c r="AR177" s="62"/>
      <c r="AS177" s="62"/>
      <c r="AT177" s="62"/>
      <c r="AU177" s="63"/>
      <c r="AV177" s="63"/>
      <c r="AW177" s="62"/>
      <c r="AX177" s="63"/>
      <c r="AY177" s="63"/>
      <c r="AZ177" s="62"/>
      <c r="BA177" s="62"/>
      <c r="BB177" s="63"/>
      <c r="BC177" s="63"/>
      <c r="BD177" s="63"/>
      <c r="BE177" s="63"/>
      <c r="BF177" s="63"/>
      <c r="BG177" s="62"/>
      <c r="BH177" s="62"/>
      <c r="BI177" s="63"/>
      <c r="BJ177" s="63"/>
      <c r="BK177" s="62"/>
      <c r="BL177" s="62"/>
      <c r="BM177" s="62"/>
      <c r="BN177" s="63"/>
      <c r="BO177" s="62"/>
      <c r="BP177" s="64"/>
      <c r="BQ177" s="63"/>
      <c r="BR177" s="62"/>
      <c r="BS177" s="62"/>
      <c r="BT177" s="62"/>
      <c r="BU177" s="62"/>
      <c r="BV177" s="62"/>
      <c r="BW177" s="62"/>
      <c r="BX177" s="62"/>
      <c r="BY177" s="62"/>
      <c r="BZ177" s="62"/>
      <c r="CA177" s="62"/>
      <c r="CB177" s="62"/>
      <c r="CC177" s="51"/>
      <c r="CD177" s="63"/>
      <c r="CE177" s="63"/>
      <c r="CF177" s="62"/>
      <c r="CG177" s="63"/>
      <c r="CH177" s="63"/>
      <c r="CI177" s="63"/>
      <c r="CJ177" s="62"/>
      <c r="CK177" s="63"/>
      <c r="CL177" s="63"/>
      <c r="CM177" s="63"/>
      <c r="CN177" s="63"/>
      <c r="CO177" s="63"/>
      <c r="CP177" s="63"/>
      <c r="CQ177" s="63"/>
      <c r="CR177" s="63"/>
      <c r="CS177" s="63"/>
      <c r="CT177" s="63"/>
      <c r="CU177" s="63"/>
      <c r="CV177" s="63"/>
      <c r="CW177" s="63"/>
      <c r="CX177" s="63"/>
      <c r="CY177" s="63"/>
      <c r="CZ177" s="63"/>
      <c r="DA177" s="63"/>
      <c r="DB177" s="63"/>
      <c r="DC177" s="63"/>
      <c r="DD177" s="63"/>
      <c r="DE177" s="63"/>
      <c r="DF177" s="63"/>
      <c r="DG177" s="63"/>
      <c r="DH177" s="63"/>
      <c r="DI177" s="63"/>
      <c r="DJ177" s="63"/>
      <c r="DK177" s="63"/>
      <c r="DL177" s="63"/>
      <c r="DM177" s="63"/>
      <c r="DN177" s="63"/>
      <c r="DO177" s="63"/>
      <c r="DP177" s="63"/>
      <c r="DQ177" s="158"/>
      <c r="DR177" s="158"/>
      <c r="DS177" s="158"/>
      <c r="DT177" s="158"/>
      <c r="DU177" s="158"/>
      <c r="DV177" s="158"/>
      <c r="DW177" s="158"/>
      <c r="DX177" s="158"/>
      <c r="DY177" s="158"/>
      <c r="DZ177" s="65"/>
      <c r="EA177" s="65"/>
      <c r="EB177" s="65"/>
      <c r="EC177" s="65"/>
      <c r="ED177" s="65"/>
      <c r="EE177" s="65"/>
      <c r="EF177" s="65"/>
      <c r="EG177" s="65"/>
    </row>
    <row r="178" spans="1:137" s="10" customFormat="1" ht="15.9" customHeight="1" outlineLevel="1" x14ac:dyDescent="0.3">
      <c r="A178" s="7"/>
      <c r="B178" s="7" t="s">
        <v>23</v>
      </c>
      <c r="C178" s="8" t="s">
        <v>24</v>
      </c>
      <c r="D178" s="146">
        <v>36.25</v>
      </c>
      <c r="E178" s="7" t="s">
        <v>350</v>
      </c>
      <c r="F178" s="7" t="s">
        <v>358</v>
      </c>
      <c r="G178" s="9" t="s">
        <v>359</v>
      </c>
      <c r="H178" s="9"/>
      <c r="I178" s="204" t="str" cm="1">
        <f t="array" ref="I178">IFERROR(LOOKUP(2,1/(N178:GR178&lt;&gt;""),N$4:DRA$4),"")</f>
        <v/>
      </c>
      <c r="J178" s="169" t="str" cm="1">
        <f t="array" ref="J178">IFERROR(_xlfn.XLOOKUP(TRUE,N178:EH178&lt;&gt;"",N178:EH178,,,-1)," ")</f>
        <v xml:space="preserve"> </v>
      </c>
      <c r="K178" s="45">
        <v>24.5</v>
      </c>
      <c r="L178" s="45"/>
      <c r="M178" s="282" t="s">
        <v>238</v>
      </c>
      <c r="N178" s="57"/>
      <c r="O178" s="57"/>
      <c r="P178" s="57"/>
      <c r="Q178" s="57"/>
      <c r="R178" s="57"/>
      <c r="S178" s="57"/>
      <c r="T178" s="57"/>
      <c r="U178" s="57"/>
      <c r="V178" s="57"/>
      <c r="W178" s="57"/>
      <c r="X178" s="57"/>
      <c r="Y178" s="57"/>
      <c r="Z178" s="57"/>
      <c r="AA178" s="57"/>
      <c r="AB178" s="57"/>
      <c r="AC178" s="57"/>
      <c r="AD178" s="57"/>
      <c r="AE178" s="57"/>
      <c r="AF178" s="57"/>
      <c r="AG178" s="57"/>
      <c r="AH178" s="57"/>
      <c r="AI178" s="57"/>
      <c r="AJ178" s="57"/>
      <c r="AK178" s="57"/>
      <c r="AL178" s="57"/>
      <c r="AM178" s="57"/>
      <c r="AN178" s="57"/>
      <c r="AO178" s="57"/>
      <c r="AP178" s="57"/>
      <c r="AQ178" s="57"/>
      <c r="AR178" s="57"/>
      <c r="AS178" s="57"/>
      <c r="AT178" s="57"/>
      <c r="AU178" s="61"/>
      <c r="AV178" s="61"/>
      <c r="AW178" s="57"/>
      <c r="AX178" s="61"/>
      <c r="AY178" s="61"/>
      <c r="AZ178" s="57"/>
      <c r="BA178" s="57"/>
      <c r="BB178" s="61"/>
      <c r="BC178" s="61"/>
      <c r="BD178" s="61"/>
      <c r="BE178" s="61"/>
      <c r="BF178" s="61"/>
      <c r="BG178" s="57"/>
      <c r="BH178" s="57"/>
      <c r="BI178" s="61"/>
      <c r="BJ178" s="61"/>
      <c r="BK178" s="57"/>
      <c r="BL178" s="57"/>
      <c r="BM178" s="57"/>
      <c r="BN178" s="61"/>
      <c r="BO178" s="57"/>
      <c r="BP178" s="58"/>
      <c r="BQ178" s="61"/>
      <c r="BR178" s="57"/>
      <c r="BS178" s="57"/>
      <c r="BT178" s="57"/>
      <c r="BU178" s="57"/>
      <c r="BV178" s="57"/>
      <c r="BW178" s="57"/>
      <c r="BX178" s="57"/>
      <c r="BY178" s="57"/>
      <c r="BZ178" s="57"/>
      <c r="CA178" s="57"/>
      <c r="CB178" s="57"/>
      <c r="CC178" s="27"/>
      <c r="CD178" s="61"/>
      <c r="CE178" s="61"/>
      <c r="CF178" s="57"/>
      <c r="CG178" s="57"/>
      <c r="CH178" s="61"/>
      <c r="CI178" s="57"/>
      <c r="CJ178" s="57"/>
      <c r="CK178" s="61"/>
      <c r="CL178" s="61"/>
      <c r="CM178" s="57"/>
      <c r="CN178" s="61"/>
      <c r="CO178" s="61"/>
      <c r="CP178" s="61"/>
      <c r="CQ178" s="61"/>
      <c r="CR178" s="61"/>
      <c r="CS178" s="61"/>
      <c r="CT178" s="61"/>
      <c r="CU178" s="61"/>
      <c r="CV178" s="61"/>
      <c r="CW178" s="61"/>
      <c r="CX178" s="61"/>
      <c r="CY178" s="61"/>
      <c r="CZ178" s="61"/>
      <c r="DA178" s="61"/>
      <c r="DB178" s="61"/>
      <c r="DC178" s="61"/>
      <c r="DD178" s="61"/>
      <c r="DE178" s="61"/>
      <c r="DF178" s="61"/>
      <c r="DG178" s="61"/>
      <c r="DH178" s="61"/>
      <c r="DI178" s="61"/>
      <c r="DJ178" s="61"/>
      <c r="DK178" s="61"/>
      <c r="DL178" s="61"/>
      <c r="DM178" s="61"/>
      <c r="DN178" s="61"/>
      <c r="DO178" s="61"/>
      <c r="DP178" s="61"/>
      <c r="DQ178" s="156"/>
      <c r="DR178" s="156"/>
      <c r="DS178" s="156"/>
      <c r="DT178" s="156"/>
      <c r="DU178" s="156"/>
      <c r="DV178" s="156"/>
      <c r="DW178" s="156"/>
      <c r="DX178" s="156"/>
      <c r="DY178" s="156"/>
      <c r="DZ178" s="59"/>
      <c r="EA178" s="59"/>
      <c r="EB178" s="59"/>
      <c r="EC178" s="59"/>
      <c r="ED178" s="59"/>
      <c r="EE178" s="59"/>
      <c r="EF178" s="59"/>
      <c r="EG178" s="59"/>
    </row>
    <row r="179" spans="1:137" s="10" customFormat="1" ht="15.9" customHeight="1" outlineLevel="1" x14ac:dyDescent="0.3">
      <c r="A179" s="7"/>
      <c r="B179" s="7" t="s">
        <v>23</v>
      </c>
      <c r="C179" s="8" t="s">
        <v>24</v>
      </c>
      <c r="D179" s="146"/>
      <c r="E179" s="7" t="s">
        <v>350</v>
      </c>
      <c r="F179" s="7" t="s">
        <v>358</v>
      </c>
      <c r="G179" s="9" t="s">
        <v>360</v>
      </c>
      <c r="H179" s="9"/>
      <c r="I179" s="204" cm="1">
        <f t="array" ref="I179">IFERROR(LOOKUP(2,1/(N179:GR179&lt;&gt;""),N$4:DRA$4),"")</f>
        <v>45226</v>
      </c>
      <c r="J179" s="169" cm="1">
        <f t="array" ref="J179">IFERROR(_xlfn.XLOOKUP(TRUE,N179:EH179&lt;&gt;"",N179:EH179,,,-1)," ")</f>
        <v>23.4</v>
      </c>
      <c r="K179" s="45">
        <v>24.5</v>
      </c>
      <c r="L179" s="45"/>
      <c r="M179" s="282" t="s">
        <v>238</v>
      </c>
      <c r="N179" s="57"/>
      <c r="O179" s="57"/>
      <c r="P179" s="57"/>
      <c r="Q179" s="57"/>
      <c r="R179" s="57"/>
      <c r="S179" s="57"/>
      <c r="T179" s="57"/>
      <c r="U179" s="57"/>
      <c r="V179" s="57"/>
      <c r="W179" s="57"/>
      <c r="X179" s="57"/>
      <c r="Y179" s="57"/>
      <c r="Z179" s="57"/>
      <c r="AA179" s="57"/>
      <c r="AB179" s="57"/>
      <c r="AC179" s="57"/>
      <c r="AD179" s="57"/>
      <c r="AE179" s="57"/>
      <c r="AF179" s="57"/>
      <c r="AG179" s="57"/>
      <c r="AH179" s="57"/>
      <c r="AI179" s="57"/>
      <c r="AJ179" s="57"/>
      <c r="AK179" s="57"/>
      <c r="AL179" s="57"/>
      <c r="AM179" s="57"/>
      <c r="AN179" s="57"/>
      <c r="AO179" s="57"/>
      <c r="AP179" s="57"/>
      <c r="AQ179" s="57"/>
      <c r="AR179" s="57"/>
      <c r="AS179" s="57"/>
      <c r="AT179" s="57"/>
      <c r="AU179" s="61"/>
      <c r="AV179" s="61"/>
      <c r="AW179" s="57"/>
      <c r="AX179" s="61"/>
      <c r="AY179" s="61"/>
      <c r="AZ179" s="57"/>
      <c r="BA179" s="57"/>
      <c r="BB179" s="61"/>
      <c r="BC179" s="61"/>
      <c r="BD179" s="61"/>
      <c r="BE179" s="61"/>
      <c r="BF179" s="61"/>
      <c r="BG179" s="57"/>
      <c r="BH179" s="57"/>
      <c r="BI179" s="61"/>
      <c r="BJ179" s="61">
        <v>21.5</v>
      </c>
      <c r="BK179" s="57"/>
      <c r="BL179" s="57"/>
      <c r="BM179" s="57"/>
      <c r="BN179" s="61"/>
      <c r="BO179" s="57"/>
      <c r="BP179" s="58"/>
      <c r="BQ179" s="61"/>
      <c r="BR179" s="57"/>
      <c r="BS179" s="57"/>
      <c r="BT179" s="57"/>
      <c r="BU179" s="57">
        <v>22.2</v>
      </c>
      <c r="BV179" s="57"/>
      <c r="BW179" s="57"/>
      <c r="BX179" s="57"/>
      <c r="BY179" s="57"/>
      <c r="BZ179" s="57"/>
      <c r="CA179" s="57"/>
      <c r="CB179" s="57"/>
      <c r="CC179" s="27"/>
      <c r="CD179" s="61"/>
      <c r="CE179" s="61"/>
      <c r="CF179" s="57"/>
      <c r="CG179" s="57"/>
      <c r="CH179" s="61"/>
      <c r="CI179" s="57"/>
      <c r="CJ179" s="57"/>
      <c r="CK179" s="61"/>
      <c r="CL179" s="61"/>
      <c r="CM179" s="57"/>
      <c r="CN179" s="61"/>
      <c r="CO179" s="61"/>
      <c r="CP179" s="61" t="s">
        <v>361</v>
      </c>
      <c r="CQ179" s="61"/>
      <c r="CR179" s="61"/>
      <c r="CS179" s="61"/>
      <c r="CT179" s="61"/>
      <c r="CU179" s="61"/>
      <c r="CV179" s="61"/>
      <c r="CW179" s="61">
        <v>23.4</v>
      </c>
      <c r="CX179" s="61"/>
      <c r="CY179" s="61"/>
      <c r="CZ179" s="61"/>
      <c r="DA179" s="61">
        <v>23.4</v>
      </c>
      <c r="DB179" s="61"/>
      <c r="DC179" s="61"/>
      <c r="DD179" s="61"/>
      <c r="DE179" s="61"/>
      <c r="DF179" s="61"/>
      <c r="DG179" s="61"/>
      <c r="DH179" s="61"/>
      <c r="DI179" s="61"/>
      <c r="DJ179" s="61"/>
      <c r="DK179" s="61"/>
      <c r="DL179" s="61"/>
      <c r="DM179" s="61"/>
      <c r="DN179" s="61"/>
      <c r="DO179" s="61"/>
      <c r="DP179" s="61"/>
      <c r="DQ179" s="156"/>
      <c r="DR179" s="156"/>
      <c r="DS179" s="156"/>
      <c r="DT179" s="156"/>
      <c r="DU179" s="156"/>
      <c r="DV179" s="156"/>
      <c r="DW179" s="156"/>
      <c r="DX179" s="156"/>
      <c r="DY179" s="156"/>
      <c r="DZ179" s="59"/>
      <c r="EA179" s="59"/>
      <c r="EB179" s="59"/>
      <c r="EC179" s="59"/>
      <c r="ED179" s="59"/>
      <c r="EE179" s="59"/>
      <c r="EF179" s="59"/>
      <c r="EG179" s="59"/>
    </row>
    <row r="180" spans="1:137" s="10" customFormat="1" ht="15.9" customHeight="1" outlineLevel="1" x14ac:dyDescent="0.3">
      <c r="A180" s="7"/>
      <c r="B180" s="7" t="s">
        <v>23</v>
      </c>
      <c r="C180" s="8" t="s">
        <v>24</v>
      </c>
      <c r="D180" s="146"/>
      <c r="E180" s="7" t="s">
        <v>350</v>
      </c>
      <c r="F180" s="7" t="s">
        <v>358</v>
      </c>
      <c r="G180" s="9" t="s">
        <v>362</v>
      </c>
      <c r="H180" s="9"/>
      <c r="I180" s="204" cm="1">
        <f t="array" ref="I180">IFERROR(LOOKUP(2,1/(N180:GR180&lt;&gt;""),N$4:DRA$4),"")</f>
        <v>45226</v>
      </c>
      <c r="J180" s="169" cm="1">
        <f t="array" ref="J180">IFERROR(_xlfn.XLOOKUP(TRUE,N180:EH180&lt;&gt;"",N180:EH180,,,-1)," ")</f>
        <v>23.8</v>
      </c>
      <c r="K180" s="45">
        <v>24.5</v>
      </c>
      <c r="L180" s="45"/>
      <c r="M180" s="282" t="s">
        <v>238</v>
      </c>
      <c r="N180" s="57"/>
      <c r="O180" s="57"/>
      <c r="P180" s="57"/>
      <c r="Q180" s="57"/>
      <c r="R180" s="57"/>
      <c r="S180" s="57"/>
      <c r="T180" s="57"/>
      <c r="U180" s="57"/>
      <c r="V180" s="57"/>
      <c r="W180" s="57"/>
      <c r="X180" s="57"/>
      <c r="Y180" s="57"/>
      <c r="Z180" s="57"/>
      <c r="AA180" s="57"/>
      <c r="AB180" s="57"/>
      <c r="AC180" s="57"/>
      <c r="AD180" s="57"/>
      <c r="AE180" s="57"/>
      <c r="AF180" s="57"/>
      <c r="AG180" s="57"/>
      <c r="AH180" s="57"/>
      <c r="AI180" s="57"/>
      <c r="AJ180" s="57"/>
      <c r="AK180" s="57"/>
      <c r="AL180" s="57"/>
      <c r="AM180" s="57"/>
      <c r="AN180" s="57"/>
      <c r="AO180" s="57"/>
      <c r="AP180" s="57"/>
      <c r="AQ180" s="57"/>
      <c r="AR180" s="57"/>
      <c r="AS180" s="57"/>
      <c r="AT180" s="57"/>
      <c r="AU180" s="61"/>
      <c r="AV180" s="61"/>
      <c r="AW180" s="57"/>
      <c r="AX180" s="61"/>
      <c r="AY180" s="61"/>
      <c r="AZ180" s="57"/>
      <c r="BA180" s="57"/>
      <c r="BB180" s="61"/>
      <c r="BC180" s="61"/>
      <c r="BD180" s="61"/>
      <c r="BE180" s="61"/>
      <c r="BF180" s="61"/>
      <c r="BG180" s="57"/>
      <c r="BH180" s="57"/>
      <c r="BI180" s="61"/>
      <c r="BJ180" s="61">
        <v>21.1</v>
      </c>
      <c r="BK180" s="57"/>
      <c r="BL180" s="57"/>
      <c r="BM180" s="57"/>
      <c r="BN180" s="61"/>
      <c r="BO180" s="57"/>
      <c r="BP180" s="58"/>
      <c r="BQ180" s="61"/>
      <c r="BR180" s="57"/>
      <c r="BS180" s="57"/>
      <c r="BT180" s="57"/>
      <c r="BU180" s="57">
        <v>21.8</v>
      </c>
      <c r="BV180" s="57"/>
      <c r="BW180" s="57"/>
      <c r="BX180" s="57">
        <v>22.2</v>
      </c>
      <c r="BY180" s="57"/>
      <c r="BZ180" s="57"/>
      <c r="CA180" s="57"/>
      <c r="CB180" s="57"/>
      <c r="CC180" s="27"/>
      <c r="CD180" s="61"/>
      <c r="CE180" s="61"/>
      <c r="CF180" s="57"/>
      <c r="CG180" s="57"/>
      <c r="CH180" s="61"/>
      <c r="CI180" s="57">
        <v>23.3</v>
      </c>
      <c r="CJ180" s="57"/>
      <c r="CK180" s="61"/>
      <c r="CL180" s="61"/>
      <c r="CM180" s="57"/>
      <c r="CN180" s="61"/>
      <c r="CO180" s="61"/>
      <c r="CP180" s="61">
        <v>23.1</v>
      </c>
      <c r="CQ180" s="61"/>
      <c r="CR180" s="61"/>
      <c r="CS180" s="61"/>
      <c r="CT180" s="61"/>
      <c r="CU180" s="61"/>
      <c r="CV180" s="61"/>
      <c r="CW180" s="61">
        <v>23.3</v>
      </c>
      <c r="CX180" s="61"/>
      <c r="CY180" s="61"/>
      <c r="CZ180" s="61"/>
      <c r="DA180" s="61">
        <v>23.8</v>
      </c>
      <c r="DB180" s="61"/>
      <c r="DC180" s="61"/>
      <c r="DD180" s="61"/>
      <c r="DE180" s="61"/>
      <c r="DF180" s="61"/>
      <c r="DG180" s="61"/>
      <c r="DH180" s="61"/>
      <c r="DI180" s="61"/>
      <c r="DJ180" s="61"/>
      <c r="DK180" s="61"/>
      <c r="DL180" s="61"/>
      <c r="DM180" s="61"/>
      <c r="DN180" s="61"/>
      <c r="DO180" s="61"/>
      <c r="DP180" s="61"/>
      <c r="DQ180" s="156"/>
      <c r="DR180" s="156"/>
      <c r="DS180" s="156"/>
      <c r="DT180" s="156"/>
      <c r="DU180" s="156"/>
      <c r="DV180" s="156"/>
      <c r="DW180" s="156"/>
      <c r="DX180" s="156"/>
      <c r="DY180" s="156"/>
      <c r="DZ180" s="59"/>
      <c r="EA180" s="59"/>
      <c r="EB180" s="59"/>
      <c r="EC180" s="59"/>
      <c r="ED180" s="59"/>
      <c r="EE180" s="59"/>
      <c r="EF180" s="59"/>
      <c r="EG180" s="59"/>
    </row>
    <row r="181" spans="1:137" s="5" customFormat="1" ht="15.9" customHeight="1" outlineLevel="1" x14ac:dyDescent="0.3">
      <c r="A181" s="6"/>
      <c r="B181" s="6" t="s">
        <v>23</v>
      </c>
      <c r="C181" s="50" t="s">
        <v>24</v>
      </c>
      <c r="D181" s="147">
        <f>15.1+15.31</f>
        <v>30.41</v>
      </c>
      <c r="E181" s="6" t="s">
        <v>350</v>
      </c>
      <c r="F181" s="6" t="s">
        <v>363</v>
      </c>
      <c r="G181" s="11" t="s">
        <v>364</v>
      </c>
      <c r="H181" s="11"/>
      <c r="I181" s="205" t="str" cm="1">
        <f t="array" ref="I181">IFERROR(LOOKUP(2,1/(N181:GR181&lt;&gt;""),N$4:DRA$4),"")</f>
        <v/>
      </c>
      <c r="J181" s="170" t="str" cm="1">
        <f t="array" ref="J181">IFERROR(_xlfn.XLOOKUP(TRUE,N181:EH181&lt;&gt;"",N181:EH181,,,-1)," ")</f>
        <v xml:space="preserve"> </v>
      </c>
      <c r="K181" s="49">
        <v>25</v>
      </c>
      <c r="L181" s="49"/>
      <c r="M181" s="284" t="s">
        <v>34</v>
      </c>
      <c r="N181" s="62"/>
      <c r="O181" s="62"/>
      <c r="P181" s="62"/>
      <c r="Q181" s="62"/>
      <c r="R181" s="62"/>
      <c r="S181" s="62"/>
      <c r="T181" s="62"/>
      <c r="U181" s="62"/>
      <c r="V181" s="62"/>
      <c r="W181" s="62"/>
      <c r="X181" s="62"/>
      <c r="Y181" s="62"/>
      <c r="Z181" s="62"/>
      <c r="AA181" s="62"/>
      <c r="AB181" s="62"/>
      <c r="AC181" s="62"/>
      <c r="AD181" s="62"/>
      <c r="AE181" s="62"/>
      <c r="AF181" s="62"/>
      <c r="AG181" s="62"/>
      <c r="AH181" s="62"/>
      <c r="AI181" s="62"/>
      <c r="AJ181" s="62"/>
      <c r="AK181" s="62"/>
      <c r="AL181" s="62"/>
      <c r="AM181" s="62"/>
      <c r="AN181" s="62"/>
      <c r="AO181" s="62"/>
      <c r="AP181" s="62"/>
      <c r="AQ181" s="62"/>
      <c r="AR181" s="62"/>
      <c r="AS181" s="62"/>
      <c r="AT181" s="62"/>
      <c r="AU181" s="63"/>
      <c r="AV181" s="63"/>
      <c r="AW181" s="62"/>
      <c r="AX181" s="63"/>
      <c r="AY181" s="63"/>
      <c r="AZ181" s="62"/>
      <c r="BA181" s="62"/>
      <c r="BB181" s="63"/>
      <c r="BC181" s="63"/>
      <c r="BD181" s="63"/>
      <c r="BE181" s="63"/>
      <c r="BF181" s="63"/>
      <c r="BG181" s="62"/>
      <c r="BH181" s="62"/>
      <c r="BI181" s="63"/>
      <c r="BJ181" s="63"/>
      <c r="BK181" s="62"/>
      <c r="BL181" s="62"/>
      <c r="BM181" s="62"/>
      <c r="BN181" s="63"/>
      <c r="BO181" s="62"/>
      <c r="BP181" s="64"/>
      <c r="BQ181" s="63"/>
      <c r="BR181" s="62"/>
      <c r="BS181" s="62"/>
      <c r="BT181" s="62"/>
      <c r="BU181" s="62"/>
      <c r="BV181" s="62"/>
      <c r="BW181" s="62"/>
      <c r="BX181" s="62"/>
      <c r="BY181" s="62"/>
      <c r="BZ181" s="62"/>
      <c r="CA181" s="62"/>
      <c r="CB181" s="62"/>
      <c r="CC181" s="51"/>
      <c r="CD181" s="63"/>
      <c r="CE181" s="63"/>
      <c r="CF181" s="62"/>
      <c r="CG181" s="62"/>
      <c r="CH181" s="63"/>
      <c r="CI181" s="62"/>
      <c r="CJ181" s="62"/>
      <c r="CK181" s="63"/>
      <c r="CL181" s="63"/>
      <c r="CM181" s="62"/>
      <c r="CN181" s="62"/>
      <c r="CO181" s="62"/>
      <c r="CP181" s="62"/>
      <c r="CQ181" s="62"/>
      <c r="CR181" s="63"/>
      <c r="CS181" s="63"/>
      <c r="CT181" s="62"/>
      <c r="CU181" s="62"/>
      <c r="CV181" s="63"/>
      <c r="CW181" s="63"/>
      <c r="CX181" s="63"/>
      <c r="CY181" s="63"/>
      <c r="CZ181" s="63"/>
      <c r="DA181" s="63"/>
      <c r="DB181" s="63"/>
      <c r="DC181" s="63"/>
      <c r="DD181" s="63"/>
      <c r="DE181" s="63"/>
      <c r="DF181" s="63"/>
      <c r="DG181" s="63"/>
      <c r="DH181" s="63"/>
      <c r="DI181" s="63"/>
      <c r="DJ181" s="63"/>
      <c r="DK181" s="63"/>
      <c r="DL181" s="63"/>
      <c r="DM181" s="63"/>
      <c r="DN181" s="63"/>
      <c r="DO181" s="63"/>
      <c r="DP181" s="63"/>
      <c r="DQ181" s="158"/>
      <c r="DR181" s="158"/>
      <c r="DS181" s="158"/>
      <c r="DT181" s="158"/>
      <c r="DU181" s="158"/>
      <c r="DV181" s="158"/>
      <c r="DW181" s="158"/>
      <c r="DX181" s="158"/>
      <c r="DY181" s="158"/>
      <c r="DZ181" s="59"/>
      <c r="EA181" s="59"/>
      <c r="EB181" s="59"/>
      <c r="EC181" s="59"/>
      <c r="ED181" s="59"/>
      <c r="EE181" s="59"/>
      <c r="EF181" s="59"/>
      <c r="EG181" s="59"/>
    </row>
    <row r="182" spans="1:137" s="5" customFormat="1" ht="15.9" customHeight="1" outlineLevel="1" x14ac:dyDescent="0.3">
      <c r="A182" s="6"/>
      <c r="B182" s="6" t="s">
        <v>23</v>
      </c>
      <c r="C182" s="50" t="s">
        <v>24</v>
      </c>
      <c r="D182" s="147"/>
      <c r="E182" s="6" t="s">
        <v>350</v>
      </c>
      <c r="F182" s="6" t="s">
        <v>363</v>
      </c>
      <c r="G182" s="11" t="s">
        <v>365</v>
      </c>
      <c r="H182" s="11"/>
      <c r="I182" s="205" cm="1">
        <f t="array" ref="I182">IFERROR(LOOKUP(2,1/(N182:GR182&lt;&gt;""),N$4:DRA$4),"")</f>
        <v>45226</v>
      </c>
      <c r="J182" s="170" cm="1">
        <f t="array" ref="J182">IFERROR(_xlfn.XLOOKUP(TRUE,N182:EH182&lt;&gt;"",N182:EH182,,,-1)," ")</f>
        <v>23.4</v>
      </c>
      <c r="K182" s="49">
        <v>25</v>
      </c>
      <c r="L182" s="49"/>
      <c r="M182" s="284" t="s">
        <v>34</v>
      </c>
      <c r="N182" s="62"/>
      <c r="O182" s="62"/>
      <c r="P182" s="62"/>
      <c r="Q182" s="62"/>
      <c r="R182" s="62"/>
      <c r="S182" s="62"/>
      <c r="T182" s="62"/>
      <c r="U182" s="62"/>
      <c r="V182" s="62"/>
      <c r="W182" s="62"/>
      <c r="X182" s="62"/>
      <c r="Y182" s="62"/>
      <c r="Z182" s="62"/>
      <c r="AA182" s="62"/>
      <c r="AB182" s="62"/>
      <c r="AC182" s="62"/>
      <c r="AD182" s="62"/>
      <c r="AE182" s="62"/>
      <c r="AF182" s="62"/>
      <c r="AG182" s="62"/>
      <c r="AH182" s="62"/>
      <c r="AI182" s="62"/>
      <c r="AJ182" s="62"/>
      <c r="AK182" s="62"/>
      <c r="AL182" s="62"/>
      <c r="AM182" s="62"/>
      <c r="AN182" s="62"/>
      <c r="AO182" s="62"/>
      <c r="AP182" s="62"/>
      <c r="AQ182" s="62"/>
      <c r="AR182" s="62"/>
      <c r="AS182" s="62"/>
      <c r="AT182" s="62"/>
      <c r="AU182" s="63"/>
      <c r="AV182" s="63"/>
      <c r="AW182" s="62"/>
      <c r="AX182" s="63"/>
      <c r="AY182" s="63"/>
      <c r="AZ182" s="62"/>
      <c r="BA182" s="62"/>
      <c r="BB182" s="63"/>
      <c r="BC182" s="63"/>
      <c r="BD182" s="63"/>
      <c r="BE182" s="63"/>
      <c r="BF182" s="63"/>
      <c r="BG182" s="62"/>
      <c r="BH182" s="62"/>
      <c r="BI182" s="63"/>
      <c r="BJ182" s="63">
        <v>20.399999999999999</v>
      </c>
      <c r="BK182" s="62"/>
      <c r="BL182" s="62"/>
      <c r="BM182" s="62"/>
      <c r="BN182" s="63"/>
      <c r="BO182" s="62"/>
      <c r="BP182" s="64"/>
      <c r="BQ182" s="63"/>
      <c r="BR182" s="62"/>
      <c r="BS182" s="62"/>
      <c r="BT182" s="62"/>
      <c r="BU182" s="62">
        <v>21.8</v>
      </c>
      <c r="BV182" s="62"/>
      <c r="BW182" s="62"/>
      <c r="BX182" s="62"/>
      <c r="BY182" s="62"/>
      <c r="BZ182" s="62"/>
      <c r="CA182" s="62"/>
      <c r="CB182" s="62"/>
      <c r="CC182" s="51"/>
      <c r="CD182" s="63"/>
      <c r="CE182" s="63">
        <v>22.2</v>
      </c>
      <c r="CF182" s="62"/>
      <c r="CG182" s="62"/>
      <c r="CH182" s="63"/>
      <c r="CI182" s="62"/>
      <c r="CJ182" s="62"/>
      <c r="CK182" s="63"/>
      <c r="CL182" s="63">
        <v>23.4</v>
      </c>
      <c r="CM182" s="62"/>
      <c r="CN182" s="62"/>
      <c r="CO182" s="62"/>
      <c r="CP182" s="62"/>
      <c r="CQ182" s="62"/>
      <c r="CR182" s="63">
        <v>23.8</v>
      </c>
      <c r="CS182" s="63"/>
      <c r="CT182" s="62"/>
      <c r="CU182" s="62"/>
      <c r="CV182" s="63"/>
      <c r="CW182" s="63"/>
      <c r="CX182" s="63">
        <v>23.6</v>
      </c>
      <c r="CY182" s="63"/>
      <c r="CZ182" s="63"/>
      <c r="DA182" s="63">
        <v>23.4</v>
      </c>
      <c r="DB182" s="63"/>
      <c r="DC182" s="63"/>
      <c r="DD182" s="63"/>
      <c r="DE182" s="63"/>
      <c r="DF182" s="63"/>
      <c r="DG182" s="63"/>
      <c r="DH182" s="63"/>
      <c r="DI182" s="63"/>
      <c r="DJ182" s="63"/>
      <c r="DK182" s="63"/>
      <c r="DL182" s="63"/>
      <c r="DM182" s="63"/>
      <c r="DN182" s="63"/>
      <c r="DO182" s="63"/>
      <c r="DP182" s="63"/>
      <c r="DQ182" s="158"/>
      <c r="DR182" s="158"/>
      <c r="DS182" s="158"/>
      <c r="DT182" s="158"/>
      <c r="DU182" s="158"/>
      <c r="DV182" s="158"/>
      <c r="DW182" s="158"/>
      <c r="DX182" s="158"/>
      <c r="DY182" s="158"/>
      <c r="DZ182" s="65"/>
      <c r="EA182" s="65"/>
      <c r="EB182" s="65"/>
      <c r="EC182" s="65"/>
      <c r="ED182" s="65"/>
      <c r="EE182" s="65"/>
      <c r="EF182" s="65"/>
      <c r="EG182" s="65"/>
    </row>
    <row r="183" spans="1:137" s="5" customFormat="1" ht="15.9" customHeight="1" outlineLevel="1" x14ac:dyDescent="0.3">
      <c r="A183" s="6"/>
      <c r="B183" s="6" t="s">
        <v>23</v>
      </c>
      <c r="C183" s="50" t="s">
        <v>24</v>
      </c>
      <c r="D183" s="147"/>
      <c r="E183" s="6" t="s">
        <v>350</v>
      </c>
      <c r="F183" s="6" t="s">
        <v>363</v>
      </c>
      <c r="G183" s="11" t="s">
        <v>366</v>
      </c>
      <c r="H183" s="11"/>
      <c r="I183" s="205" cm="1">
        <f t="array" ref="I183">IFERROR(LOOKUP(2,1/(N183:GR183&lt;&gt;""),N$4:DRA$4),"")</f>
        <v>45226</v>
      </c>
      <c r="J183" s="170" cm="1">
        <f t="array" ref="J183">IFERROR(_xlfn.XLOOKUP(TRUE,N183:EH183&lt;&gt;"",N183:EH183,,,-1)," ")</f>
        <v>24</v>
      </c>
      <c r="K183" s="49">
        <v>25</v>
      </c>
      <c r="L183" s="49"/>
      <c r="M183" s="284" t="s">
        <v>34</v>
      </c>
      <c r="N183" s="62"/>
      <c r="O183" s="62"/>
      <c r="P183" s="62"/>
      <c r="Q183" s="62"/>
      <c r="R183" s="62"/>
      <c r="S183" s="62"/>
      <c r="T183" s="62"/>
      <c r="U183" s="62"/>
      <c r="V183" s="62"/>
      <c r="W183" s="62"/>
      <c r="X183" s="62"/>
      <c r="Y183" s="62"/>
      <c r="Z183" s="62"/>
      <c r="AA183" s="62"/>
      <c r="AB183" s="62"/>
      <c r="AC183" s="62"/>
      <c r="AD183" s="62"/>
      <c r="AE183" s="62"/>
      <c r="AF183" s="62"/>
      <c r="AG183" s="62"/>
      <c r="AH183" s="62"/>
      <c r="AI183" s="62"/>
      <c r="AJ183" s="62"/>
      <c r="AK183" s="62"/>
      <c r="AL183" s="62"/>
      <c r="AM183" s="62"/>
      <c r="AN183" s="62"/>
      <c r="AO183" s="62"/>
      <c r="AP183" s="62"/>
      <c r="AQ183" s="62"/>
      <c r="AR183" s="62"/>
      <c r="AS183" s="62"/>
      <c r="AT183" s="62"/>
      <c r="AU183" s="63"/>
      <c r="AV183" s="63"/>
      <c r="AW183" s="62"/>
      <c r="AX183" s="63"/>
      <c r="AY183" s="63"/>
      <c r="AZ183" s="62"/>
      <c r="BA183" s="62"/>
      <c r="BB183" s="63"/>
      <c r="BC183" s="63"/>
      <c r="BD183" s="63"/>
      <c r="BE183" s="63"/>
      <c r="BF183" s="63"/>
      <c r="BG183" s="62"/>
      <c r="BH183" s="62"/>
      <c r="BI183" s="63"/>
      <c r="BJ183" s="63">
        <v>20.9</v>
      </c>
      <c r="BK183" s="62"/>
      <c r="BL183" s="62"/>
      <c r="BM183" s="62"/>
      <c r="BN183" s="63"/>
      <c r="BO183" s="62"/>
      <c r="BP183" s="64"/>
      <c r="BQ183" s="63"/>
      <c r="BR183" s="62"/>
      <c r="BS183" s="62"/>
      <c r="BT183" s="62"/>
      <c r="BU183" s="62">
        <v>21.7</v>
      </c>
      <c r="BV183" s="62"/>
      <c r="BW183" s="62"/>
      <c r="BX183" s="62"/>
      <c r="BY183" s="62"/>
      <c r="BZ183" s="62"/>
      <c r="CA183" s="62"/>
      <c r="CB183" s="62"/>
      <c r="CC183" s="51"/>
      <c r="CD183" s="63"/>
      <c r="CE183" s="63">
        <v>21.9</v>
      </c>
      <c r="CF183" s="62"/>
      <c r="CG183" s="62"/>
      <c r="CH183" s="63"/>
      <c r="CI183" s="62"/>
      <c r="CJ183" s="62"/>
      <c r="CK183" s="63"/>
      <c r="CL183" s="63">
        <v>24.3</v>
      </c>
      <c r="CM183" s="62"/>
      <c r="CN183" s="62"/>
      <c r="CO183" s="62"/>
      <c r="CP183" s="62"/>
      <c r="CQ183" s="62"/>
      <c r="CR183" s="63">
        <v>24</v>
      </c>
      <c r="CS183" s="63"/>
      <c r="CT183" s="62"/>
      <c r="CU183" s="62"/>
      <c r="CV183" s="63"/>
      <c r="CW183" s="63"/>
      <c r="CX183" s="63">
        <v>24</v>
      </c>
      <c r="CY183" s="63"/>
      <c r="CZ183" s="63"/>
      <c r="DA183" s="63">
        <v>24</v>
      </c>
      <c r="DB183" s="63"/>
      <c r="DC183" s="63"/>
      <c r="DD183" s="63"/>
      <c r="DE183" s="63"/>
      <c r="DF183" s="63"/>
      <c r="DG183" s="63"/>
      <c r="DH183" s="63"/>
      <c r="DI183" s="63"/>
      <c r="DJ183" s="63"/>
      <c r="DK183" s="63"/>
      <c r="DL183" s="63"/>
      <c r="DM183" s="63"/>
      <c r="DN183" s="63"/>
      <c r="DO183" s="63"/>
      <c r="DP183" s="63"/>
      <c r="DQ183" s="158"/>
      <c r="DR183" s="158"/>
      <c r="DS183" s="158"/>
      <c r="DT183" s="158"/>
      <c r="DU183" s="158"/>
      <c r="DV183" s="158"/>
      <c r="DW183" s="158"/>
      <c r="DX183" s="158"/>
      <c r="DY183" s="158"/>
      <c r="DZ183" s="65"/>
      <c r="EA183" s="65"/>
      <c r="EB183" s="65"/>
      <c r="EC183" s="65"/>
      <c r="ED183" s="65"/>
      <c r="EE183" s="65"/>
      <c r="EF183" s="65"/>
      <c r="EG183" s="65"/>
    </row>
    <row r="184" spans="1:137" s="10" customFormat="1" ht="15.9" customHeight="1" outlineLevel="1" x14ac:dyDescent="0.3">
      <c r="A184" s="7"/>
      <c r="B184" s="7"/>
      <c r="C184" s="8" t="s">
        <v>31</v>
      </c>
      <c r="D184" s="146"/>
      <c r="E184" s="7" t="s">
        <v>350</v>
      </c>
      <c r="F184" s="7" t="s">
        <v>367</v>
      </c>
      <c r="G184" s="9" t="s">
        <v>368</v>
      </c>
      <c r="H184" s="9"/>
      <c r="I184" s="204" cm="1">
        <f t="array" ref="I184">IFERROR(LOOKUP(2,1/(N184:GR184&lt;&gt;""),N$4:DRA$4),"")</f>
        <v>45224</v>
      </c>
      <c r="J184" s="169" cm="1">
        <f t="array" ref="J184">IFERROR(_xlfn.XLOOKUP(TRUE,N184:EH184&lt;&gt;"",N184:EH184,,,-1)," ")</f>
        <v>25.2</v>
      </c>
      <c r="K184" s="45"/>
      <c r="L184" s="45"/>
      <c r="M184" s="282" t="s">
        <v>158</v>
      </c>
      <c r="N184" s="57"/>
      <c r="O184" s="57"/>
      <c r="P184" s="57"/>
      <c r="Q184" s="57"/>
      <c r="R184" s="57"/>
      <c r="S184" s="57"/>
      <c r="T184" s="57"/>
      <c r="U184" s="57"/>
      <c r="V184" s="57"/>
      <c r="W184" s="57"/>
      <c r="X184" s="57"/>
      <c r="Y184" s="57"/>
      <c r="Z184" s="57"/>
      <c r="AA184" s="57"/>
      <c r="AB184" s="57"/>
      <c r="AC184" s="57"/>
      <c r="AD184" s="57"/>
      <c r="AE184" s="57"/>
      <c r="AF184" s="57"/>
      <c r="AG184" s="57"/>
      <c r="AH184" s="57"/>
      <c r="AI184" s="57"/>
      <c r="AJ184" s="57"/>
      <c r="AK184" s="57"/>
      <c r="AL184" s="57"/>
      <c r="AM184" s="57"/>
      <c r="AN184" s="57"/>
      <c r="AO184" s="57"/>
      <c r="AP184" s="57"/>
      <c r="AQ184" s="57"/>
      <c r="AR184" s="57"/>
      <c r="AS184" s="57"/>
      <c r="AT184" s="57"/>
      <c r="AU184" s="61"/>
      <c r="AV184" s="61"/>
      <c r="AW184" s="57"/>
      <c r="AX184" s="61"/>
      <c r="AY184" s="61"/>
      <c r="AZ184" s="57"/>
      <c r="BA184" s="57"/>
      <c r="BB184" s="61"/>
      <c r="BC184" s="61">
        <v>18.2</v>
      </c>
      <c r="BD184" s="61"/>
      <c r="BE184" s="61"/>
      <c r="BF184" s="61"/>
      <c r="BG184" s="57"/>
      <c r="BH184" s="57"/>
      <c r="BI184" s="61">
        <v>19.399999999999999</v>
      </c>
      <c r="BJ184" s="61"/>
      <c r="BK184" s="57"/>
      <c r="BL184" s="57"/>
      <c r="BM184" s="57"/>
      <c r="BN184" s="61"/>
      <c r="BO184" s="57">
        <v>21.7</v>
      </c>
      <c r="BP184" s="57"/>
      <c r="BQ184" s="61"/>
      <c r="BR184" s="57"/>
      <c r="BS184" s="57"/>
      <c r="BT184" s="57"/>
      <c r="BU184" s="57">
        <v>22.2</v>
      </c>
      <c r="BV184" s="57"/>
      <c r="BW184" s="57"/>
      <c r="BX184" s="57"/>
      <c r="BY184" s="57"/>
      <c r="BZ184" s="57"/>
      <c r="CA184" s="57"/>
      <c r="CB184" s="57"/>
      <c r="CC184" s="27"/>
      <c r="CD184" s="61"/>
      <c r="CE184" s="61">
        <v>22.7</v>
      </c>
      <c r="CF184" s="57"/>
      <c r="CG184" s="61"/>
      <c r="CH184" s="61"/>
      <c r="CI184" s="61"/>
      <c r="CJ184" s="57"/>
      <c r="CK184" s="61"/>
      <c r="CL184" s="61">
        <v>23.9</v>
      </c>
      <c r="CM184" s="61"/>
      <c r="CN184" s="61"/>
      <c r="CO184" s="61"/>
      <c r="CP184" s="61"/>
      <c r="CQ184" s="61" t="s">
        <v>369</v>
      </c>
      <c r="CR184" s="61"/>
      <c r="CS184" s="61"/>
      <c r="CT184" s="61"/>
      <c r="CU184" s="61"/>
      <c r="CV184" s="61"/>
      <c r="CW184" s="61"/>
      <c r="CX184" s="61"/>
      <c r="CY184" s="61">
        <v>25.2</v>
      </c>
      <c r="CZ184" s="61"/>
      <c r="DA184" s="61"/>
      <c r="DB184" s="61"/>
      <c r="DC184" s="61"/>
      <c r="DD184" s="61"/>
      <c r="DE184" s="61"/>
      <c r="DF184" s="61"/>
      <c r="DG184" s="61"/>
      <c r="DH184" s="61"/>
      <c r="DI184" s="61"/>
      <c r="DJ184" s="61"/>
      <c r="DK184" s="61"/>
      <c r="DL184" s="61"/>
      <c r="DM184" s="61"/>
      <c r="DN184" s="61"/>
      <c r="DO184" s="61"/>
      <c r="DP184" s="61"/>
      <c r="DQ184" s="156"/>
      <c r="DR184" s="156"/>
      <c r="DS184" s="156"/>
      <c r="DT184" s="156"/>
      <c r="DU184" s="156"/>
      <c r="DV184" s="156"/>
      <c r="DW184" s="156"/>
      <c r="DX184" s="156"/>
      <c r="DY184" s="156"/>
      <c r="DZ184" s="59"/>
      <c r="EA184" s="59"/>
      <c r="EB184" s="59"/>
      <c r="EC184" s="59"/>
      <c r="ED184" s="59"/>
      <c r="EE184" s="59"/>
      <c r="EF184" s="59"/>
      <c r="EG184" s="59"/>
    </row>
    <row r="185" spans="1:137" s="97" customFormat="1" ht="15.9" customHeight="1" x14ac:dyDescent="0.3">
      <c r="A185" s="83"/>
      <c r="B185" s="83"/>
      <c r="C185" s="91"/>
      <c r="D185" s="82"/>
      <c r="E185" s="83" t="s">
        <v>370</v>
      </c>
      <c r="F185" s="83"/>
      <c r="G185" s="84" t="s">
        <v>371</v>
      </c>
      <c r="H185" s="84"/>
      <c r="I185" s="203"/>
      <c r="J185" s="167"/>
      <c r="K185" s="220"/>
      <c r="L185" s="92"/>
      <c r="M185" s="280" t="s">
        <v>21</v>
      </c>
      <c r="N185" s="94"/>
      <c r="O185" s="94"/>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94"/>
      <c r="AU185" s="101"/>
      <c r="AV185" s="101"/>
      <c r="AW185" s="94"/>
      <c r="AX185" s="101"/>
      <c r="AY185" s="101"/>
      <c r="AZ185" s="101"/>
      <c r="BA185" s="101"/>
      <c r="BB185" s="101"/>
      <c r="BC185" s="101"/>
      <c r="BD185" s="101"/>
      <c r="BE185" s="101"/>
      <c r="BF185" s="101"/>
      <c r="BG185" s="94"/>
      <c r="BH185" s="94"/>
      <c r="BI185" s="101"/>
      <c r="BJ185" s="101"/>
      <c r="BK185" s="94"/>
      <c r="BL185" s="94"/>
      <c r="BM185" s="94"/>
      <c r="BN185" s="101"/>
      <c r="BO185" s="94"/>
      <c r="BP185" s="95"/>
      <c r="BQ185" s="101"/>
      <c r="BR185" s="94"/>
      <c r="BS185" s="94"/>
      <c r="BT185" s="94"/>
      <c r="BU185" s="94"/>
      <c r="BV185" s="94"/>
      <c r="BW185" s="94"/>
      <c r="BX185" s="94"/>
      <c r="BY185" s="94"/>
      <c r="BZ185" s="94"/>
      <c r="CA185" s="94"/>
      <c r="CB185" s="94"/>
      <c r="CC185" s="93"/>
      <c r="CD185" s="101"/>
      <c r="CE185" s="101"/>
      <c r="CF185" s="94"/>
      <c r="CG185" s="94"/>
      <c r="CH185" s="101"/>
      <c r="CI185" s="94"/>
      <c r="CJ185" s="94"/>
      <c r="CK185" s="101"/>
      <c r="CL185" s="101"/>
      <c r="CM185" s="94"/>
      <c r="CN185" s="101"/>
      <c r="CO185" s="101"/>
      <c r="CP185" s="101"/>
      <c r="CQ185" s="101"/>
      <c r="CR185" s="101"/>
      <c r="CS185" s="101"/>
      <c r="CT185" s="101"/>
      <c r="CU185" s="101"/>
      <c r="CV185" s="101"/>
      <c r="CW185" s="101"/>
      <c r="CX185" s="101"/>
      <c r="CY185" s="101"/>
      <c r="CZ185" s="101"/>
      <c r="DA185" s="101"/>
      <c r="DB185" s="101"/>
      <c r="DC185" s="101"/>
      <c r="DD185" s="101"/>
      <c r="DE185" s="101"/>
      <c r="DF185" s="101"/>
      <c r="DG185" s="101"/>
      <c r="DH185" s="101"/>
      <c r="DI185" s="101"/>
      <c r="DJ185" s="101"/>
      <c r="DK185" s="101"/>
      <c r="DL185" s="101"/>
      <c r="DM185" s="101"/>
      <c r="DN185" s="101"/>
      <c r="DO185" s="101"/>
      <c r="DP185" s="101"/>
      <c r="DQ185" s="161"/>
      <c r="DR185" s="161"/>
      <c r="DS185" s="161"/>
      <c r="DT185" s="161"/>
      <c r="DU185" s="161"/>
      <c r="DV185" s="161"/>
      <c r="DW185" s="161"/>
      <c r="DX185" s="161"/>
      <c r="DY185" s="161"/>
      <c r="DZ185" s="59"/>
      <c r="EA185" s="59"/>
      <c r="EB185" s="59"/>
      <c r="EC185" s="59"/>
      <c r="ED185" s="59"/>
      <c r="EE185" s="59"/>
      <c r="EF185" s="59"/>
      <c r="EG185" s="59"/>
    </row>
    <row r="186" spans="1:137" s="1" customFormat="1" ht="15.9" customHeight="1" outlineLevel="1" x14ac:dyDescent="0.3">
      <c r="A186" s="2" t="s">
        <v>22</v>
      </c>
      <c r="B186" s="2" t="s">
        <v>23</v>
      </c>
      <c r="C186" s="4" t="s">
        <v>31</v>
      </c>
      <c r="D186" s="145">
        <v>28.51</v>
      </c>
      <c r="E186" s="2" t="s">
        <v>370</v>
      </c>
      <c r="F186" s="2" t="s">
        <v>372</v>
      </c>
      <c r="G186" s="3" t="s">
        <v>373</v>
      </c>
      <c r="H186" s="3"/>
      <c r="I186" s="205" cm="1">
        <f t="array" ref="I186">IFERROR(LOOKUP(2,1/(N186:GR186&lt;&gt;""),N$4:DRA$4),"")</f>
        <v>45194</v>
      </c>
      <c r="J186" s="271" cm="1">
        <f t="array" ref="J186">IFERROR(_xlfn.XLOOKUP(TRUE,N186:EH186&lt;&gt;"",N186:EH186,,,-1)," ")</f>
        <v>24.1</v>
      </c>
      <c r="K186" s="46">
        <v>22</v>
      </c>
      <c r="L186" s="46">
        <v>23.5</v>
      </c>
      <c r="M186" s="281" t="s">
        <v>28</v>
      </c>
      <c r="N186" s="55"/>
      <c r="O186" s="55"/>
      <c r="P186" s="55"/>
      <c r="Q186" s="55"/>
      <c r="R186" s="55"/>
      <c r="S186" s="55"/>
      <c r="T186" s="55"/>
      <c r="U186" s="55"/>
      <c r="V186" s="55"/>
      <c r="W186" s="55"/>
      <c r="X186" s="55"/>
      <c r="Y186" s="55">
        <v>15.4</v>
      </c>
      <c r="Z186" s="55"/>
      <c r="AA186" s="55"/>
      <c r="AB186" s="55"/>
      <c r="AC186" s="55"/>
      <c r="AD186" s="55"/>
      <c r="AE186" s="55"/>
      <c r="AF186" s="55">
        <v>16.100000000000001</v>
      </c>
      <c r="AG186" s="55"/>
      <c r="AH186" s="55"/>
      <c r="AI186" s="55"/>
      <c r="AJ186" s="55"/>
      <c r="AK186" s="55"/>
      <c r="AL186" s="55"/>
      <c r="AM186" s="55">
        <v>16.899999999999999</v>
      </c>
      <c r="AN186" s="55"/>
      <c r="AO186" s="55"/>
      <c r="AP186" s="55"/>
      <c r="AQ186" s="55"/>
      <c r="AR186" s="55"/>
      <c r="AS186" s="55"/>
      <c r="AT186" s="55">
        <v>18.600000000000001</v>
      </c>
      <c r="AU186" s="153"/>
      <c r="AV186" s="153"/>
      <c r="AW186" s="56"/>
      <c r="AX186" s="153"/>
      <c r="AY186" s="153"/>
      <c r="AZ186" s="157"/>
      <c r="BA186" s="153">
        <v>18.600000000000001</v>
      </c>
      <c r="BB186" s="153"/>
      <c r="BC186" s="153"/>
      <c r="BD186" s="153"/>
      <c r="BE186" s="153"/>
      <c r="BF186" s="157"/>
      <c r="BG186" s="153">
        <v>20.6</v>
      </c>
      <c r="BH186" s="55"/>
      <c r="BI186" s="153"/>
      <c r="BJ186" s="153"/>
      <c r="BK186" s="55"/>
      <c r="BL186" s="153"/>
      <c r="BM186" s="55"/>
      <c r="BN186" s="157">
        <v>22.1</v>
      </c>
      <c r="BO186" s="55"/>
      <c r="BP186" s="56"/>
      <c r="BQ186" s="153"/>
      <c r="BR186" s="153"/>
      <c r="BS186" s="55"/>
      <c r="BT186" s="153"/>
      <c r="BU186" s="157">
        <v>24.1</v>
      </c>
      <c r="BV186" s="153"/>
      <c r="BW186" s="153"/>
      <c r="BX186" s="153"/>
      <c r="BY186" s="153"/>
      <c r="BZ186" s="153"/>
      <c r="CA186" s="153"/>
      <c r="CB186" s="55"/>
      <c r="CC186" s="153"/>
      <c r="CD186" s="153"/>
      <c r="CE186" s="153"/>
      <c r="CF186" s="55"/>
      <c r="CG186" s="153"/>
      <c r="CH186" s="153"/>
      <c r="CI186" s="153"/>
      <c r="CJ186" s="55"/>
      <c r="CK186" s="153"/>
      <c r="CL186" s="153"/>
      <c r="CM186" s="153"/>
      <c r="CN186" s="153"/>
      <c r="CO186" s="153"/>
      <c r="CP186" s="153"/>
      <c r="CQ186" s="153"/>
      <c r="CR186" s="153"/>
      <c r="CS186" s="153"/>
      <c r="CT186" s="153"/>
      <c r="CU186" s="153"/>
      <c r="CV186" s="153"/>
      <c r="CW186" s="153"/>
      <c r="CX186" s="153"/>
      <c r="CY186" s="153"/>
      <c r="CZ186" s="153"/>
      <c r="DA186" s="153"/>
      <c r="DB186" s="153"/>
      <c r="DC186" s="153"/>
      <c r="DD186" s="153"/>
      <c r="DE186" s="153"/>
      <c r="DF186" s="153"/>
      <c r="DG186" s="153"/>
      <c r="DH186" s="153"/>
      <c r="DI186" s="153"/>
      <c r="DJ186" s="153"/>
      <c r="DK186" s="153"/>
      <c r="DL186" s="153"/>
      <c r="DM186" s="153"/>
      <c r="DN186" s="153"/>
      <c r="DO186" s="153"/>
      <c r="DP186" s="153"/>
      <c r="DQ186" s="154"/>
      <c r="DR186" s="154"/>
      <c r="DS186" s="154"/>
      <c r="DT186" s="154"/>
      <c r="DU186" s="154"/>
      <c r="DV186" s="154"/>
      <c r="DW186" s="154"/>
      <c r="DX186" s="154"/>
      <c r="DY186" s="154"/>
      <c r="DZ186" s="59"/>
      <c r="EA186" s="59"/>
      <c r="EB186" s="59"/>
      <c r="EC186" s="59"/>
      <c r="ED186" s="59"/>
      <c r="EE186" s="59"/>
      <c r="EF186" s="59"/>
      <c r="EG186" s="59"/>
    </row>
    <row r="187" spans="1:137" s="1" customFormat="1" ht="15.9" customHeight="1" outlineLevel="1" x14ac:dyDescent="0.3">
      <c r="A187" s="2" t="s">
        <v>22</v>
      </c>
      <c r="B187" s="2" t="s">
        <v>23</v>
      </c>
      <c r="C187" s="4" t="s">
        <v>31</v>
      </c>
      <c r="D187" s="145"/>
      <c r="E187" s="2" t="s">
        <v>370</v>
      </c>
      <c r="F187" s="2" t="s">
        <v>374</v>
      </c>
      <c r="G187" s="3" t="s">
        <v>375</v>
      </c>
      <c r="H187" s="3"/>
      <c r="I187" s="205" cm="1">
        <f t="array" ref="I187">IFERROR(LOOKUP(2,1/(N187:GR187&lt;&gt;""),N$4:DRA$4),"")</f>
        <v>45180</v>
      </c>
      <c r="J187" s="170" cm="1">
        <f t="array" ref="J187">IFERROR(_xlfn.XLOOKUP(TRUE,N187:EH187&lt;&gt;"",N187:EH187,,,-1)," ")</f>
        <v>21.9</v>
      </c>
      <c r="K187" s="46">
        <v>22</v>
      </c>
      <c r="L187" s="46">
        <v>23.5</v>
      </c>
      <c r="M187" s="281" t="s">
        <v>28</v>
      </c>
      <c r="N187" s="55"/>
      <c r="O187" s="55"/>
      <c r="P187" s="55"/>
      <c r="Q187" s="55"/>
      <c r="R187" s="55"/>
      <c r="S187" s="55"/>
      <c r="T187" s="55"/>
      <c r="U187" s="55"/>
      <c r="V187" s="55"/>
      <c r="W187" s="55"/>
      <c r="X187" s="55"/>
      <c r="Y187" s="55"/>
      <c r="Z187" s="55"/>
      <c r="AA187" s="55"/>
      <c r="AB187" s="55"/>
      <c r="AC187" s="55"/>
      <c r="AD187" s="55"/>
      <c r="AE187" s="55"/>
      <c r="AF187" s="55">
        <v>16</v>
      </c>
      <c r="AG187" s="55"/>
      <c r="AH187" s="55"/>
      <c r="AI187" s="55"/>
      <c r="AJ187" s="55"/>
      <c r="AK187" s="55"/>
      <c r="AL187" s="55"/>
      <c r="AM187" s="55">
        <v>17.600000000000001</v>
      </c>
      <c r="AN187" s="55"/>
      <c r="AO187" s="55"/>
      <c r="AP187" s="55"/>
      <c r="AQ187" s="55"/>
      <c r="AR187" s="55"/>
      <c r="AS187" s="55"/>
      <c r="AT187" s="55">
        <v>18.8</v>
      </c>
      <c r="AU187" s="153"/>
      <c r="AV187" s="153"/>
      <c r="AW187" s="55"/>
      <c r="AX187" s="153"/>
      <c r="AY187" s="153"/>
      <c r="AZ187" s="157"/>
      <c r="BA187" s="153">
        <v>19.2</v>
      </c>
      <c r="BB187" s="153"/>
      <c r="BC187" s="153"/>
      <c r="BD187" s="153"/>
      <c r="BE187" s="153"/>
      <c r="BF187" s="157"/>
      <c r="BG187" s="153">
        <v>21.9</v>
      </c>
      <c r="BH187" s="55"/>
      <c r="BI187" s="153"/>
      <c r="BJ187" s="153"/>
      <c r="BK187" s="55"/>
      <c r="BL187" s="153"/>
      <c r="BM187" s="55"/>
      <c r="BN187" s="153"/>
      <c r="BO187" s="55"/>
      <c r="BP187" s="56"/>
      <c r="BQ187" s="153"/>
      <c r="BR187" s="153"/>
      <c r="BS187" s="55"/>
      <c r="BT187" s="153"/>
      <c r="BU187" s="153"/>
      <c r="BV187" s="153"/>
      <c r="BW187" s="153"/>
      <c r="BX187" s="153"/>
      <c r="BY187" s="153"/>
      <c r="BZ187" s="153"/>
      <c r="CA187" s="153"/>
      <c r="CB187" s="55"/>
      <c r="CC187" s="153"/>
      <c r="CD187" s="153"/>
      <c r="CE187" s="153"/>
      <c r="CF187" s="55"/>
      <c r="CG187" s="153"/>
      <c r="CH187" s="153"/>
      <c r="CI187" s="153"/>
      <c r="CJ187" s="55"/>
      <c r="CK187" s="153"/>
      <c r="CL187" s="153"/>
      <c r="CM187" s="153"/>
      <c r="CN187" s="153"/>
      <c r="CO187" s="153"/>
      <c r="CP187" s="153"/>
      <c r="CQ187" s="153"/>
      <c r="CR187" s="153"/>
      <c r="CS187" s="153"/>
      <c r="CT187" s="153"/>
      <c r="CU187" s="153"/>
      <c r="CV187" s="153"/>
      <c r="CW187" s="153"/>
      <c r="CX187" s="153"/>
      <c r="CY187" s="153"/>
      <c r="CZ187" s="153"/>
      <c r="DA187" s="153"/>
      <c r="DB187" s="153"/>
      <c r="DC187" s="153"/>
      <c r="DD187" s="153"/>
      <c r="DE187" s="153"/>
      <c r="DF187" s="153"/>
      <c r="DG187" s="153"/>
      <c r="DH187" s="153"/>
      <c r="DI187" s="153"/>
      <c r="DJ187" s="153"/>
      <c r="DK187" s="153"/>
      <c r="DL187" s="153"/>
      <c r="DM187" s="153"/>
      <c r="DN187" s="153"/>
      <c r="DO187" s="153"/>
      <c r="DP187" s="153"/>
      <c r="DQ187" s="154"/>
      <c r="DR187" s="154"/>
      <c r="DS187" s="154"/>
      <c r="DT187" s="154"/>
      <c r="DU187" s="154"/>
      <c r="DV187" s="154"/>
      <c r="DW187" s="154"/>
      <c r="DX187" s="154"/>
      <c r="DY187" s="154"/>
      <c r="DZ187" s="65"/>
      <c r="EA187" s="65"/>
      <c r="EB187" s="65"/>
      <c r="EC187" s="65"/>
      <c r="ED187" s="65"/>
      <c r="EE187" s="65"/>
      <c r="EF187" s="65"/>
      <c r="EG187" s="65"/>
    </row>
    <row r="188" spans="1:137" s="97" customFormat="1" ht="15.9" customHeight="1" x14ac:dyDescent="0.3">
      <c r="A188" s="83"/>
      <c r="B188" s="83"/>
      <c r="C188" s="91"/>
      <c r="D188" s="82"/>
      <c r="E188" s="83" t="s">
        <v>376</v>
      </c>
      <c r="F188" s="83"/>
      <c r="G188" s="84" t="s">
        <v>377</v>
      </c>
      <c r="H188" s="84"/>
      <c r="I188" s="203"/>
      <c r="J188" s="167"/>
      <c r="K188" s="220"/>
      <c r="L188" s="92"/>
      <c r="M188" s="280" t="s">
        <v>21</v>
      </c>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94"/>
      <c r="AU188" s="101"/>
      <c r="AV188" s="101"/>
      <c r="AW188" s="94"/>
      <c r="AX188" s="94"/>
      <c r="AY188" s="94"/>
      <c r="AZ188" s="101"/>
      <c r="BA188" s="94"/>
      <c r="BB188" s="94"/>
      <c r="BC188" s="101"/>
      <c r="BD188" s="101"/>
      <c r="BE188" s="101"/>
      <c r="BF188" s="94"/>
      <c r="BG188" s="94"/>
      <c r="BH188" s="94"/>
      <c r="BI188" s="101"/>
      <c r="BJ188" s="101"/>
      <c r="BK188" s="94"/>
      <c r="BL188" s="94"/>
      <c r="BM188" s="94"/>
      <c r="BN188" s="101"/>
      <c r="BO188" s="94"/>
      <c r="BP188" s="95"/>
      <c r="BQ188" s="101"/>
      <c r="BR188" s="94"/>
      <c r="BS188" s="94"/>
      <c r="BT188" s="94"/>
      <c r="BU188" s="94"/>
      <c r="BV188" s="94"/>
      <c r="BW188" s="94"/>
      <c r="BX188" s="94"/>
      <c r="BY188" s="94"/>
      <c r="BZ188" s="94"/>
      <c r="CA188" s="94"/>
      <c r="CB188" s="94"/>
      <c r="CC188" s="93"/>
      <c r="CD188" s="101"/>
      <c r="CE188" s="101"/>
      <c r="CF188" s="94"/>
      <c r="CG188" s="94"/>
      <c r="CH188" s="101"/>
      <c r="CI188" s="94"/>
      <c r="CJ188" s="94"/>
      <c r="CK188" s="101"/>
      <c r="CL188" s="101"/>
      <c r="CM188" s="94"/>
      <c r="CN188" s="101"/>
      <c r="CO188" s="101"/>
      <c r="CP188" s="101"/>
      <c r="CQ188" s="101"/>
      <c r="CR188" s="101"/>
      <c r="CS188" s="101"/>
      <c r="CT188" s="101"/>
      <c r="CU188" s="101"/>
      <c r="CV188" s="101"/>
      <c r="CW188" s="101"/>
      <c r="CX188" s="101"/>
      <c r="CY188" s="101"/>
      <c r="CZ188" s="101"/>
      <c r="DA188" s="101"/>
      <c r="DB188" s="101"/>
      <c r="DC188" s="101"/>
      <c r="DD188" s="101"/>
      <c r="DE188" s="101"/>
      <c r="DF188" s="101"/>
      <c r="DG188" s="101"/>
      <c r="DH188" s="101"/>
      <c r="DI188" s="101"/>
      <c r="DJ188" s="101"/>
      <c r="DK188" s="101"/>
      <c r="DL188" s="101"/>
      <c r="DM188" s="101"/>
      <c r="DN188" s="101"/>
      <c r="DO188" s="101"/>
      <c r="DP188" s="101"/>
      <c r="DQ188" s="161"/>
      <c r="DR188" s="161"/>
      <c r="DS188" s="161"/>
      <c r="DT188" s="161"/>
      <c r="DU188" s="161"/>
      <c r="DV188" s="161"/>
      <c r="DW188" s="161"/>
      <c r="DX188" s="161"/>
      <c r="DY188" s="161"/>
      <c r="DZ188" s="59"/>
      <c r="EA188" s="59"/>
      <c r="EB188" s="59"/>
      <c r="EC188" s="59"/>
      <c r="ED188" s="59"/>
      <c r="EE188" s="59"/>
      <c r="EF188" s="59"/>
      <c r="EG188" s="59"/>
    </row>
    <row r="189" spans="1:137" s="5" customFormat="1" ht="15.9" customHeight="1" outlineLevel="1" x14ac:dyDescent="0.3">
      <c r="A189" s="6" t="s">
        <v>23</v>
      </c>
      <c r="B189" s="6"/>
      <c r="C189" s="129" t="s">
        <v>44</v>
      </c>
      <c r="D189" s="149">
        <v>36.68</v>
      </c>
      <c r="E189" s="130" t="s">
        <v>376</v>
      </c>
      <c r="F189" s="130" t="s">
        <v>378</v>
      </c>
      <c r="G189" s="131" t="s">
        <v>379</v>
      </c>
      <c r="H189" s="131"/>
      <c r="I189" s="317" cm="1">
        <f t="array" ref="I189">IFERROR(LOOKUP(2,1/(N189:GR189&lt;&gt;""),N$4:DRA$4),"")</f>
        <v>45185</v>
      </c>
      <c r="J189" s="336" cm="1">
        <f t="array" ref="J189">IFERROR(_xlfn.XLOOKUP(TRUE,N189:EH189&lt;&gt;"",N189:EH189,,,-1)," ")</f>
        <v>25.4</v>
      </c>
      <c r="K189" s="49">
        <v>24.5</v>
      </c>
      <c r="L189" s="49">
        <v>25</v>
      </c>
      <c r="M189" s="284" t="s">
        <v>28</v>
      </c>
      <c r="N189" s="62"/>
      <c r="O189" s="62"/>
      <c r="P189" s="62"/>
      <c r="Q189" s="62"/>
      <c r="R189" s="62"/>
      <c r="S189" s="62"/>
      <c r="T189" s="62"/>
      <c r="U189" s="62"/>
      <c r="V189" s="62"/>
      <c r="W189" s="62"/>
      <c r="X189" s="62"/>
      <c r="Y189" s="62"/>
      <c r="Z189" s="62"/>
      <c r="AA189" s="62"/>
      <c r="AB189" s="62"/>
      <c r="AC189" s="62"/>
      <c r="AD189" s="62"/>
      <c r="AE189" s="62"/>
      <c r="AF189" s="62"/>
      <c r="AG189" s="62">
        <v>18.5</v>
      </c>
      <c r="AH189" s="62"/>
      <c r="AI189" s="62"/>
      <c r="AJ189" s="62"/>
      <c r="AK189" s="62"/>
      <c r="AL189" s="62"/>
      <c r="AM189" s="62"/>
      <c r="AN189" s="62"/>
      <c r="AO189" s="62"/>
      <c r="AP189" s="62">
        <v>20.6</v>
      </c>
      <c r="AQ189" s="62"/>
      <c r="AR189" s="62"/>
      <c r="AS189" s="62"/>
      <c r="AT189" s="62"/>
      <c r="AU189" s="63"/>
      <c r="AV189" s="63"/>
      <c r="AW189" s="62"/>
      <c r="AX189" s="62">
        <v>23</v>
      </c>
      <c r="AY189" s="62"/>
      <c r="AZ189" s="63"/>
      <c r="BA189" s="62"/>
      <c r="BB189" s="64">
        <v>23.4</v>
      </c>
      <c r="BC189" s="63"/>
      <c r="BD189" s="63"/>
      <c r="BE189" s="62"/>
      <c r="BF189" s="62"/>
      <c r="BG189" s="64"/>
      <c r="BH189" s="64">
        <v>24.9</v>
      </c>
      <c r="BI189" s="63"/>
      <c r="BJ189" s="63"/>
      <c r="BK189" s="62"/>
      <c r="BL189" s="64">
        <v>25.4</v>
      </c>
      <c r="BM189" s="62"/>
      <c r="BN189" s="63"/>
      <c r="BO189" s="62"/>
      <c r="BP189" s="64"/>
      <c r="BQ189" s="63"/>
      <c r="BR189" s="63"/>
      <c r="BS189" s="62"/>
      <c r="BT189" s="63"/>
      <c r="BU189" s="63"/>
      <c r="BV189" s="63"/>
      <c r="BW189" s="63"/>
      <c r="BX189" s="63"/>
      <c r="BY189" s="63"/>
      <c r="BZ189" s="63"/>
      <c r="CA189" s="63"/>
      <c r="CB189" s="62"/>
      <c r="CC189" s="63"/>
      <c r="CD189" s="63"/>
      <c r="CE189" s="63"/>
      <c r="CF189" s="62"/>
      <c r="CG189" s="63"/>
      <c r="CH189" s="63"/>
      <c r="CI189" s="63"/>
      <c r="CJ189" s="62"/>
      <c r="CK189" s="63"/>
      <c r="CL189" s="63"/>
      <c r="CM189" s="63"/>
      <c r="CN189" s="63"/>
      <c r="CO189" s="63"/>
      <c r="CP189" s="63"/>
      <c r="CQ189" s="63"/>
      <c r="CR189" s="63"/>
      <c r="CS189" s="63"/>
      <c r="CT189" s="63"/>
      <c r="CU189" s="63"/>
      <c r="CV189" s="63"/>
      <c r="CW189" s="63"/>
      <c r="CX189" s="63"/>
      <c r="CY189" s="63"/>
      <c r="CZ189" s="63"/>
      <c r="DA189" s="63"/>
      <c r="DB189" s="63"/>
      <c r="DC189" s="63"/>
      <c r="DD189" s="63"/>
      <c r="DE189" s="63"/>
      <c r="DF189" s="63"/>
      <c r="DG189" s="63"/>
      <c r="DH189" s="63"/>
      <c r="DI189" s="63"/>
      <c r="DJ189" s="63"/>
      <c r="DK189" s="63"/>
      <c r="DL189" s="63"/>
      <c r="DM189" s="63"/>
      <c r="DN189" s="63"/>
      <c r="DO189" s="63"/>
      <c r="DP189" s="63"/>
      <c r="DQ189" s="158"/>
      <c r="DR189" s="158"/>
      <c r="DS189" s="158"/>
      <c r="DT189" s="158"/>
      <c r="DU189" s="158"/>
      <c r="DV189" s="158"/>
      <c r="DW189" s="158"/>
      <c r="DX189" s="158"/>
      <c r="DY189" s="158"/>
      <c r="DZ189" s="65"/>
      <c r="EA189" s="65"/>
      <c r="EB189" s="65"/>
      <c r="EC189" s="65"/>
      <c r="ED189" s="65"/>
      <c r="EE189" s="65"/>
      <c r="EF189" s="65"/>
      <c r="EG189" s="65"/>
    </row>
    <row r="190" spans="1:137" s="10" customFormat="1" ht="15.9" customHeight="1" outlineLevel="1" x14ac:dyDescent="0.3">
      <c r="A190" s="7" t="s">
        <v>22</v>
      </c>
      <c r="B190" s="7"/>
      <c r="C190" s="54" t="s">
        <v>24</v>
      </c>
      <c r="D190" s="148">
        <v>46.96</v>
      </c>
      <c r="E190" s="53" t="s">
        <v>376</v>
      </c>
      <c r="F190" s="53" t="s">
        <v>380</v>
      </c>
      <c r="G190" s="52" t="s">
        <v>381</v>
      </c>
      <c r="H190" s="52"/>
      <c r="I190" s="204" cm="1">
        <f t="array" ref="I190">IFERROR(LOOKUP(2,1/(N190:GR190&lt;&gt;""),N$4:DRA$4),"")</f>
        <v>45180</v>
      </c>
      <c r="J190" s="169" t="str" cm="1">
        <f t="array" ref="J190">IFERROR(_xlfn.XLOOKUP(TRUE,N190:EH190&lt;&gt;"",N190:EH190,,,-1)," ")</f>
        <v>25.3*</v>
      </c>
      <c r="K190" s="45">
        <v>22.5</v>
      </c>
      <c r="L190" s="45"/>
      <c r="M190" s="282" t="s">
        <v>34</v>
      </c>
      <c r="N190" s="57"/>
      <c r="O190" s="57"/>
      <c r="P190" s="57"/>
      <c r="Q190" s="57"/>
      <c r="R190" s="57"/>
      <c r="S190" s="57"/>
      <c r="T190" s="57"/>
      <c r="U190" s="57"/>
      <c r="V190" s="57"/>
      <c r="W190" s="57"/>
      <c r="X190" s="57"/>
      <c r="Y190" s="57"/>
      <c r="Z190" s="57"/>
      <c r="AA190" s="57"/>
      <c r="AB190" s="57"/>
      <c r="AC190" s="57"/>
      <c r="AD190" s="57"/>
      <c r="AE190" s="57"/>
      <c r="AF190" s="57">
        <v>17</v>
      </c>
      <c r="AG190" s="57"/>
      <c r="AH190" s="57"/>
      <c r="AI190" s="57"/>
      <c r="AJ190" s="57"/>
      <c r="AK190" s="57"/>
      <c r="AL190" s="57"/>
      <c r="AM190" s="57"/>
      <c r="AN190" s="57"/>
      <c r="AO190" s="57"/>
      <c r="AP190" s="57"/>
      <c r="AQ190" s="57"/>
      <c r="AR190" s="57"/>
      <c r="AS190" s="57"/>
      <c r="AT190" s="57"/>
      <c r="AU190" s="61" t="s">
        <v>382</v>
      </c>
      <c r="AV190" s="61"/>
      <c r="AW190" s="57"/>
      <c r="AX190" s="57"/>
      <c r="AY190" s="57"/>
      <c r="AZ190" s="61"/>
      <c r="BA190" s="57"/>
      <c r="BB190" s="57"/>
      <c r="BC190" s="61"/>
      <c r="BD190" s="61"/>
      <c r="BE190" s="57"/>
      <c r="BF190" s="57"/>
      <c r="BG190" s="57" t="s">
        <v>383</v>
      </c>
      <c r="BH190" s="57"/>
      <c r="BI190" s="61"/>
      <c r="BJ190" s="61"/>
      <c r="BK190" s="57"/>
      <c r="BL190" s="57"/>
      <c r="BM190" s="57"/>
      <c r="BN190" s="61"/>
      <c r="BO190" s="57"/>
      <c r="BP190" s="58"/>
      <c r="BQ190" s="61"/>
      <c r="BR190" s="61"/>
      <c r="BS190" s="57"/>
      <c r="BT190" s="61"/>
      <c r="BU190" s="61"/>
      <c r="BV190" s="61"/>
      <c r="BW190" s="61"/>
      <c r="BX190" s="61"/>
      <c r="BY190" s="61"/>
      <c r="BZ190" s="61"/>
      <c r="CA190" s="61"/>
      <c r="CB190" s="57"/>
      <c r="CC190" s="61"/>
      <c r="CD190" s="61"/>
      <c r="CE190" s="61"/>
      <c r="CF190" s="57"/>
      <c r="CG190" s="61"/>
      <c r="CH190" s="61"/>
      <c r="CI190" s="61"/>
      <c r="CJ190" s="57"/>
      <c r="CK190" s="61"/>
      <c r="CL190" s="61"/>
      <c r="CM190" s="61"/>
      <c r="CN190" s="61"/>
      <c r="CO190" s="61"/>
      <c r="CP190" s="61"/>
      <c r="CQ190" s="61"/>
      <c r="CR190" s="61"/>
      <c r="CS190" s="61"/>
      <c r="CT190" s="61"/>
      <c r="CU190" s="61"/>
      <c r="CV190" s="61"/>
      <c r="CW190" s="61"/>
      <c r="CX190" s="61"/>
      <c r="CY190" s="61"/>
      <c r="CZ190" s="61"/>
      <c r="DA190" s="61"/>
      <c r="DB190" s="61"/>
      <c r="DC190" s="61"/>
      <c r="DD190" s="61"/>
      <c r="DE190" s="61"/>
      <c r="DF190" s="61"/>
      <c r="DG190" s="61"/>
      <c r="DH190" s="61"/>
      <c r="DI190" s="61"/>
      <c r="DJ190" s="61"/>
      <c r="DK190" s="61"/>
      <c r="DL190" s="61"/>
      <c r="DM190" s="61"/>
      <c r="DN190" s="61"/>
      <c r="DO190" s="61"/>
      <c r="DP190" s="61"/>
      <c r="DQ190" s="156"/>
      <c r="DR190" s="156"/>
      <c r="DS190" s="156"/>
      <c r="DT190" s="156"/>
      <c r="DU190" s="156"/>
      <c r="DV190" s="156"/>
      <c r="DW190" s="156"/>
      <c r="DX190" s="156"/>
      <c r="DY190" s="156"/>
      <c r="DZ190" s="59"/>
      <c r="EA190" s="59"/>
      <c r="EB190" s="59"/>
      <c r="EC190" s="59"/>
      <c r="ED190" s="59"/>
      <c r="EE190" s="59"/>
      <c r="EF190" s="59"/>
      <c r="EG190" s="59"/>
    </row>
    <row r="191" spans="1:137" s="5" customFormat="1" ht="15.9" customHeight="1" outlineLevel="1" x14ac:dyDescent="0.3">
      <c r="A191" s="7" t="s">
        <v>22</v>
      </c>
      <c r="B191" s="7" t="s">
        <v>23</v>
      </c>
      <c r="C191" s="8" t="s">
        <v>44</v>
      </c>
      <c r="D191" s="146">
        <v>135.53</v>
      </c>
      <c r="E191" s="7" t="s">
        <v>376</v>
      </c>
      <c r="F191" s="7" t="s">
        <v>384</v>
      </c>
      <c r="G191" s="9" t="s">
        <v>385</v>
      </c>
      <c r="H191" s="9"/>
      <c r="I191" s="204" cm="1">
        <f t="array" ref="I191">IFERROR(LOOKUP(2,1/(N191:GR191&lt;&gt;""),N$4:DRA$4),"")</f>
        <v>45194</v>
      </c>
      <c r="J191" s="169" cm="1">
        <f t="array" ref="J191">IFERROR(_xlfn.XLOOKUP(TRUE,N191:EH191&lt;&gt;"",N191:EH191,,,-1)," ")</f>
        <v>25.1</v>
      </c>
      <c r="K191" s="45">
        <v>24</v>
      </c>
      <c r="L191" s="45"/>
      <c r="M191" s="282" t="s">
        <v>386</v>
      </c>
      <c r="N191" s="57"/>
      <c r="O191" s="57"/>
      <c r="P191" s="57"/>
      <c r="Q191" s="57"/>
      <c r="R191" s="57"/>
      <c r="S191" s="57"/>
      <c r="T191" s="57"/>
      <c r="U191" s="57"/>
      <c r="V191" s="57"/>
      <c r="W191" s="57"/>
      <c r="X191" s="57"/>
      <c r="Y191" s="57"/>
      <c r="Z191" s="171">
        <v>15</v>
      </c>
      <c r="AA191" s="57"/>
      <c r="AB191" s="57"/>
      <c r="AC191" s="57"/>
      <c r="AD191" s="57"/>
      <c r="AE191" s="57"/>
      <c r="AF191" s="57"/>
      <c r="AG191" s="57"/>
      <c r="AH191" s="57"/>
      <c r="AI191" s="57"/>
      <c r="AJ191" s="57"/>
      <c r="AK191" s="57"/>
      <c r="AL191" s="57"/>
      <c r="AM191" s="57"/>
      <c r="AN191" s="57"/>
      <c r="AO191" s="57"/>
      <c r="AP191" s="57"/>
      <c r="AQ191" s="171">
        <v>20.5</v>
      </c>
      <c r="AR191" s="57"/>
      <c r="AS191" s="57"/>
      <c r="AT191" s="57"/>
      <c r="AU191" s="61"/>
      <c r="AV191" s="318">
        <v>22.5</v>
      </c>
      <c r="AW191" s="57"/>
      <c r="AX191" s="57"/>
      <c r="AY191" s="57"/>
      <c r="AZ191" s="74"/>
      <c r="BA191" s="57"/>
      <c r="BB191" s="57"/>
      <c r="BC191" s="61"/>
      <c r="BD191" s="61"/>
      <c r="BE191" s="318">
        <v>23</v>
      </c>
      <c r="BF191" s="57"/>
      <c r="BG191" s="57"/>
      <c r="BH191" s="57"/>
      <c r="BI191" s="61"/>
      <c r="BJ191" s="61"/>
      <c r="BK191" s="57"/>
      <c r="BL191" s="57"/>
      <c r="BM191" s="57"/>
      <c r="BN191" s="61"/>
      <c r="BO191" s="57"/>
      <c r="BP191" s="58"/>
      <c r="BQ191" s="61"/>
      <c r="BR191" s="57"/>
      <c r="BS191" s="57"/>
      <c r="BT191" s="57"/>
      <c r="BU191" s="57">
        <v>25.1</v>
      </c>
      <c r="BV191" s="57"/>
      <c r="BW191" s="57"/>
      <c r="BX191" s="57"/>
      <c r="BY191" s="57"/>
      <c r="BZ191" s="57"/>
      <c r="CA191" s="57"/>
      <c r="CB191" s="57"/>
      <c r="CC191" s="27"/>
      <c r="CD191" s="61"/>
      <c r="CE191" s="61"/>
      <c r="CF191" s="57"/>
      <c r="CG191" s="61"/>
      <c r="CH191" s="61"/>
      <c r="CI191" s="61"/>
      <c r="CJ191" s="57"/>
      <c r="CK191" s="61"/>
      <c r="CL191" s="61"/>
      <c r="CM191" s="61"/>
      <c r="CN191" s="61"/>
      <c r="CO191" s="61"/>
      <c r="CP191" s="61"/>
      <c r="CQ191" s="61"/>
      <c r="CR191" s="61"/>
      <c r="CS191" s="61"/>
      <c r="CT191" s="61"/>
      <c r="CU191" s="61"/>
      <c r="CV191" s="61"/>
      <c r="CW191" s="61"/>
      <c r="CX191" s="61"/>
      <c r="CY191" s="61"/>
      <c r="CZ191" s="61"/>
      <c r="DA191" s="61"/>
      <c r="DB191" s="61"/>
      <c r="DC191" s="61"/>
      <c r="DD191" s="61"/>
      <c r="DE191" s="61"/>
      <c r="DF191" s="61"/>
      <c r="DG191" s="61"/>
      <c r="DH191" s="61"/>
      <c r="DI191" s="61"/>
      <c r="DJ191" s="61"/>
      <c r="DK191" s="61"/>
      <c r="DL191" s="61"/>
      <c r="DM191" s="61"/>
      <c r="DN191" s="61"/>
      <c r="DO191" s="61"/>
      <c r="DP191" s="61"/>
      <c r="DQ191" s="156"/>
      <c r="DR191" s="156"/>
      <c r="DS191" s="156"/>
      <c r="DT191" s="156"/>
      <c r="DU191" s="156"/>
      <c r="DV191" s="156"/>
      <c r="DW191" s="156"/>
      <c r="DX191" s="156"/>
      <c r="DY191" s="156"/>
      <c r="DZ191" s="59"/>
      <c r="EA191" s="59"/>
      <c r="EB191" s="59"/>
      <c r="EC191" s="59"/>
      <c r="ED191" s="59"/>
      <c r="EE191" s="59"/>
      <c r="EF191" s="59"/>
      <c r="EG191" s="59"/>
    </row>
    <row r="192" spans="1:137" s="5" customFormat="1" ht="15.9" customHeight="1" outlineLevel="1" x14ac:dyDescent="0.3">
      <c r="A192" s="7" t="s">
        <v>22</v>
      </c>
      <c r="B192" s="7" t="s">
        <v>23</v>
      </c>
      <c r="C192" s="8" t="s">
        <v>44</v>
      </c>
      <c r="D192" s="146"/>
      <c r="E192" s="7" t="s">
        <v>376</v>
      </c>
      <c r="F192" s="7" t="s">
        <v>384</v>
      </c>
      <c r="G192" s="9" t="s">
        <v>387</v>
      </c>
      <c r="H192" s="9"/>
      <c r="I192" s="204" t="str" cm="1">
        <f t="array" ref="I192">IFERROR(LOOKUP(2,1/(N192:GR192&lt;&gt;""),N$4:DRA$4),"")</f>
        <v/>
      </c>
      <c r="J192" s="169" t="str" cm="1">
        <f t="array" ref="J192">IFERROR(_xlfn.XLOOKUP(TRUE,N192:EH192&lt;&gt;"",N192:EH192,,,-1)," ")</f>
        <v xml:space="preserve"> </v>
      </c>
      <c r="K192" s="45">
        <v>24</v>
      </c>
      <c r="L192" s="45"/>
      <c r="M192" s="282" t="s">
        <v>386</v>
      </c>
      <c r="N192" s="57"/>
      <c r="O192" s="57"/>
      <c r="P192" s="57"/>
      <c r="Q192" s="57"/>
      <c r="R192" s="57"/>
      <c r="S192" s="57"/>
      <c r="T192" s="57"/>
      <c r="U192" s="57"/>
      <c r="V192" s="57"/>
      <c r="W192" s="57"/>
      <c r="X192" s="57"/>
      <c r="Y192" s="57"/>
      <c r="Z192" s="57"/>
      <c r="AA192" s="57"/>
      <c r="AB192" s="57"/>
      <c r="AC192" s="57"/>
      <c r="AD192" s="57"/>
      <c r="AE192" s="57"/>
      <c r="AF192" s="57"/>
      <c r="AG192" s="57"/>
      <c r="AH192" s="57"/>
      <c r="AI192" s="57"/>
      <c r="AJ192" s="57"/>
      <c r="AK192" s="57"/>
      <c r="AL192" s="57"/>
      <c r="AM192" s="57"/>
      <c r="AN192" s="57"/>
      <c r="AO192" s="57"/>
      <c r="AP192" s="57"/>
      <c r="AQ192" s="57"/>
      <c r="AR192" s="57"/>
      <c r="AS192" s="57"/>
      <c r="AT192" s="57"/>
      <c r="AU192" s="61"/>
      <c r="AV192" s="61"/>
      <c r="AW192" s="57"/>
      <c r="AX192" s="57"/>
      <c r="AY192" s="57"/>
      <c r="AZ192" s="61"/>
      <c r="BA192" s="57"/>
      <c r="BB192" s="57"/>
      <c r="BC192" s="61"/>
      <c r="BD192" s="61"/>
      <c r="BE192" s="61"/>
      <c r="BF192" s="57"/>
      <c r="BG192" s="57"/>
      <c r="BH192" s="57"/>
      <c r="BI192" s="61"/>
      <c r="BJ192" s="61"/>
      <c r="BK192" s="57"/>
      <c r="BL192" s="57"/>
      <c r="BM192" s="57"/>
      <c r="BN192" s="61"/>
      <c r="BO192" s="57"/>
      <c r="BP192" s="58"/>
      <c r="BQ192" s="61"/>
      <c r="BR192" s="61"/>
      <c r="BS192" s="57"/>
      <c r="BT192" s="61"/>
      <c r="BU192" s="61"/>
      <c r="BV192" s="61"/>
      <c r="BW192" s="61"/>
      <c r="BX192" s="61"/>
      <c r="BY192" s="61"/>
      <c r="BZ192" s="61"/>
      <c r="CA192" s="61"/>
      <c r="CB192" s="57"/>
      <c r="CC192" s="27"/>
      <c r="CD192" s="61"/>
      <c r="CE192" s="61"/>
      <c r="CF192" s="57"/>
      <c r="CG192" s="61"/>
      <c r="CH192" s="61"/>
      <c r="CI192" s="61"/>
      <c r="CJ192" s="57"/>
      <c r="CK192" s="61"/>
      <c r="CL192" s="61"/>
      <c r="CM192" s="61"/>
      <c r="CN192" s="61"/>
      <c r="CO192" s="61"/>
      <c r="CP192" s="61"/>
      <c r="CQ192" s="61"/>
      <c r="CR192" s="61"/>
      <c r="CS192" s="61"/>
      <c r="CT192" s="61"/>
      <c r="CU192" s="61"/>
      <c r="CV192" s="61"/>
      <c r="CW192" s="61"/>
      <c r="CX192" s="61"/>
      <c r="CY192" s="61"/>
      <c r="CZ192" s="61"/>
      <c r="DA192" s="61"/>
      <c r="DB192" s="61"/>
      <c r="DC192" s="61"/>
      <c r="DD192" s="61"/>
      <c r="DE192" s="61"/>
      <c r="DF192" s="61"/>
      <c r="DG192" s="61"/>
      <c r="DH192" s="61"/>
      <c r="DI192" s="61"/>
      <c r="DJ192" s="61"/>
      <c r="DK192" s="61"/>
      <c r="DL192" s="61"/>
      <c r="DM192" s="61"/>
      <c r="DN192" s="61"/>
      <c r="DO192" s="61"/>
      <c r="DP192" s="61"/>
      <c r="DQ192" s="156"/>
      <c r="DR192" s="156"/>
      <c r="DS192" s="156"/>
      <c r="DT192" s="156"/>
      <c r="DU192" s="156"/>
      <c r="DV192" s="156"/>
      <c r="DW192" s="156"/>
      <c r="DX192" s="156"/>
      <c r="DY192" s="156"/>
      <c r="DZ192" s="59"/>
      <c r="EA192" s="59"/>
      <c r="EB192" s="59"/>
      <c r="EC192" s="59"/>
      <c r="ED192" s="59"/>
      <c r="EE192" s="59"/>
      <c r="EF192" s="59"/>
      <c r="EG192" s="59"/>
    </row>
    <row r="193" spans="1:137" s="10" customFormat="1" ht="15.9" customHeight="1" outlineLevel="1" x14ac:dyDescent="0.3">
      <c r="A193" s="7" t="s">
        <v>22</v>
      </c>
      <c r="B193" s="7" t="s">
        <v>23</v>
      </c>
      <c r="C193" s="8" t="s">
        <v>44</v>
      </c>
      <c r="D193" s="146"/>
      <c r="E193" s="7" t="s">
        <v>376</v>
      </c>
      <c r="F193" s="7" t="s">
        <v>384</v>
      </c>
      <c r="G193" s="9" t="s">
        <v>388</v>
      </c>
      <c r="H193" s="9"/>
      <c r="I193" s="204" t="str" cm="1">
        <f t="array" ref="I193">IFERROR(LOOKUP(2,1/(N193:GR193&lt;&gt;""),N$4:DRA$4),"")</f>
        <v/>
      </c>
      <c r="J193" s="169" t="str" cm="1">
        <f t="array" ref="J193">IFERROR(_xlfn.XLOOKUP(TRUE,N193:EH193&lt;&gt;"",N193:EH193,,,-1)," ")</f>
        <v xml:space="preserve"> </v>
      </c>
      <c r="K193" s="45">
        <v>24</v>
      </c>
      <c r="L193" s="45"/>
      <c r="M193" s="282" t="s">
        <v>386</v>
      </c>
      <c r="N193" s="57"/>
      <c r="O193" s="57"/>
      <c r="P193" s="57"/>
      <c r="Q193" s="57"/>
      <c r="R193" s="57"/>
      <c r="S193" s="57"/>
      <c r="T193" s="57"/>
      <c r="U193" s="57"/>
      <c r="V193" s="57"/>
      <c r="W193" s="57"/>
      <c r="X193" s="57"/>
      <c r="Y193" s="57"/>
      <c r="Z193" s="57"/>
      <c r="AA193" s="57"/>
      <c r="AB193" s="57"/>
      <c r="AC193" s="57"/>
      <c r="AD193" s="57"/>
      <c r="AE193" s="57"/>
      <c r="AF193" s="57"/>
      <c r="AG193" s="57"/>
      <c r="AH193" s="57"/>
      <c r="AI193" s="57"/>
      <c r="AJ193" s="57"/>
      <c r="AK193" s="57"/>
      <c r="AL193" s="57"/>
      <c r="AM193" s="57"/>
      <c r="AN193" s="57"/>
      <c r="AO193" s="57"/>
      <c r="AP193" s="57"/>
      <c r="AQ193" s="57"/>
      <c r="AR193" s="57"/>
      <c r="AS193" s="57"/>
      <c r="AT193" s="57"/>
      <c r="AU193" s="61"/>
      <c r="AV193" s="61"/>
      <c r="AW193" s="57"/>
      <c r="AX193" s="57"/>
      <c r="AY193" s="57"/>
      <c r="AZ193" s="61"/>
      <c r="BA193" s="57"/>
      <c r="BB193" s="57"/>
      <c r="BC193" s="61"/>
      <c r="BD193" s="61"/>
      <c r="BE193" s="61"/>
      <c r="BF193" s="57"/>
      <c r="BG193" s="57"/>
      <c r="BH193" s="57"/>
      <c r="BI193" s="61"/>
      <c r="BJ193" s="61"/>
      <c r="BK193" s="57"/>
      <c r="BL193" s="57"/>
      <c r="BM193" s="57"/>
      <c r="BN193" s="61"/>
      <c r="BO193" s="57"/>
      <c r="BP193" s="58"/>
      <c r="BQ193" s="61"/>
      <c r="BR193" s="61"/>
      <c r="BS193" s="57"/>
      <c r="BT193" s="61"/>
      <c r="BU193" s="61"/>
      <c r="BV193" s="61"/>
      <c r="BW193" s="61"/>
      <c r="BX193" s="61"/>
      <c r="BY193" s="61"/>
      <c r="BZ193" s="61"/>
      <c r="CA193" s="61"/>
      <c r="CB193" s="57"/>
      <c r="CC193" s="27"/>
      <c r="CD193" s="61"/>
      <c r="CE193" s="61"/>
      <c r="CF193" s="57"/>
      <c r="CG193" s="61"/>
      <c r="CH193" s="61"/>
      <c r="CI193" s="61"/>
      <c r="CJ193" s="57"/>
      <c r="CK193" s="61"/>
      <c r="CL193" s="61"/>
      <c r="CM193" s="61"/>
      <c r="CN193" s="61"/>
      <c r="CO193" s="61"/>
      <c r="CP193" s="61"/>
      <c r="CQ193" s="61"/>
      <c r="CR193" s="61"/>
      <c r="CS193" s="61"/>
      <c r="CT193" s="61"/>
      <c r="CU193" s="61"/>
      <c r="CV193" s="61"/>
      <c r="CW193" s="61"/>
      <c r="CX193" s="61"/>
      <c r="CY193" s="61"/>
      <c r="CZ193" s="61"/>
      <c r="DA193" s="61"/>
      <c r="DB193" s="61"/>
      <c r="DC193" s="61"/>
      <c r="DD193" s="61"/>
      <c r="DE193" s="61"/>
      <c r="DF193" s="61"/>
      <c r="DG193" s="61"/>
      <c r="DH193" s="61"/>
      <c r="DI193" s="61"/>
      <c r="DJ193" s="61"/>
      <c r="DK193" s="61"/>
      <c r="DL193" s="61"/>
      <c r="DM193" s="61"/>
      <c r="DN193" s="61"/>
      <c r="DO193" s="61"/>
      <c r="DP193" s="61"/>
      <c r="DQ193" s="156"/>
      <c r="DR193" s="156"/>
      <c r="DS193" s="156"/>
      <c r="DT193" s="156"/>
      <c r="DU193" s="156"/>
      <c r="DV193" s="156"/>
      <c r="DW193" s="156"/>
      <c r="DX193" s="156"/>
      <c r="DY193" s="156"/>
      <c r="DZ193" s="59"/>
      <c r="EA193" s="59"/>
      <c r="EB193" s="59"/>
      <c r="EC193" s="59"/>
      <c r="ED193" s="59"/>
      <c r="EE193" s="59"/>
      <c r="EF193" s="59"/>
      <c r="EG193" s="59"/>
    </row>
    <row r="194" spans="1:137" s="10" customFormat="1" ht="15.9" customHeight="1" outlineLevel="1" x14ac:dyDescent="0.3">
      <c r="A194" s="7" t="s">
        <v>22</v>
      </c>
      <c r="B194" s="7" t="s">
        <v>23</v>
      </c>
      <c r="C194" s="8" t="s">
        <v>44</v>
      </c>
      <c r="D194" s="146"/>
      <c r="E194" s="7" t="s">
        <v>376</v>
      </c>
      <c r="F194" s="7" t="s">
        <v>384</v>
      </c>
      <c r="G194" s="9" t="s">
        <v>389</v>
      </c>
      <c r="H194" s="9"/>
      <c r="I194" s="204" t="str" cm="1">
        <f t="array" ref="I194">IFERROR(LOOKUP(2,1/(N194:GR194&lt;&gt;""),N$4:DRA$4),"")</f>
        <v/>
      </c>
      <c r="J194" s="169" t="str" cm="1">
        <f t="array" ref="J194">IFERROR(_xlfn.XLOOKUP(TRUE,N194:EH194&lt;&gt;"",N194:EH194,,,-1)," ")</f>
        <v xml:space="preserve"> </v>
      </c>
      <c r="K194" s="45">
        <v>24</v>
      </c>
      <c r="L194" s="45"/>
      <c r="M194" s="282" t="s">
        <v>386</v>
      </c>
      <c r="N194" s="57"/>
      <c r="O194" s="57"/>
      <c r="P194" s="57"/>
      <c r="Q194" s="57"/>
      <c r="R194" s="57"/>
      <c r="S194" s="57"/>
      <c r="T194" s="57"/>
      <c r="U194" s="57"/>
      <c r="V194" s="57"/>
      <c r="W194" s="57"/>
      <c r="X194" s="57"/>
      <c r="Y194" s="57"/>
      <c r="Z194" s="57"/>
      <c r="AA194" s="57"/>
      <c r="AB194" s="57"/>
      <c r="AC194" s="57"/>
      <c r="AD194" s="57"/>
      <c r="AE194" s="57"/>
      <c r="AF194" s="57"/>
      <c r="AG194" s="57"/>
      <c r="AH194" s="57"/>
      <c r="AI194" s="57"/>
      <c r="AJ194" s="57"/>
      <c r="AK194" s="57"/>
      <c r="AL194" s="57"/>
      <c r="AM194" s="57"/>
      <c r="AN194" s="57"/>
      <c r="AO194" s="57"/>
      <c r="AP194" s="57"/>
      <c r="AQ194" s="57"/>
      <c r="AR194" s="57"/>
      <c r="AS194" s="57"/>
      <c r="AT194" s="57"/>
      <c r="AU194" s="61"/>
      <c r="AV194" s="61"/>
      <c r="AW194" s="57"/>
      <c r="AX194" s="57"/>
      <c r="AY194" s="57"/>
      <c r="AZ194" s="61"/>
      <c r="BA194" s="57"/>
      <c r="BB194" s="57"/>
      <c r="BC194" s="61"/>
      <c r="BD194" s="61"/>
      <c r="BE194" s="61"/>
      <c r="BF194" s="57"/>
      <c r="BG194" s="57"/>
      <c r="BH194" s="57"/>
      <c r="BI194" s="61"/>
      <c r="BJ194" s="61"/>
      <c r="BK194" s="57"/>
      <c r="BL194" s="57"/>
      <c r="BM194" s="57"/>
      <c r="BN194" s="61"/>
      <c r="BO194" s="57"/>
      <c r="BP194" s="58"/>
      <c r="BQ194" s="61"/>
      <c r="BR194" s="61"/>
      <c r="BS194" s="57"/>
      <c r="BT194" s="61"/>
      <c r="BU194" s="61"/>
      <c r="BV194" s="61"/>
      <c r="BW194" s="61"/>
      <c r="BX194" s="61"/>
      <c r="BY194" s="61"/>
      <c r="BZ194" s="61"/>
      <c r="CA194" s="61"/>
      <c r="CB194" s="57"/>
      <c r="CC194" s="27"/>
      <c r="CD194" s="61"/>
      <c r="CE194" s="61"/>
      <c r="CF194" s="57"/>
      <c r="CG194" s="61"/>
      <c r="CH194" s="61"/>
      <c r="CI194" s="61"/>
      <c r="CJ194" s="57"/>
      <c r="CK194" s="61"/>
      <c r="CL194" s="61"/>
      <c r="CM194" s="61"/>
      <c r="CN194" s="61"/>
      <c r="CO194" s="61"/>
      <c r="CP194" s="61"/>
      <c r="CQ194" s="61"/>
      <c r="CR194" s="61"/>
      <c r="CS194" s="61"/>
      <c r="CT194" s="61"/>
      <c r="CU194" s="61"/>
      <c r="CV194" s="61"/>
      <c r="CW194" s="61"/>
      <c r="CX194" s="61"/>
      <c r="CY194" s="61"/>
      <c r="CZ194" s="61"/>
      <c r="DA194" s="61"/>
      <c r="DB194" s="61"/>
      <c r="DC194" s="61"/>
      <c r="DD194" s="61"/>
      <c r="DE194" s="61"/>
      <c r="DF194" s="61"/>
      <c r="DG194" s="61"/>
      <c r="DH194" s="61"/>
      <c r="DI194" s="61"/>
      <c r="DJ194" s="61"/>
      <c r="DK194" s="61"/>
      <c r="DL194" s="61"/>
      <c r="DM194" s="61"/>
      <c r="DN194" s="61"/>
      <c r="DO194" s="61"/>
      <c r="DP194" s="61"/>
      <c r="DQ194" s="156"/>
      <c r="DR194" s="156"/>
      <c r="DS194" s="156"/>
      <c r="DT194" s="156"/>
      <c r="DU194" s="156"/>
      <c r="DV194" s="156"/>
      <c r="DW194" s="156"/>
      <c r="DX194" s="156"/>
      <c r="DY194" s="156"/>
      <c r="DZ194" s="65"/>
      <c r="EA194" s="65"/>
      <c r="EB194" s="65"/>
      <c r="EC194" s="65"/>
      <c r="ED194" s="65"/>
      <c r="EE194" s="65"/>
      <c r="EF194" s="65"/>
      <c r="EG194" s="65"/>
    </row>
    <row r="195" spans="1:137" s="10" customFormat="1" ht="15.9" customHeight="1" outlineLevel="1" x14ac:dyDescent="0.3">
      <c r="A195" s="6"/>
      <c r="B195" s="6" t="s">
        <v>23</v>
      </c>
      <c r="C195" s="50" t="s">
        <v>44</v>
      </c>
      <c r="D195" s="147">
        <v>72.66</v>
      </c>
      <c r="E195" s="6" t="s">
        <v>376</v>
      </c>
      <c r="F195" s="6" t="s">
        <v>390</v>
      </c>
      <c r="G195" s="11" t="s">
        <v>391</v>
      </c>
      <c r="H195" s="11"/>
      <c r="I195" s="205" cm="1">
        <f t="array" ref="I195">IFERROR(LOOKUP(2,1/(N195:GR195&lt;&gt;""),N$4:DRA$4),"")</f>
        <v>45217</v>
      </c>
      <c r="J195" s="271" cm="1">
        <f t="array" ref="J195">IFERROR(_xlfn.XLOOKUP(TRUE,N195:EH195&lt;&gt;"",N195:EH195,,,-1)," ")</f>
        <v>27.3</v>
      </c>
      <c r="K195" s="49">
        <v>24</v>
      </c>
      <c r="L195" s="49">
        <v>24.5</v>
      </c>
      <c r="M195" s="284" t="s">
        <v>28</v>
      </c>
      <c r="N195" s="62"/>
      <c r="O195" s="62"/>
      <c r="P195" s="62"/>
      <c r="Q195" s="62"/>
      <c r="R195" s="62"/>
      <c r="S195" s="62"/>
      <c r="T195" s="62"/>
      <c r="U195" s="62"/>
      <c r="V195" s="62"/>
      <c r="W195" s="62"/>
      <c r="X195" s="62"/>
      <c r="Y195" s="62"/>
      <c r="Z195" s="62"/>
      <c r="AA195" s="62"/>
      <c r="AB195" s="62"/>
      <c r="AC195" s="62"/>
      <c r="AD195" s="62"/>
      <c r="AE195" s="62"/>
      <c r="AF195" s="62"/>
      <c r="AG195" s="62"/>
      <c r="AH195" s="62"/>
      <c r="AI195" s="62">
        <v>18</v>
      </c>
      <c r="AJ195" s="62"/>
      <c r="AK195" s="62"/>
      <c r="AL195" s="62"/>
      <c r="AM195" s="62"/>
      <c r="AN195" s="62"/>
      <c r="AO195" s="62"/>
      <c r="AP195" s="62">
        <v>19.899999999999999</v>
      </c>
      <c r="AQ195" s="62"/>
      <c r="AR195" s="62"/>
      <c r="AS195" s="62"/>
      <c r="AT195" s="62"/>
      <c r="AU195" s="63"/>
      <c r="AV195" s="63"/>
      <c r="AW195" s="62"/>
      <c r="AX195" s="62"/>
      <c r="AY195" s="62"/>
      <c r="AZ195" s="63">
        <v>21.6</v>
      </c>
      <c r="BA195" s="62"/>
      <c r="BB195" s="62"/>
      <c r="BC195" s="63"/>
      <c r="BD195" s="63"/>
      <c r="BE195" s="63"/>
      <c r="BF195" s="62"/>
      <c r="BG195" s="62"/>
      <c r="BH195" s="62"/>
      <c r="BI195" s="63"/>
      <c r="BJ195" s="63"/>
      <c r="BK195" s="62"/>
      <c r="BL195" s="62"/>
      <c r="BM195" s="62"/>
      <c r="BN195" s="159">
        <v>22.9</v>
      </c>
      <c r="BO195" s="62"/>
      <c r="BP195" s="64"/>
      <c r="BQ195" s="63"/>
      <c r="BR195" s="63"/>
      <c r="BS195" s="62"/>
      <c r="BT195" s="63"/>
      <c r="BU195" s="63"/>
      <c r="BV195" s="63"/>
      <c r="BW195" s="63"/>
      <c r="BX195" s="63"/>
      <c r="BY195" s="63"/>
      <c r="BZ195" s="63">
        <v>24.8</v>
      </c>
      <c r="CA195" s="63"/>
      <c r="CB195" s="64">
        <v>23.7</v>
      </c>
      <c r="CC195" s="51"/>
      <c r="CD195" s="63"/>
      <c r="CE195" s="63"/>
      <c r="CF195" s="62"/>
      <c r="CG195" s="63"/>
      <c r="CH195" s="63"/>
      <c r="CI195" s="63"/>
      <c r="CJ195" s="62"/>
      <c r="CK195" s="63"/>
      <c r="CL195" s="63"/>
      <c r="CM195" s="63"/>
      <c r="CN195" s="63"/>
      <c r="CO195" s="63"/>
      <c r="CP195" s="63"/>
      <c r="CQ195" s="63"/>
      <c r="CR195" s="63">
        <v>27.3</v>
      </c>
      <c r="CS195" s="63"/>
      <c r="CT195" s="63"/>
      <c r="CU195" s="63"/>
      <c r="CV195" s="63"/>
      <c r="CW195" s="63"/>
      <c r="CX195" s="63"/>
      <c r="CY195" s="63"/>
      <c r="CZ195" s="63"/>
      <c r="DA195" s="63"/>
      <c r="DB195" s="63"/>
      <c r="DC195" s="63"/>
      <c r="DD195" s="63"/>
      <c r="DE195" s="63"/>
      <c r="DF195" s="63"/>
      <c r="DG195" s="63"/>
      <c r="DH195" s="63"/>
      <c r="DI195" s="63"/>
      <c r="DJ195" s="63"/>
      <c r="DK195" s="63"/>
      <c r="DL195" s="63"/>
      <c r="DM195" s="63"/>
      <c r="DN195" s="63"/>
      <c r="DO195" s="63"/>
      <c r="DP195" s="63"/>
      <c r="DQ195" s="158"/>
      <c r="DR195" s="158"/>
      <c r="DS195" s="158"/>
      <c r="DT195" s="158"/>
      <c r="DU195" s="158"/>
      <c r="DV195" s="158"/>
      <c r="DW195" s="158"/>
      <c r="DX195" s="158"/>
      <c r="DY195" s="158"/>
      <c r="DZ195" s="59"/>
      <c r="EA195" s="59"/>
      <c r="EB195" s="59"/>
      <c r="EC195" s="59"/>
      <c r="ED195" s="59"/>
      <c r="EE195" s="59"/>
      <c r="EF195" s="59"/>
      <c r="EG195" s="59"/>
    </row>
    <row r="196" spans="1:137" s="10" customFormat="1" ht="15.9" customHeight="1" outlineLevel="1" x14ac:dyDescent="0.3">
      <c r="A196" s="6" t="s">
        <v>22</v>
      </c>
      <c r="B196" s="6" t="s">
        <v>23</v>
      </c>
      <c r="C196" s="50" t="s">
        <v>44</v>
      </c>
      <c r="D196" s="147"/>
      <c r="E196" s="6" t="s">
        <v>376</v>
      </c>
      <c r="F196" s="6" t="s">
        <v>390</v>
      </c>
      <c r="G196" s="11" t="s">
        <v>392</v>
      </c>
      <c r="H196" s="11"/>
      <c r="I196" s="205" cm="1">
        <f t="array" ref="I196">IFERROR(LOOKUP(2,1/(N196:GR196&lt;&gt;""),N$4:DRA$4),"")</f>
        <v>45173</v>
      </c>
      <c r="J196" s="170" cm="1">
        <f t="array" ref="J196">IFERROR(_xlfn.XLOOKUP(TRUE,N196:EH196&lt;&gt;"",N196:EH196,,,-1)," ")</f>
        <v>22.2</v>
      </c>
      <c r="K196" s="49">
        <v>24</v>
      </c>
      <c r="L196" s="49">
        <v>24.5</v>
      </c>
      <c r="M196" s="284" t="s">
        <v>28</v>
      </c>
      <c r="N196" s="62"/>
      <c r="O196" s="62"/>
      <c r="P196" s="62"/>
      <c r="Q196" s="62"/>
      <c r="R196" s="62"/>
      <c r="S196" s="62"/>
      <c r="T196" s="62"/>
      <c r="U196" s="62"/>
      <c r="V196" s="62"/>
      <c r="W196" s="62"/>
      <c r="X196" s="62"/>
      <c r="Y196" s="62"/>
      <c r="Z196" s="62"/>
      <c r="AA196" s="62"/>
      <c r="AB196" s="62"/>
      <c r="AC196" s="62"/>
      <c r="AD196" s="62"/>
      <c r="AE196" s="62"/>
      <c r="AF196" s="62"/>
      <c r="AG196" s="62"/>
      <c r="AH196" s="62"/>
      <c r="AI196" s="62">
        <v>19.100000000000001</v>
      </c>
      <c r="AJ196" s="62"/>
      <c r="AK196" s="62"/>
      <c r="AL196" s="62"/>
      <c r="AM196" s="62"/>
      <c r="AN196" s="62"/>
      <c r="AO196" s="62"/>
      <c r="AP196" s="62">
        <v>20.399999999999999</v>
      </c>
      <c r="AQ196" s="62"/>
      <c r="AR196" s="62"/>
      <c r="AS196" s="62"/>
      <c r="AT196" s="62"/>
      <c r="AU196" s="63"/>
      <c r="AV196" s="63"/>
      <c r="AW196" s="62"/>
      <c r="AX196" s="62"/>
      <c r="AY196" s="62"/>
      <c r="AZ196" s="63">
        <v>22.2</v>
      </c>
      <c r="BA196" s="62"/>
      <c r="BB196" s="62"/>
      <c r="BC196" s="63"/>
      <c r="BD196" s="63"/>
      <c r="BE196" s="63"/>
      <c r="BF196" s="62"/>
      <c r="BG196" s="62"/>
      <c r="BH196" s="62"/>
      <c r="BI196" s="63"/>
      <c r="BJ196" s="63"/>
      <c r="BK196" s="62"/>
      <c r="BL196" s="62"/>
      <c r="BM196" s="62"/>
      <c r="BN196" s="63"/>
      <c r="BO196" s="62"/>
      <c r="BP196" s="64"/>
      <c r="BQ196" s="63"/>
      <c r="BR196" s="63"/>
      <c r="BS196" s="62"/>
      <c r="BT196" s="63"/>
      <c r="BU196" s="63"/>
      <c r="BV196" s="63"/>
      <c r="BW196" s="63"/>
      <c r="BX196" s="63"/>
      <c r="BY196" s="63"/>
      <c r="BZ196" s="63"/>
      <c r="CA196" s="63"/>
      <c r="CB196" s="62"/>
      <c r="CC196" s="51"/>
      <c r="CD196" s="63"/>
      <c r="CE196" s="63"/>
      <c r="CF196" s="62"/>
      <c r="CG196" s="63"/>
      <c r="CH196" s="63"/>
      <c r="CI196" s="63"/>
      <c r="CJ196" s="62"/>
      <c r="CK196" s="63"/>
      <c r="CL196" s="63"/>
      <c r="CM196" s="63"/>
      <c r="CN196" s="63"/>
      <c r="CO196" s="63"/>
      <c r="CP196" s="63"/>
      <c r="CQ196" s="63"/>
      <c r="CR196" s="63"/>
      <c r="CS196" s="63"/>
      <c r="CT196" s="63"/>
      <c r="CU196" s="63"/>
      <c r="CV196" s="63"/>
      <c r="CW196" s="63"/>
      <c r="CX196" s="63"/>
      <c r="CY196" s="63"/>
      <c r="CZ196" s="63"/>
      <c r="DA196" s="63"/>
      <c r="DB196" s="63"/>
      <c r="DC196" s="63"/>
      <c r="DD196" s="63"/>
      <c r="DE196" s="63"/>
      <c r="DF196" s="63"/>
      <c r="DG196" s="63"/>
      <c r="DH196" s="63"/>
      <c r="DI196" s="63"/>
      <c r="DJ196" s="63"/>
      <c r="DK196" s="63"/>
      <c r="DL196" s="63"/>
      <c r="DM196" s="63"/>
      <c r="DN196" s="63"/>
      <c r="DO196" s="63"/>
      <c r="DP196" s="63"/>
      <c r="DQ196" s="158"/>
      <c r="DR196" s="158"/>
      <c r="DS196" s="158"/>
      <c r="DT196" s="158"/>
      <c r="DU196" s="158"/>
      <c r="DV196" s="158"/>
      <c r="DW196" s="158"/>
      <c r="DX196" s="158"/>
      <c r="DY196" s="158"/>
      <c r="DZ196" s="65"/>
      <c r="EA196" s="65"/>
      <c r="EB196" s="65"/>
      <c r="EC196" s="65"/>
      <c r="ED196" s="65"/>
      <c r="EE196" s="65"/>
      <c r="EF196" s="65"/>
      <c r="EG196" s="65"/>
    </row>
    <row r="197" spans="1:137" s="5" customFormat="1" ht="15.9" customHeight="1" outlineLevel="1" x14ac:dyDescent="0.3">
      <c r="A197" s="6" t="s">
        <v>22</v>
      </c>
      <c r="B197" s="6"/>
      <c r="C197" s="50" t="s">
        <v>44</v>
      </c>
      <c r="D197" s="147">
        <v>38.44</v>
      </c>
      <c r="E197" s="6" t="s">
        <v>376</v>
      </c>
      <c r="F197" s="6" t="s">
        <v>393</v>
      </c>
      <c r="G197" s="11" t="s">
        <v>394</v>
      </c>
      <c r="H197" s="11"/>
      <c r="I197" s="205" cm="1">
        <f t="array" ref="I197">IFERROR(LOOKUP(2,1/(N197:GR197&lt;&gt;""),N$4:DRA$4),"")</f>
        <v>45202</v>
      </c>
      <c r="J197" s="170" cm="1">
        <f t="array" ref="J197">IFERROR(_xlfn.XLOOKUP(TRUE,N197:EH197&lt;&gt;"",N197:EH197,,,-1)," ")</f>
        <v>24.1</v>
      </c>
      <c r="K197" s="49">
        <v>24</v>
      </c>
      <c r="L197" s="49"/>
      <c r="M197" s="284" t="s">
        <v>151</v>
      </c>
      <c r="N197" s="62"/>
      <c r="O197" s="62"/>
      <c r="P197" s="62"/>
      <c r="Q197" s="62"/>
      <c r="R197" s="62"/>
      <c r="S197" s="62"/>
      <c r="T197" s="62"/>
      <c r="U197" s="62"/>
      <c r="V197" s="62"/>
      <c r="W197" s="62"/>
      <c r="X197" s="62"/>
      <c r="Y197" s="62"/>
      <c r="Z197" s="62"/>
      <c r="AA197" s="62"/>
      <c r="AB197" s="62"/>
      <c r="AC197" s="62"/>
      <c r="AD197" s="62"/>
      <c r="AE197" s="62"/>
      <c r="AF197" s="62"/>
      <c r="AG197" s="62"/>
      <c r="AH197" s="62"/>
      <c r="AI197" s="62"/>
      <c r="AJ197" s="62"/>
      <c r="AK197" s="62"/>
      <c r="AL197" s="62"/>
      <c r="AM197" s="62"/>
      <c r="AN197" s="62"/>
      <c r="AO197" s="62"/>
      <c r="AP197" s="62"/>
      <c r="AQ197" s="62"/>
      <c r="AR197" s="62"/>
      <c r="AS197" s="62"/>
      <c r="AT197" s="62"/>
      <c r="AU197" s="63"/>
      <c r="AV197" s="63"/>
      <c r="AW197" s="62"/>
      <c r="AX197" s="62"/>
      <c r="AY197" s="62"/>
      <c r="AZ197" s="63"/>
      <c r="BA197" s="62"/>
      <c r="BB197" s="62"/>
      <c r="BC197" s="63"/>
      <c r="BD197" s="63"/>
      <c r="BE197" s="63"/>
      <c r="BF197" s="62"/>
      <c r="BG197" s="62"/>
      <c r="BH197" s="62"/>
      <c r="BI197" s="63"/>
      <c r="BJ197" s="63"/>
      <c r="BK197" s="62"/>
      <c r="BL197" s="62"/>
      <c r="BM197" s="62"/>
      <c r="BN197" s="63"/>
      <c r="BO197" s="62"/>
      <c r="BP197" s="64"/>
      <c r="BQ197" s="63"/>
      <c r="BR197" s="62"/>
      <c r="BS197" s="62"/>
      <c r="BT197" s="62"/>
      <c r="BU197" s="62"/>
      <c r="BV197" s="62"/>
      <c r="BW197" s="62"/>
      <c r="BX197" s="62"/>
      <c r="BY197" s="62"/>
      <c r="BZ197" s="62"/>
      <c r="CA197" s="62"/>
      <c r="CB197" s="62"/>
      <c r="CC197" s="51">
        <v>24.1</v>
      </c>
      <c r="CD197" s="63"/>
      <c r="CE197" s="63"/>
      <c r="CF197" s="62"/>
      <c r="CG197" s="62"/>
      <c r="CH197" s="63"/>
      <c r="CI197" s="63"/>
      <c r="CJ197" s="62"/>
      <c r="CK197" s="63"/>
      <c r="CL197" s="63"/>
      <c r="CM197" s="63"/>
      <c r="CN197" s="63"/>
      <c r="CO197" s="63"/>
      <c r="CP197" s="63"/>
      <c r="CQ197" s="63"/>
      <c r="CR197" s="63"/>
      <c r="CS197" s="63"/>
      <c r="CT197" s="63"/>
      <c r="CU197" s="63"/>
      <c r="CV197" s="63"/>
      <c r="CW197" s="63"/>
      <c r="CX197" s="63"/>
      <c r="CY197" s="63"/>
      <c r="CZ197" s="63"/>
      <c r="DA197" s="63"/>
      <c r="DB197" s="63"/>
      <c r="DC197" s="63"/>
      <c r="DD197" s="63"/>
      <c r="DE197" s="63"/>
      <c r="DF197" s="63"/>
      <c r="DG197" s="63"/>
      <c r="DH197" s="63"/>
      <c r="DI197" s="63"/>
      <c r="DJ197" s="63"/>
      <c r="DK197" s="63"/>
      <c r="DL197" s="63"/>
      <c r="DM197" s="63"/>
      <c r="DN197" s="63"/>
      <c r="DO197" s="63"/>
      <c r="DP197" s="63"/>
      <c r="DQ197" s="158"/>
      <c r="DR197" s="158"/>
      <c r="DS197" s="158"/>
      <c r="DT197" s="158"/>
      <c r="DU197" s="158"/>
      <c r="DV197" s="158"/>
      <c r="DW197" s="158"/>
      <c r="DX197" s="158"/>
      <c r="DY197" s="158"/>
      <c r="DZ197" s="65"/>
      <c r="EA197" s="65"/>
      <c r="EB197" s="65"/>
      <c r="EC197" s="65"/>
      <c r="ED197" s="65"/>
      <c r="EE197" s="65"/>
      <c r="EF197" s="65"/>
      <c r="EG197" s="65"/>
    </row>
    <row r="198" spans="1:137" s="10" customFormat="1" ht="15.9" customHeight="1" outlineLevel="1" x14ac:dyDescent="0.3">
      <c r="A198" s="7" t="s">
        <v>22</v>
      </c>
      <c r="B198" s="7"/>
      <c r="C198" s="8" t="s">
        <v>44</v>
      </c>
      <c r="D198" s="146">
        <v>43.28</v>
      </c>
      <c r="E198" s="7" t="s">
        <v>376</v>
      </c>
      <c r="F198" s="7" t="s">
        <v>395</v>
      </c>
      <c r="G198" s="9" t="s">
        <v>396</v>
      </c>
      <c r="H198" s="9"/>
      <c r="I198" s="204" cm="1">
        <f t="array" ref="I198">IFERROR(LOOKUP(2,1/(N198:GR198&lt;&gt;""),N$4:DRA$4),"")</f>
        <v>45202</v>
      </c>
      <c r="J198" s="169" cm="1">
        <f t="array" ref="J198">IFERROR(_xlfn.XLOOKUP(TRUE,N198:EH198&lt;&gt;"",N198:EH198,,,-1)," ")</f>
        <v>24.3</v>
      </c>
      <c r="K198" s="45">
        <v>24</v>
      </c>
      <c r="L198" s="45"/>
      <c r="M198" s="282" t="s">
        <v>151</v>
      </c>
      <c r="N198" s="57"/>
      <c r="O198" s="57"/>
      <c r="P198" s="57"/>
      <c r="Q198" s="57"/>
      <c r="R198" s="57"/>
      <c r="S198" s="57"/>
      <c r="T198" s="57"/>
      <c r="U198" s="57"/>
      <c r="V198" s="57"/>
      <c r="W198" s="57"/>
      <c r="X198" s="57"/>
      <c r="Y198" s="57"/>
      <c r="Z198" s="57"/>
      <c r="AA198" s="57"/>
      <c r="AB198" s="57"/>
      <c r="AC198" s="57"/>
      <c r="AD198" s="57"/>
      <c r="AE198" s="57"/>
      <c r="AF198" s="57"/>
      <c r="AG198" s="57"/>
      <c r="AH198" s="57"/>
      <c r="AI198" s="57"/>
      <c r="AJ198" s="57"/>
      <c r="AK198" s="57"/>
      <c r="AL198" s="57"/>
      <c r="AM198" s="57"/>
      <c r="AN198" s="57"/>
      <c r="AO198" s="57"/>
      <c r="AP198" s="57"/>
      <c r="AQ198" s="57"/>
      <c r="AR198" s="57"/>
      <c r="AS198" s="57"/>
      <c r="AT198" s="57"/>
      <c r="AU198" s="61"/>
      <c r="AV198" s="61"/>
      <c r="AW198" s="57"/>
      <c r="AX198" s="57"/>
      <c r="AY198" s="57"/>
      <c r="AZ198" s="61"/>
      <c r="BA198" s="57"/>
      <c r="BB198" s="57"/>
      <c r="BC198" s="61"/>
      <c r="BD198" s="61"/>
      <c r="BE198" s="61"/>
      <c r="BF198" s="57"/>
      <c r="BG198" s="57"/>
      <c r="BH198" s="57"/>
      <c r="BI198" s="61"/>
      <c r="BJ198" s="61"/>
      <c r="BK198" s="57"/>
      <c r="BL198" s="57"/>
      <c r="BM198" s="57"/>
      <c r="BN198" s="61"/>
      <c r="BO198" s="57"/>
      <c r="BP198" s="58"/>
      <c r="BQ198" s="61"/>
      <c r="BR198" s="57"/>
      <c r="BS198" s="57"/>
      <c r="BT198" s="57"/>
      <c r="BU198" s="57"/>
      <c r="BV198" s="57"/>
      <c r="BW198" s="57"/>
      <c r="BX198" s="57"/>
      <c r="BY198" s="57"/>
      <c r="BZ198" s="57"/>
      <c r="CA198" s="57"/>
      <c r="CB198" s="57"/>
      <c r="CC198" s="27">
        <v>24.3</v>
      </c>
      <c r="CD198" s="61"/>
      <c r="CE198" s="61"/>
      <c r="CF198" s="57"/>
      <c r="CG198" s="57"/>
      <c r="CH198" s="61"/>
      <c r="CI198" s="61"/>
      <c r="CJ198" s="57"/>
      <c r="CK198" s="61"/>
      <c r="CL198" s="61"/>
      <c r="CM198" s="61"/>
      <c r="CN198" s="61"/>
      <c r="CO198" s="61"/>
      <c r="CP198" s="61"/>
      <c r="CQ198" s="61"/>
      <c r="CR198" s="61"/>
      <c r="CS198" s="61"/>
      <c r="CT198" s="61"/>
      <c r="CU198" s="61"/>
      <c r="CV198" s="61"/>
      <c r="CW198" s="61"/>
      <c r="CX198" s="61"/>
      <c r="CY198" s="61"/>
      <c r="CZ198" s="61"/>
      <c r="DA198" s="61"/>
      <c r="DB198" s="61"/>
      <c r="DC198" s="61"/>
      <c r="DD198" s="61"/>
      <c r="DE198" s="61"/>
      <c r="DF198" s="61"/>
      <c r="DG198" s="61"/>
      <c r="DH198" s="61"/>
      <c r="DI198" s="61"/>
      <c r="DJ198" s="61"/>
      <c r="DK198" s="61"/>
      <c r="DL198" s="61"/>
      <c r="DM198" s="61"/>
      <c r="DN198" s="61"/>
      <c r="DO198" s="61"/>
      <c r="DP198" s="61"/>
      <c r="DQ198" s="156"/>
      <c r="DR198" s="156"/>
      <c r="DS198" s="156"/>
      <c r="DT198" s="156"/>
      <c r="DU198" s="156"/>
      <c r="DV198" s="156"/>
      <c r="DW198" s="156"/>
      <c r="DX198" s="156"/>
      <c r="DY198" s="156"/>
      <c r="DZ198" s="59"/>
      <c r="EA198" s="59"/>
      <c r="EB198" s="59"/>
      <c r="EC198" s="59"/>
      <c r="ED198" s="59"/>
      <c r="EE198" s="59"/>
      <c r="EF198" s="59"/>
      <c r="EG198" s="59"/>
    </row>
    <row r="199" spans="1:137" s="5" customFormat="1" ht="15.9" customHeight="1" outlineLevel="1" x14ac:dyDescent="0.3">
      <c r="A199" s="6" t="s">
        <v>22</v>
      </c>
      <c r="B199" s="6"/>
      <c r="C199" s="50" t="s">
        <v>44</v>
      </c>
      <c r="D199" s="147">
        <v>61.29</v>
      </c>
      <c r="E199" s="6" t="s">
        <v>376</v>
      </c>
      <c r="F199" s="6" t="s">
        <v>397</v>
      </c>
      <c r="G199" s="11" t="s">
        <v>398</v>
      </c>
      <c r="H199" s="11"/>
      <c r="I199" s="205" cm="1">
        <f t="array" ref="I199">IFERROR(LOOKUP(2,1/(N199:GR199&lt;&gt;""),N$4:DRA$4),"")</f>
        <v>45187</v>
      </c>
      <c r="J199" s="170" cm="1">
        <f t="array" ref="J199">IFERROR(_xlfn.XLOOKUP(TRUE,N199:EH199&lt;&gt;"",N199:EH199,,,-1)," ")</f>
        <v>24.2</v>
      </c>
      <c r="K199" s="49">
        <v>24</v>
      </c>
      <c r="L199" s="49"/>
      <c r="M199" s="284" t="s">
        <v>151</v>
      </c>
      <c r="N199" s="62"/>
      <c r="O199" s="62"/>
      <c r="P199" s="62"/>
      <c r="Q199" s="62"/>
      <c r="R199" s="62"/>
      <c r="S199" s="62"/>
      <c r="T199" s="62"/>
      <c r="U199" s="62"/>
      <c r="V199" s="62"/>
      <c r="W199" s="62"/>
      <c r="X199" s="62"/>
      <c r="Y199" s="62"/>
      <c r="Z199" s="62"/>
      <c r="AA199" s="62"/>
      <c r="AB199" s="62"/>
      <c r="AC199" s="62"/>
      <c r="AD199" s="62"/>
      <c r="AE199" s="62"/>
      <c r="AF199" s="62"/>
      <c r="AG199" s="62"/>
      <c r="AH199" s="62"/>
      <c r="AI199" s="62"/>
      <c r="AJ199" s="62"/>
      <c r="AK199" s="62"/>
      <c r="AL199" s="62"/>
      <c r="AM199" s="62"/>
      <c r="AN199" s="62"/>
      <c r="AO199" s="62"/>
      <c r="AP199" s="62"/>
      <c r="AQ199" s="62"/>
      <c r="AR199" s="62"/>
      <c r="AS199" s="62"/>
      <c r="AT199" s="62"/>
      <c r="AU199" s="63"/>
      <c r="AV199" s="63"/>
      <c r="AW199" s="62"/>
      <c r="AX199" s="62"/>
      <c r="AY199" s="62"/>
      <c r="AZ199" s="63"/>
      <c r="BA199" s="62"/>
      <c r="BB199" s="62"/>
      <c r="BC199" s="63"/>
      <c r="BD199" s="63"/>
      <c r="BE199" s="63"/>
      <c r="BF199" s="62"/>
      <c r="BG199" s="62"/>
      <c r="BH199" s="62">
        <v>23.8</v>
      </c>
      <c r="BI199" s="63"/>
      <c r="BJ199" s="63"/>
      <c r="BK199" s="62"/>
      <c r="BL199" s="62"/>
      <c r="BM199" s="62"/>
      <c r="BN199" s="63">
        <v>24.2</v>
      </c>
      <c r="BO199" s="62"/>
      <c r="BP199" s="64"/>
      <c r="BQ199" s="63"/>
      <c r="BR199" s="62"/>
      <c r="BS199" s="62"/>
      <c r="BT199" s="62"/>
      <c r="BU199" s="62"/>
      <c r="BV199" s="62"/>
      <c r="BW199" s="62"/>
      <c r="BX199" s="62"/>
      <c r="BY199" s="62"/>
      <c r="BZ199" s="62"/>
      <c r="CA199" s="62"/>
      <c r="CB199" s="62"/>
      <c r="CC199" s="51"/>
      <c r="CD199" s="63"/>
      <c r="CE199" s="63"/>
      <c r="CF199" s="62"/>
      <c r="CG199" s="63"/>
      <c r="CH199" s="63"/>
      <c r="CI199" s="63"/>
      <c r="CJ199" s="62"/>
      <c r="CK199" s="63"/>
      <c r="CL199" s="63"/>
      <c r="CM199" s="63"/>
      <c r="CN199" s="63"/>
      <c r="CO199" s="63"/>
      <c r="CP199" s="63"/>
      <c r="CQ199" s="63"/>
      <c r="CR199" s="63"/>
      <c r="CS199" s="63"/>
      <c r="CT199" s="63"/>
      <c r="CU199" s="63"/>
      <c r="CV199" s="63"/>
      <c r="CW199" s="63"/>
      <c r="CX199" s="63"/>
      <c r="CY199" s="63"/>
      <c r="CZ199" s="63"/>
      <c r="DA199" s="63"/>
      <c r="DB199" s="63"/>
      <c r="DC199" s="63"/>
      <c r="DD199" s="63"/>
      <c r="DE199" s="63"/>
      <c r="DF199" s="63"/>
      <c r="DG199" s="63"/>
      <c r="DH199" s="63"/>
      <c r="DI199" s="63"/>
      <c r="DJ199" s="63"/>
      <c r="DK199" s="63"/>
      <c r="DL199" s="63"/>
      <c r="DM199" s="63"/>
      <c r="DN199" s="63"/>
      <c r="DO199" s="63"/>
      <c r="DP199" s="63"/>
      <c r="DQ199" s="158"/>
      <c r="DR199" s="158"/>
      <c r="DS199" s="158"/>
      <c r="DT199" s="158"/>
      <c r="DU199" s="158"/>
      <c r="DV199" s="158"/>
      <c r="DW199" s="158"/>
      <c r="DX199" s="158"/>
      <c r="DY199" s="158"/>
      <c r="DZ199" s="65"/>
      <c r="EA199" s="65"/>
      <c r="EB199" s="65"/>
      <c r="EC199" s="65"/>
      <c r="ED199" s="65"/>
      <c r="EE199" s="65"/>
      <c r="EF199" s="65"/>
      <c r="EG199" s="65"/>
    </row>
    <row r="200" spans="1:137" s="5" customFormat="1" ht="15.9" customHeight="1" outlineLevel="1" x14ac:dyDescent="0.3">
      <c r="A200" s="6" t="s">
        <v>22</v>
      </c>
      <c r="B200" s="6"/>
      <c r="C200" s="50" t="s">
        <v>44</v>
      </c>
      <c r="D200" s="147">
        <v>61.29</v>
      </c>
      <c r="E200" s="6" t="s">
        <v>376</v>
      </c>
      <c r="F200" s="6" t="s">
        <v>397</v>
      </c>
      <c r="G200" s="11" t="s">
        <v>399</v>
      </c>
      <c r="H200" s="11"/>
      <c r="I200" s="205" cm="1">
        <f t="array" ref="I200">IFERROR(LOOKUP(2,1/(N200:GR200&lt;&gt;""),N$4:DRA$4),"")</f>
        <v>45187</v>
      </c>
      <c r="J200" s="170" cm="1">
        <f t="array" ref="J200">IFERROR(_xlfn.XLOOKUP(TRUE,N200:EH200&lt;&gt;"",N200:EH200,,,-1)," ")</f>
        <v>23.9</v>
      </c>
      <c r="K200" s="49">
        <v>24</v>
      </c>
      <c r="L200" s="49"/>
      <c r="M200" s="284" t="s">
        <v>151</v>
      </c>
      <c r="N200" s="62"/>
      <c r="O200" s="62"/>
      <c r="P200" s="62"/>
      <c r="Q200" s="62"/>
      <c r="R200" s="62"/>
      <c r="S200" s="62"/>
      <c r="T200" s="62"/>
      <c r="U200" s="62"/>
      <c r="V200" s="62"/>
      <c r="W200" s="62"/>
      <c r="X200" s="62"/>
      <c r="Y200" s="62"/>
      <c r="Z200" s="62"/>
      <c r="AA200" s="62"/>
      <c r="AB200" s="62"/>
      <c r="AC200" s="62"/>
      <c r="AD200" s="62"/>
      <c r="AE200" s="62"/>
      <c r="AF200" s="62"/>
      <c r="AG200" s="62"/>
      <c r="AH200" s="62"/>
      <c r="AI200" s="62"/>
      <c r="AJ200" s="62"/>
      <c r="AK200" s="62"/>
      <c r="AL200" s="62"/>
      <c r="AM200" s="62"/>
      <c r="AN200" s="62"/>
      <c r="AO200" s="62"/>
      <c r="AP200" s="62"/>
      <c r="AQ200" s="62"/>
      <c r="AR200" s="62"/>
      <c r="AS200" s="62"/>
      <c r="AT200" s="62"/>
      <c r="AU200" s="63"/>
      <c r="AV200" s="63"/>
      <c r="AW200" s="62"/>
      <c r="AX200" s="62"/>
      <c r="AY200" s="62"/>
      <c r="AZ200" s="63"/>
      <c r="BA200" s="62"/>
      <c r="BB200" s="62"/>
      <c r="BC200" s="63"/>
      <c r="BD200" s="63"/>
      <c r="BE200" s="63"/>
      <c r="BF200" s="62"/>
      <c r="BG200" s="62"/>
      <c r="BH200" s="62">
        <v>24.2</v>
      </c>
      <c r="BI200" s="63"/>
      <c r="BJ200" s="63"/>
      <c r="BK200" s="62"/>
      <c r="BL200" s="62"/>
      <c r="BM200" s="62"/>
      <c r="BN200" s="63">
        <v>23.9</v>
      </c>
      <c r="BO200" s="62"/>
      <c r="BP200" s="64"/>
      <c r="BQ200" s="63"/>
      <c r="BR200" s="62"/>
      <c r="BS200" s="62"/>
      <c r="BT200" s="62"/>
      <c r="BU200" s="62"/>
      <c r="BV200" s="62"/>
      <c r="BW200" s="62"/>
      <c r="BX200" s="62"/>
      <c r="BY200" s="62"/>
      <c r="BZ200" s="62"/>
      <c r="CA200" s="62"/>
      <c r="CB200" s="62"/>
      <c r="CC200" s="51"/>
      <c r="CD200" s="63"/>
      <c r="CE200" s="63"/>
      <c r="CF200" s="62"/>
      <c r="CG200" s="63"/>
      <c r="CH200" s="63"/>
      <c r="CI200" s="63"/>
      <c r="CJ200" s="62"/>
      <c r="CK200" s="63"/>
      <c r="CL200" s="63"/>
      <c r="CM200" s="63"/>
      <c r="CN200" s="63"/>
      <c r="CO200" s="63"/>
      <c r="CP200" s="63"/>
      <c r="CQ200" s="63"/>
      <c r="CR200" s="63"/>
      <c r="CS200" s="63"/>
      <c r="CT200" s="63"/>
      <c r="CU200" s="63"/>
      <c r="CV200" s="63"/>
      <c r="CW200" s="63"/>
      <c r="CX200" s="63"/>
      <c r="CY200" s="63"/>
      <c r="CZ200" s="63"/>
      <c r="DA200" s="63"/>
      <c r="DB200" s="63"/>
      <c r="DC200" s="63"/>
      <c r="DD200" s="63"/>
      <c r="DE200" s="63"/>
      <c r="DF200" s="63"/>
      <c r="DG200" s="63"/>
      <c r="DH200" s="63"/>
      <c r="DI200" s="63"/>
      <c r="DJ200" s="63"/>
      <c r="DK200" s="63"/>
      <c r="DL200" s="63"/>
      <c r="DM200" s="63"/>
      <c r="DN200" s="63"/>
      <c r="DO200" s="63"/>
      <c r="DP200" s="63"/>
      <c r="DQ200" s="158"/>
      <c r="DR200" s="158"/>
      <c r="DS200" s="158"/>
      <c r="DT200" s="158"/>
      <c r="DU200" s="158"/>
      <c r="DV200" s="158"/>
      <c r="DW200" s="158"/>
      <c r="DX200" s="158"/>
      <c r="DY200" s="158"/>
      <c r="DZ200" s="65"/>
      <c r="EA200" s="65"/>
      <c r="EB200" s="65"/>
      <c r="EC200" s="65"/>
      <c r="ED200" s="65"/>
      <c r="EE200" s="65"/>
      <c r="EF200" s="65"/>
      <c r="EG200" s="65"/>
    </row>
    <row r="201" spans="1:137" s="10" customFormat="1" ht="15.9" customHeight="1" outlineLevel="1" x14ac:dyDescent="0.3">
      <c r="A201" s="7" t="s">
        <v>23</v>
      </c>
      <c r="B201" s="7"/>
      <c r="C201" s="8" t="s">
        <v>44</v>
      </c>
      <c r="D201" s="146">
        <v>67.8</v>
      </c>
      <c r="E201" s="7" t="s">
        <v>376</v>
      </c>
      <c r="F201" s="7" t="s">
        <v>400</v>
      </c>
      <c r="G201" s="9" t="s">
        <v>401</v>
      </c>
      <c r="H201" s="9"/>
      <c r="I201" s="204" cm="1">
        <f t="array" ref="I201">IFERROR(LOOKUP(2,1/(N201:GR201&lt;&gt;""),N$4:DRA$4),"")</f>
        <v>45202</v>
      </c>
      <c r="J201" s="169" cm="1">
        <f t="array" ref="J201">IFERROR(_xlfn.XLOOKUP(TRUE,N201:EH201&lt;&gt;"",N201:EH201,,,-1)," ")</f>
        <v>24.3</v>
      </c>
      <c r="K201" s="45">
        <v>23</v>
      </c>
      <c r="L201" s="45"/>
      <c r="M201" s="282" t="s">
        <v>151</v>
      </c>
      <c r="N201" s="57"/>
      <c r="O201" s="57"/>
      <c r="P201" s="57"/>
      <c r="Q201" s="57"/>
      <c r="R201" s="57"/>
      <c r="S201" s="57"/>
      <c r="T201" s="57"/>
      <c r="U201" s="57"/>
      <c r="V201" s="57"/>
      <c r="W201" s="57"/>
      <c r="X201" s="57"/>
      <c r="Y201" s="57"/>
      <c r="Z201" s="57"/>
      <c r="AA201" s="57"/>
      <c r="AB201" s="57"/>
      <c r="AC201" s="57"/>
      <c r="AD201" s="57"/>
      <c r="AE201" s="57"/>
      <c r="AF201" s="57"/>
      <c r="AG201" s="57"/>
      <c r="AH201" s="57"/>
      <c r="AI201" s="57"/>
      <c r="AJ201" s="57"/>
      <c r="AK201" s="57"/>
      <c r="AL201" s="57"/>
      <c r="AM201" s="57"/>
      <c r="AN201" s="57"/>
      <c r="AO201" s="57"/>
      <c r="AP201" s="57"/>
      <c r="AQ201" s="57"/>
      <c r="AR201" s="57"/>
      <c r="AS201" s="57"/>
      <c r="AT201" s="57"/>
      <c r="AU201" s="61"/>
      <c r="AV201" s="61"/>
      <c r="AW201" s="57"/>
      <c r="AX201" s="57"/>
      <c r="AY201" s="57"/>
      <c r="AZ201" s="61"/>
      <c r="BA201" s="57"/>
      <c r="BB201" s="57"/>
      <c r="BC201" s="61"/>
      <c r="BD201" s="61"/>
      <c r="BE201" s="61"/>
      <c r="BF201" s="57"/>
      <c r="BG201" s="57"/>
      <c r="BH201" s="57"/>
      <c r="BI201" s="61"/>
      <c r="BJ201" s="61"/>
      <c r="BK201" s="57"/>
      <c r="BL201" s="57"/>
      <c r="BM201" s="57"/>
      <c r="BN201" s="61"/>
      <c r="BO201" s="57"/>
      <c r="BP201" s="58"/>
      <c r="BQ201" s="61"/>
      <c r="BR201" s="61"/>
      <c r="BS201" s="57"/>
      <c r="BT201" s="61"/>
      <c r="BU201" s="61"/>
      <c r="BV201" s="61">
        <v>26</v>
      </c>
      <c r="BW201" s="61"/>
      <c r="BX201" s="61"/>
      <c r="BY201" s="61"/>
      <c r="BZ201" s="61"/>
      <c r="CA201" s="61"/>
      <c r="CB201" s="57"/>
      <c r="CC201" s="405">
        <v>24.3</v>
      </c>
      <c r="CD201" s="61"/>
      <c r="CE201" s="61"/>
      <c r="CF201" s="57"/>
      <c r="CG201" s="61"/>
      <c r="CH201" s="61"/>
      <c r="CI201" s="61"/>
      <c r="CJ201" s="57"/>
      <c r="CK201" s="61"/>
      <c r="CL201" s="61"/>
      <c r="CM201" s="61"/>
      <c r="CN201" s="61"/>
      <c r="CO201" s="61"/>
      <c r="CP201" s="61"/>
      <c r="CQ201" s="61"/>
      <c r="CR201" s="61"/>
      <c r="CS201" s="61"/>
      <c r="CT201" s="61"/>
      <c r="CU201" s="61"/>
      <c r="CV201" s="61"/>
      <c r="CW201" s="61"/>
      <c r="CX201" s="61"/>
      <c r="CY201" s="61"/>
      <c r="CZ201" s="61"/>
      <c r="DA201" s="61"/>
      <c r="DB201" s="61"/>
      <c r="DC201" s="61"/>
      <c r="DD201" s="61"/>
      <c r="DE201" s="61"/>
      <c r="DF201" s="61"/>
      <c r="DG201" s="61"/>
      <c r="DH201" s="61"/>
      <c r="DI201" s="61"/>
      <c r="DJ201" s="61"/>
      <c r="DK201" s="61"/>
      <c r="DL201" s="61"/>
      <c r="DM201" s="61"/>
      <c r="DN201" s="61"/>
      <c r="DO201" s="61"/>
      <c r="DP201" s="61"/>
      <c r="DQ201" s="156"/>
      <c r="DR201" s="156"/>
      <c r="DS201" s="156"/>
      <c r="DT201" s="156"/>
      <c r="DU201" s="156"/>
      <c r="DV201" s="156"/>
      <c r="DW201" s="156"/>
      <c r="DX201" s="156"/>
      <c r="DY201" s="156"/>
      <c r="DZ201" s="59"/>
      <c r="EA201" s="59"/>
      <c r="EB201" s="59"/>
      <c r="EC201" s="59"/>
      <c r="ED201" s="59"/>
      <c r="EE201" s="59"/>
      <c r="EF201" s="59"/>
      <c r="EG201" s="59"/>
    </row>
    <row r="202" spans="1:137" s="5" customFormat="1" ht="15.9" customHeight="1" outlineLevel="1" x14ac:dyDescent="0.3">
      <c r="A202" s="6" t="s">
        <v>22</v>
      </c>
      <c r="B202" s="6" t="s">
        <v>23</v>
      </c>
      <c r="C202" s="50" t="s">
        <v>24</v>
      </c>
      <c r="D202" s="147">
        <v>41.06</v>
      </c>
      <c r="E202" s="6" t="s">
        <v>376</v>
      </c>
      <c r="F202" s="6" t="s">
        <v>402</v>
      </c>
      <c r="G202" s="11" t="s">
        <v>403</v>
      </c>
      <c r="H202" s="11"/>
      <c r="I202" s="205" cm="1">
        <f t="array" ref="I202">IFERROR(LOOKUP(2,1/(N202:GR202&lt;&gt;""),N$4:DRA$4),"")</f>
        <v>45190</v>
      </c>
      <c r="J202" s="170" cm="1">
        <f t="array" ref="J202">IFERROR(_xlfn.XLOOKUP(TRUE,N202:EH202&lt;&gt;"",N202:EH202,,,-1)," ")</f>
        <v>25</v>
      </c>
      <c r="K202" s="49">
        <v>24.5</v>
      </c>
      <c r="L202" s="49"/>
      <c r="M202" s="284" t="s">
        <v>151</v>
      </c>
      <c r="N202" s="62"/>
      <c r="O202" s="62"/>
      <c r="P202" s="62"/>
      <c r="Q202" s="62"/>
      <c r="R202" s="62"/>
      <c r="S202" s="62"/>
      <c r="T202" s="62"/>
      <c r="U202" s="62"/>
      <c r="V202" s="62"/>
      <c r="W202" s="62"/>
      <c r="X202" s="62"/>
      <c r="Y202" s="62"/>
      <c r="Z202" s="62"/>
      <c r="AA202" s="62"/>
      <c r="AB202" s="62"/>
      <c r="AC202" s="62"/>
      <c r="AD202" s="62"/>
      <c r="AE202" s="62"/>
      <c r="AF202" s="62"/>
      <c r="AG202" s="62"/>
      <c r="AH202" s="62"/>
      <c r="AI202" s="62"/>
      <c r="AJ202" s="62"/>
      <c r="AK202" s="62"/>
      <c r="AL202" s="62"/>
      <c r="AM202" s="62"/>
      <c r="AN202" s="62"/>
      <c r="AO202" s="62"/>
      <c r="AP202" s="62"/>
      <c r="AQ202" s="62"/>
      <c r="AR202" s="62"/>
      <c r="AS202" s="62"/>
      <c r="AT202" s="62"/>
      <c r="AU202" s="63"/>
      <c r="AV202" s="63"/>
      <c r="AW202" s="62"/>
      <c r="AX202" s="62"/>
      <c r="AY202" s="62"/>
      <c r="AZ202" s="63"/>
      <c r="BA202" s="62"/>
      <c r="BB202" s="62"/>
      <c r="BC202" s="63"/>
      <c r="BD202" s="63"/>
      <c r="BE202" s="63"/>
      <c r="BF202" s="62"/>
      <c r="BG202" s="62"/>
      <c r="BH202" s="62"/>
      <c r="BI202" s="159">
        <v>24.3</v>
      </c>
      <c r="BJ202" s="63"/>
      <c r="BK202" s="62"/>
      <c r="BL202" s="62"/>
      <c r="BM202" s="62"/>
      <c r="BN202" s="63"/>
      <c r="BO202" s="62"/>
      <c r="BP202" s="64"/>
      <c r="BQ202" s="63">
        <v>25</v>
      </c>
      <c r="BR202" s="63"/>
      <c r="BS202" s="62"/>
      <c r="BT202" s="63"/>
      <c r="BU202" s="63"/>
      <c r="BV202" s="63"/>
      <c r="BW202" s="63"/>
      <c r="BX202" s="63"/>
      <c r="BY202" s="63"/>
      <c r="BZ202" s="63"/>
      <c r="CA202" s="63"/>
      <c r="CB202" s="62"/>
      <c r="CC202" s="51"/>
      <c r="CD202" s="63"/>
      <c r="CE202" s="63"/>
      <c r="CF202" s="62"/>
      <c r="CG202" s="63"/>
      <c r="CH202" s="63"/>
      <c r="CI202" s="63"/>
      <c r="CJ202" s="62"/>
      <c r="CK202" s="63"/>
      <c r="CL202" s="63"/>
      <c r="CM202" s="63"/>
      <c r="CN202" s="63"/>
      <c r="CO202" s="63"/>
      <c r="CP202" s="63"/>
      <c r="CQ202" s="63"/>
      <c r="CR202" s="63"/>
      <c r="CS202" s="63"/>
      <c r="CT202" s="63"/>
      <c r="CU202" s="63"/>
      <c r="CV202" s="63"/>
      <c r="CW202" s="63"/>
      <c r="CX202" s="63"/>
      <c r="CY202" s="63"/>
      <c r="CZ202" s="63"/>
      <c r="DA202" s="63"/>
      <c r="DB202" s="63"/>
      <c r="DC202" s="63"/>
      <c r="DD202" s="63"/>
      <c r="DE202" s="63"/>
      <c r="DF202" s="63"/>
      <c r="DG202" s="63"/>
      <c r="DH202" s="63"/>
      <c r="DI202" s="63"/>
      <c r="DJ202" s="63"/>
      <c r="DK202" s="63"/>
      <c r="DL202" s="63"/>
      <c r="DM202" s="63"/>
      <c r="DN202" s="63"/>
      <c r="DO202" s="63"/>
      <c r="DP202" s="63"/>
      <c r="DQ202" s="158"/>
      <c r="DR202" s="158"/>
      <c r="DS202" s="158"/>
      <c r="DT202" s="158"/>
      <c r="DU202" s="158"/>
      <c r="DV202" s="158"/>
      <c r="DW202" s="158"/>
      <c r="DX202" s="158"/>
      <c r="DY202" s="158"/>
      <c r="DZ202" s="22"/>
      <c r="EA202" s="22"/>
      <c r="EB202" s="22"/>
      <c r="EC202" s="22"/>
      <c r="ED202" s="22"/>
      <c r="EE202" s="22"/>
      <c r="EF202" s="22"/>
      <c r="EG202" s="22"/>
    </row>
    <row r="203" spans="1:137" s="5" customFormat="1" ht="15.9" customHeight="1" outlineLevel="1" x14ac:dyDescent="0.3">
      <c r="A203" s="6" t="s">
        <v>22</v>
      </c>
      <c r="B203" s="6" t="s">
        <v>23</v>
      </c>
      <c r="C203" s="50" t="s">
        <v>24</v>
      </c>
      <c r="D203" s="147">
        <v>18.39</v>
      </c>
      <c r="E203" s="6" t="s">
        <v>376</v>
      </c>
      <c r="F203" s="6" t="s">
        <v>402</v>
      </c>
      <c r="G203" s="11" t="s">
        <v>404</v>
      </c>
      <c r="H203" s="11"/>
      <c r="I203" s="205" cm="1">
        <f t="array" ref="I203">IFERROR(LOOKUP(2,1/(N203:GR203&lt;&gt;""),N$4:DRA$4),"")</f>
        <v>45178</v>
      </c>
      <c r="J203" s="170" cm="1">
        <f t="array" ref="J203">IFERROR(_xlfn.XLOOKUP(TRUE,N203:EH203&lt;&gt;"",N203:EH203,,,-1)," ")</f>
        <v>23</v>
      </c>
      <c r="K203" s="49">
        <v>24.5</v>
      </c>
      <c r="L203" s="49"/>
      <c r="M203" s="284" t="s">
        <v>151</v>
      </c>
      <c r="N203" s="62"/>
      <c r="O203" s="62"/>
      <c r="P203" s="62"/>
      <c r="Q203" s="62"/>
      <c r="R203" s="62"/>
      <c r="S203" s="62"/>
      <c r="T203" s="62"/>
      <c r="U203" s="62"/>
      <c r="V203" s="62"/>
      <c r="W203" s="62"/>
      <c r="X203" s="62"/>
      <c r="Y203" s="62"/>
      <c r="Z203" s="62"/>
      <c r="AA203" s="62"/>
      <c r="AB203" s="62"/>
      <c r="AC203" s="62"/>
      <c r="AD203" s="62"/>
      <c r="AE203" s="62"/>
      <c r="AF203" s="62"/>
      <c r="AG203" s="62"/>
      <c r="AH203" s="62"/>
      <c r="AI203" s="62"/>
      <c r="AJ203" s="62"/>
      <c r="AK203" s="62"/>
      <c r="AL203" s="62"/>
      <c r="AM203" s="62"/>
      <c r="AN203" s="62"/>
      <c r="AO203" s="62"/>
      <c r="AP203" s="62"/>
      <c r="AQ203" s="62"/>
      <c r="AR203" s="62"/>
      <c r="AS203" s="62"/>
      <c r="AT203" s="62"/>
      <c r="AU203" s="63"/>
      <c r="AV203" s="63"/>
      <c r="AW203" s="62"/>
      <c r="AX203" s="62"/>
      <c r="AY203" s="62"/>
      <c r="AZ203" s="63"/>
      <c r="BA203" s="62"/>
      <c r="BB203" s="62"/>
      <c r="BC203" s="63"/>
      <c r="BD203" s="63"/>
      <c r="BE203" s="63">
        <v>23</v>
      </c>
      <c r="BF203" s="62"/>
      <c r="BG203" s="62"/>
      <c r="BH203" s="62"/>
      <c r="BI203" s="63"/>
      <c r="BJ203" s="63"/>
      <c r="BK203" s="62"/>
      <c r="BL203" s="62"/>
      <c r="BM203" s="62"/>
      <c r="BN203" s="63"/>
      <c r="BO203" s="62"/>
      <c r="BP203" s="64"/>
      <c r="BQ203" s="63"/>
      <c r="BR203" s="63"/>
      <c r="BS203" s="62"/>
      <c r="BT203" s="63"/>
      <c r="BU203" s="63"/>
      <c r="BV203" s="63"/>
      <c r="BW203" s="63"/>
      <c r="BX203" s="63"/>
      <c r="BY203" s="63"/>
      <c r="BZ203" s="63"/>
      <c r="CA203" s="63"/>
      <c r="CB203" s="62"/>
      <c r="CC203" s="51"/>
      <c r="CD203" s="63"/>
      <c r="CE203" s="63"/>
      <c r="CF203" s="62"/>
      <c r="CG203" s="63"/>
      <c r="CH203" s="63"/>
      <c r="CI203" s="63"/>
      <c r="CJ203" s="62"/>
      <c r="CK203" s="63"/>
      <c r="CL203" s="63"/>
      <c r="CM203" s="63"/>
      <c r="CN203" s="63"/>
      <c r="CO203" s="63"/>
      <c r="CP203" s="63"/>
      <c r="CQ203" s="63"/>
      <c r="CR203" s="63"/>
      <c r="CS203" s="63"/>
      <c r="CT203" s="63"/>
      <c r="CU203" s="63"/>
      <c r="CV203" s="63"/>
      <c r="CW203" s="63"/>
      <c r="CX203" s="63"/>
      <c r="CY203" s="63"/>
      <c r="CZ203" s="63"/>
      <c r="DA203" s="63"/>
      <c r="DB203" s="63"/>
      <c r="DC203" s="63"/>
      <c r="DD203" s="63"/>
      <c r="DE203" s="63"/>
      <c r="DF203" s="63"/>
      <c r="DG203" s="63"/>
      <c r="DH203" s="63"/>
      <c r="DI203" s="63"/>
      <c r="DJ203" s="63"/>
      <c r="DK203" s="63"/>
      <c r="DL203" s="63"/>
      <c r="DM203" s="63"/>
      <c r="DN203" s="63"/>
      <c r="DO203" s="63"/>
      <c r="DP203" s="63"/>
      <c r="DQ203" s="158"/>
      <c r="DR203" s="158"/>
      <c r="DS203" s="158"/>
      <c r="DT203" s="158"/>
      <c r="DU203" s="158"/>
      <c r="DV203" s="158"/>
      <c r="DW203" s="158"/>
      <c r="DX203" s="158"/>
      <c r="DY203" s="158"/>
      <c r="DZ203" s="59"/>
      <c r="EA203" s="59"/>
      <c r="EB203" s="59"/>
      <c r="EC203" s="59"/>
      <c r="ED203" s="59"/>
      <c r="EE203" s="59"/>
      <c r="EF203" s="59"/>
      <c r="EG203" s="59"/>
    </row>
    <row r="204" spans="1:137" s="5" customFormat="1" ht="15.9" customHeight="1" outlineLevel="1" x14ac:dyDescent="0.3">
      <c r="A204" s="6" t="s">
        <v>22</v>
      </c>
      <c r="B204" s="6" t="s">
        <v>23</v>
      </c>
      <c r="C204" s="50" t="s">
        <v>24</v>
      </c>
      <c r="D204" s="147">
        <v>12.46</v>
      </c>
      <c r="E204" s="6" t="s">
        <v>376</v>
      </c>
      <c r="F204" s="6" t="s">
        <v>402</v>
      </c>
      <c r="G204" s="11" t="s">
        <v>405</v>
      </c>
      <c r="H204" s="11"/>
      <c r="I204" s="205" cm="1">
        <f t="array" ref="I204">IFERROR(LOOKUP(2,1/(N204:GR204&lt;&gt;""),N$4:DRA$4),"")</f>
        <v>45178</v>
      </c>
      <c r="J204" s="170" cm="1">
        <f t="array" ref="J204">IFERROR(_xlfn.XLOOKUP(TRUE,N204:EH204&lt;&gt;"",N204:EH204,,,-1)," ")</f>
        <v>22.4</v>
      </c>
      <c r="K204" s="49">
        <v>24.5</v>
      </c>
      <c r="L204" s="49"/>
      <c r="M204" s="284" t="s">
        <v>151</v>
      </c>
      <c r="N204" s="62"/>
      <c r="O204" s="62"/>
      <c r="P204" s="62"/>
      <c r="Q204" s="62"/>
      <c r="R204" s="62"/>
      <c r="S204" s="62"/>
      <c r="T204" s="62"/>
      <c r="U204" s="62"/>
      <c r="V204" s="62"/>
      <c r="W204" s="62"/>
      <c r="X204" s="62"/>
      <c r="Y204" s="62"/>
      <c r="Z204" s="62"/>
      <c r="AA204" s="62"/>
      <c r="AB204" s="62"/>
      <c r="AC204" s="62"/>
      <c r="AD204" s="62"/>
      <c r="AE204" s="62"/>
      <c r="AF204" s="62"/>
      <c r="AG204" s="62"/>
      <c r="AH204" s="62"/>
      <c r="AI204" s="62"/>
      <c r="AJ204" s="62"/>
      <c r="AK204" s="62"/>
      <c r="AL204" s="62"/>
      <c r="AM204" s="62"/>
      <c r="AN204" s="62"/>
      <c r="AO204" s="62"/>
      <c r="AP204" s="62"/>
      <c r="AQ204" s="62"/>
      <c r="AR204" s="62"/>
      <c r="AS204" s="62"/>
      <c r="AT204" s="62"/>
      <c r="AU204" s="63"/>
      <c r="AV204" s="63"/>
      <c r="AW204" s="62"/>
      <c r="AX204" s="62"/>
      <c r="AY204" s="62"/>
      <c r="AZ204" s="63"/>
      <c r="BA204" s="62"/>
      <c r="BB204" s="62"/>
      <c r="BC204" s="63"/>
      <c r="BD204" s="63"/>
      <c r="BE204" s="63">
        <v>22.4</v>
      </c>
      <c r="BF204" s="62"/>
      <c r="BG204" s="62"/>
      <c r="BH204" s="62"/>
      <c r="BI204" s="63"/>
      <c r="BJ204" s="63"/>
      <c r="BK204" s="62"/>
      <c r="BL204" s="62"/>
      <c r="BM204" s="62"/>
      <c r="BN204" s="63"/>
      <c r="BO204" s="62"/>
      <c r="BP204" s="64"/>
      <c r="BQ204" s="63"/>
      <c r="BR204" s="63"/>
      <c r="BS204" s="62"/>
      <c r="BT204" s="63"/>
      <c r="BU204" s="63"/>
      <c r="BV204" s="63"/>
      <c r="BW204" s="63"/>
      <c r="BX204" s="63"/>
      <c r="BY204" s="63"/>
      <c r="BZ204" s="63"/>
      <c r="CA204" s="63"/>
      <c r="CB204" s="62"/>
      <c r="CC204" s="51"/>
      <c r="CD204" s="63"/>
      <c r="CE204" s="63"/>
      <c r="CF204" s="62"/>
      <c r="CG204" s="63"/>
      <c r="CH204" s="63"/>
      <c r="CI204" s="63"/>
      <c r="CJ204" s="62"/>
      <c r="CK204" s="63"/>
      <c r="CL204" s="63"/>
      <c r="CM204" s="63"/>
      <c r="CN204" s="63"/>
      <c r="CO204" s="63"/>
      <c r="CP204" s="63"/>
      <c r="CQ204" s="63"/>
      <c r="CR204" s="63"/>
      <c r="CS204" s="63"/>
      <c r="CT204" s="63"/>
      <c r="CU204" s="63"/>
      <c r="CV204" s="63"/>
      <c r="CW204" s="63"/>
      <c r="CX204" s="63"/>
      <c r="CY204" s="63"/>
      <c r="CZ204" s="63"/>
      <c r="DA204" s="63"/>
      <c r="DB204" s="63"/>
      <c r="DC204" s="63"/>
      <c r="DD204" s="63"/>
      <c r="DE204" s="63"/>
      <c r="DF204" s="63"/>
      <c r="DG204" s="63"/>
      <c r="DH204" s="63"/>
      <c r="DI204" s="63"/>
      <c r="DJ204" s="63"/>
      <c r="DK204" s="63"/>
      <c r="DL204" s="63"/>
      <c r="DM204" s="63"/>
      <c r="DN204" s="63"/>
      <c r="DO204" s="63"/>
      <c r="DP204" s="63"/>
      <c r="DQ204" s="158"/>
      <c r="DR204" s="158"/>
      <c r="DS204" s="158"/>
      <c r="DT204" s="158"/>
      <c r="DU204" s="158"/>
      <c r="DV204" s="158"/>
      <c r="DW204" s="158"/>
      <c r="DX204" s="158"/>
      <c r="DY204" s="158"/>
      <c r="DZ204" s="65"/>
      <c r="EA204" s="65"/>
      <c r="EB204" s="65"/>
      <c r="EC204" s="65"/>
      <c r="ED204" s="65"/>
      <c r="EE204" s="65"/>
      <c r="EF204" s="65"/>
      <c r="EG204" s="65"/>
    </row>
    <row r="205" spans="1:137" s="5" customFormat="1" ht="15.9" customHeight="1" outlineLevel="1" x14ac:dyDescent="0.3">
      <c r="A205" s="6" t="s">
        <v>22</v>
      </c>
      <c r="B205" s="6" t="s">
        <v>23</v>
      </c>
      <c r="C205" s="50" t="s">
        <v>24</v>
      </c>
      <c r="D205" s="147">
        <v>15.72</v>
      </c>
      <c r="E205" s="6" t="s">
        <v>376</v>
      </c>
      <c r="F205" s="6" t="s">
        <v>402</v>
      </c>
      <c r="G205" s="11" t="s">
        <v>406</v>
      </c>
      <c r="H205" s="11"/>
      <c r="I205" s="205" t="str" cm="1">
        <f t="array" ref="I205">IFERROR(LOOKUP(2,1/(N205:GR205&lt;&gt;""),N$4:DRA$4),"")</f>
        <v/>
      </c>
      <c r="J205" s="170" t="str" cm="1">
        <f t="array" ref="J205">IFERROR(_xlfn.XLOOKUP(TRUE,N205:EH205&lt;&gt;"",N205:EH205,,,-1)," ")</f>
        <v xml:space="preserve"> </v>
      </c>
      <c r="K205" s="49">
        <v>24.5</v>
      </c>
      <c r="L205" s="49"/>
      <c r="M205" s="284" t="s">
        <v>151</v>
      </c>
      <c r="N205" s="62"/>
      <c r="O205" s="62"/>
      <c r="P205" s="62"/>
      <c r="Q205" s="62"/>
      <c r="R205" s="62"/>
      <c r="S205" s="62"/>
      <c r="T205" s="62"/>
      <c r="U205" s="62"/>
      <c r="V205" s="62"/>
      <c r="W205" s="62"/>
      <c r="X205" s="62"/>
      <c r="Y205" s="62"/>
      <c r="Z205" s="62"/>
      <c r="AA205" s="62"/>
      <c r="AB205" s="62"/>
      <c r="AC205" s="62"/>
      <c r="AD205" s="62"/>
      <c r="AE205" s="62"/>
      <c r="AF205" s="62"/>
      <c r="AG205" s="62"/>
      <c r="AH205" s="62"/>
      <c r="AI205" s="62"/>
      <c r="AJ205" s="62"/>
      <c r="AK205" s="62"/>
      <c r="AL205" s="62"/>
      <c r="AM205" s="62"/>
      <c r="AN205" s="62"/>
      <c r="AO205" s="62"/>
      <c r="AP205" s="62"/>
      <c r="AQ205" s="62"/>
      <c r="AR205" s="62"/>
      <c r="AS205" s="62"/>
      <c r="AT205" s="62"/>
      <c r="AU205" s="63"/>
      <c r="AV205" s="63"/>
      <c r="AW205" s="62"/>
      <c r="AX205" s="62"/>
      <c r="AY205" s="62"/>
      <c r="AZ205" s="63"/>
      <c r="BA205" s="62"/>
      <c r="BB205" s="62"/>
      <c r="BC205" s="63"/>
      <c r="BD205" s="63"/>
      <c r="BE205" s="63"/>
      <c r="BF205" s="62"/>
      <c r="BG205" s="62"/>
      <c r="BH205" s="62"/>
      <c r="BI205" s="63"/>
      <c r="BJ205" s="63"/>
      <c r="BK205" s="62"/>
      <c r="BL205" s="62"/>
      <c r="BM205" s="62"/>
      <c r="BN205" s="63"/>
      <c r="BO205" s="62"/>
      <c r="BP205" s="64"/>
      <c r="BQ205" s="63"/>
      <c r="BR205" s="63"/>
      <c r="BS205" s="62"/>
      <c r="BT205" s="63"/>
      <c r="BU205" s="63"/>
      <c r="BV205" s="63"/>
      <c r="BW205" s="63"/>
      <c r="BX205" s="63"/>
      <c r="BY205" s="63"/>
      <c r="BZ205" s="63"/>
      <c r="CA205" s="63"/>
      <c r="CB205" s="62"/>
      <c r="CC205" s="51"/>
      <c r="CD205" s="63"/>
      <c r="CE205" s="63"/>
      <c r="CF205" s="62"/>
      <c r="CG205" s="63"/>
      <c r="CH205" s="63"/>
      <c r="CI205" s="63"/>
      <c r="CJ205" s="62"/>
      <c r="CK205" s="63"/>
      <c r="CL205" s="63"/>
      <c r="CM205" s="63"/>
      <c r="CN205" s="63"/>
      <c r="CO205" s="63"/>
      <c r="CP205" s="63"/>
      <c r="CQ205" s="63"/>
      <c r="CR205" s="63"/>
      <c r="CS205" s="63"/>
      <c r="CT205" s="63"/>
      <c r="CU205" s="63"/>
      <c r="CV205" s="63"/>
      <c r="CW205" s="63"/>
      <c r="CX205" s="63"/>
      <c r="CY205" s="63"/>
      <c r="CZ205" s="63"/>
      <c r="DA205" s="63"/>
      <c r="DB205" s="63"/>
      <c r="DC205" s="63"/>
      <c r="DD205" s="63"/>
      <c r="DE205" s="63"/>
      <c r="DF205" s="63"/>
      <c r="DG205" s="63"/>
      <c r="DH205" s="63"/>
      <c r="DI205" s="63"/>
      <c r="DJ205" s="63"/>
      <c r="DK205" s="63"/>
      <c r="DL205" s="63"/>
      <c r="DM205" s="63"/>
      <c r="DN205" s="63"/>
      <c r="DO205" s="63"/>
      <c r="DP205" s="63"/>
      <c r="DQ205" s="158"/>
      <c r="DR205" s="158"/>
      <c r="DS205" s="158"/>
      <c r="DT205" s="158"/>
      <c r="DU205" s="158"/>
      <c r="DV205" s="158"/>
      <c r="DW205" s="158"/>
      <c r="DX205" s="158"/>
      <c r="DY205" s="158"/>
      <c r="DZ205" s="65"/>
      <c r="EA205" s="65"/>
      <c r="EB205" s="65"/>
      <c r="EC205" s="65"/>
      <c r="ED205" s="65"/>
      <c r="EE205" s="65"/>
      <c r="EF205" s="65"/>
      <c r="EG205" s="65"/>
    </row>
    <row r="206" spans="1:137" s="5" customFormat="1" ht="15.9" customHeight="1" outlineLevel="1" x14ac:dyDescent="0.3">
      <c r="A206" s="6" t="s">
        <v>22</v>
      </c>
      <c r="B206" s="6" t="s">
        <v>23</v>
      </c>
      <c r="C206" s="50" t="s">
        <v>24</v>
      </c>
      <c r="D206" s="147">
        <v>3.59</v>
      </c>
      <c r="E206" s="6" t="s">
        <v>376</v>
      </c>
      <c r="F206" s="6" t="s">
        <v>402</v>
      </c>
      <c r="G206" s="11" t="s">
        <v>407</v>
      </c>
      <c r="H206" s="11"/>
      <c r="I206" s="205" t="str" cm="1">
        <f t="array" ref="I206">IFERROR(LOOKUP(2,1/(N206:GR206&lt;&gt;""),N$4:DRA$4),"")</f>
        <v/>
      </c>
      <c r="J206" s="170" t="str" cm="1">
        <f t="array" ref="J206">IFERROR(_xlfn.XLOOKUP(TRUE,N206:EH206&lt;&gt;"",N206:EH206,,,-1)," ")</f>
        <v xml:space="preserve"> </v>
      </c>
      <c r="K206" s="49">
        <v>24.5</v>
      </c>
      <c r="L206" s="49"/>
      <c r="M206" s="284" t="s">
        <v>151</v>
      </c>
      <c r="N206" s="62"/>
      <c r="O206" s="62"/>
      <c r="P206" s="62"/>
      <c r="Q206" s="62"/>
      <c r="R206" s="62"/>
      <c r="S206" s="62"/>
      <c r="T206" s="62"/>
      <c r="U206" s="62"/>
      <c r="V206" s="62"/>
      <c r="W206" s="62"/>
      <c r="X206" s="62"/>
      <c r="Y206" s="62"/>
      <c r="Z206" s="62"/>
      <c r="AA206" s="62"/>
      <c r="AB206" s="62"/>
      <c r="AC206" s="62"/>
      <c r="AD206" s="62"/>
      <c r="AE206" s="62"/>
      <c r="AF206" s="62"/>
      <c r="AG206" s="62"/>
      <c r="AH206" s="62"/>
      <c r="AI206" s="62"/>
      <c r="AJ206" s="62"/>
      <c r="AK206" s="62"/>
      <c r="AL206" s="62"/>
      <c r="AM206" s="62"/>
      <c r="AN206" s="62"/>
      <c r="AO206" s="62"/>
      <c r="AP206" s="62"/>
      <c r="AQ206" s="62"/>
      <c r="AR206" s="62"/>
      <c r="AS206" s="62"/>
      <c r="AT206" s="62"/>
      <c r="AU206" s="63"/>
      <c r="AV206" s="63"/>
      <c r="AW206" s="62"/>
      <c r="AX206" s="62"/>
      <c r="AY206" s="62"/>
      <c r="AZ206" s="63"/>
      <c r="BA206" s="62"/>
      <c r="BB206" s="62"/>
      <c r="BC206" s="63"/>
      <c r="BD206" s="63"/>
      <c r="BE206" s="63"/>
      <c r="BF206" s="62"/>
      <c r="BG206" s="62"/>
      <c r="BH206" s="62"/>
      <c r="BI206" s="63"/>
      <c r="BJ206" s="63"/>
      <c r="BK206" s="62"/>
      <c r="BL206" s="62"/>
      <c r="BM206" s="62"/>
      <c r="BN206" s="63"/>
      <c r="BO206" s="62"/>
      <c r="BP206" s="64"/>
      <c r="BQ206" s="63"/>
      <c r="BR206" s="63"/>
      <c r="BS206" s="62"/>
      <c r="BT206" s="63"/>
      <c r="BU206" s="63"/>
      <c r="BV206" s="63"/>
      <c r="BW206" s="63"/>
      <c r="BX206" s="63"/>
      <c r="BY206" s="63"/>
      <c r="BZ206" s="63"/>
      <c r="CA206" s="63"/>
      <c r="CB206" s="62"/>
      <c r="CC206" s="51"/>
      <c r="CD206" s="63"/>
      <c r="CE206" s="63"/>
      <c r="CF206" s="62"/>
      <c r="CG206" s="63"/>
      <c r="CH206" s="63"/>
      <c r="CI206" s="63"/>
      <c r="CJ206" s="62"/>
      <c r="CK206" s="63"/>
      <c r="CL206" s="63"/>
      <c r="CM206" s="63"/>
      <c r="CN206" s="63"/>
      <c r="CO206" s="63"/>
      <c r="CP206" s="63"/>
      <c r="CQ206" s="63"/>
      <c r="CR206" s="63"/>
      <c r="CS206" s="63"/>
      <c r="CT206" s="63"/>
      <c r="CU206" s="63"/>
      <c r="CV206" s="63"/>
      <c r="CW206" s="63"/>
      <c r="CX206" s="63"/>
      <c r="CY206" s="63"/>
      <c r="CZ206" s="63"/>
      <c r="DA206" s="63"/>
      <c r="DB206" s="63"/>
      <c r="DC206" s="63"/>
      <c r="DD206" s="63"/>
      <c r="DE206" s="63"/>
      <c r="DF206" s="63"/>
      <c r="DG206" s="63"/>
      <c r="DH206" s="63"/>
      <c r="DI206" s="63"/>
      <c r="DJ206" s="63"/>
      <c r="DK206" s="63"/>
      <c r="DL206" s="63"/>
      <c r="DM206" s="63"/>
      <c r="DN206" s="63"/>
      <c r="DO206" s="63"/>
      <c r="DP206" s="63"/>
      <c r="DQ206" s="158"/>
      <c r="DR206" s="158"/>
      <c r="DS206" s="158"/>
      <c r="DT206" s="158"/>
      <c r="DU206" s="158"/>
      <c r="DV206" s="158"/>
      <c r="DW206" s="158"/>
      <c r="DX206" s="158"/>
      <c r="DY206" s="158"/>
      <c r="DZ206" s="65"/>
      <c r="EA206" s="65"/>
      <c r="EB206" s="65"/>
      <c r="EC206" s="65"/>
      <c r="ED206" s="65"/>
      <c r="EE206" s="65"/>
      <c r="EF206" s="65"/>
      <c r="EG206" s="65"/>
    </row>
    <row r="207" spans="1:137" s="5" customFormat="1" ht="15.9" customHeight="1" outlineLevel="1" x14ac:dyDescent="0.3">
      <c r="A207" s="6" t="s">
        <v>22</v>
      </c>
      <c r="B207" s="6" t="s">
        <v>23</v>
      </c>
      <c r="C207" s="50" t="s">
        <v>24</v>
      </c>
      <c r="D207" s="147">
        <v>9.2899999999999991</v>
      </c>
      <c r="E207" s="6" t="s">
        <v>376</v>
      </c>
      <c r="F207" s="6" t="s">
        <v>402</v>
      </c>
      <c r="G207" s="11" t="s">
        <v>408</v>
      </c>
      <c r="H207" s="11"/>
      <c r="I207" s="205" t="str" cm="1">
        <f t="array" ref="I207">IFERROR(LOOKUP(2,1/(N207:GR207&lt;&gt;""),N$4:DRA$4),"")</f>
        <v/>
      </c>
      <c r="J207" s="170" t="str" cm="1">
        <f t="array" ref="J207">IFERROR(_xlfn.XLOOKUP(TRUE,N207:EH207&lt;&gt;"",N207:EH207,,,-1)," ")</f>
        <v xml:space="preserve"> </v>
      </c>
      <c r="K207" s="49">
        <v>24.5</v>
      </c>
      <c r="L207" s="49"/>
      <c r="M207" s="284" t="s">
        <v>151</v>
      </c>
      <c r="N207" s="62"/>
      <c r="O207" s="62"/>
      <c r="P207" s="62"/>
      <c r="Q207" s="62"/>
      <c r="R207" s="62"/>
      <c r="S207" s="62"/>
      <c r="T207" s="62"/>
      <c r="U207" s="62"/>
      <c r="V207" s="62"/>
      <c r="W207" s="62"/>
      <c r="X207" s="62"/>
      <c r="Y207" s="62"/>
      <c r="Z207" s="62"/>
      <c r="AA207" s="62"/>
      <c r="AB207" s="62"/>
      <c r="AC207" s="62"/>
      <c r="AD207" s="62"/>
      <c r="AE207" s="62"/>
      <c r="AF207" s="62"/>
      <c r="AG207" s="62"/>
      <c r="AH207" s="62"/>
      <c r="AI207" s="62"/>
      <c r="AJ207" s="62"/>
      <c r="AK207" s="62"/>
      <c r="AL207" s="62"/>
      <c r="AM207" s="62"/>
      <c r="AN207" s="62"/>
      <c r="AO207" s="62"/>
      <c r="AP207" s="62"/>
      <c r="AQ207" s="62"/>
      <c r="AR207" s="62"/>
      <c r="AS207" s="62"/>
      <c r="AT207" s="62"/>
      <c r="AU207" s="63"/>
      <c r="AV207" s="63"/>
      <c r="AW207" s="62"/>
      <c r="AX207" s="62"/>
      <c r="AY207" s="62"/>
      <c r="AZ207" s="63"/>
      <c r="BA207" s="62"/>
      <c r="BB207" s="62"/>
      <c r="BC207" s="63"/>
      <c r="BD207" s="63"/>
      <c r="BE207" s="63"/>
      <c r="BF207" s="62"/>
      <c r="BG207" s="62"/>
      <c r="BH207" s="62"/>
      <c r="BI207" s="63"/>
      <c r="BJ207" s="63"/>
      <c r="BK207" s="62"/>
      <c r="BL207" s="62"/>
      <c r="BM207" s="62"/>
      <c r="BN207" s="63"/>
      <c r="BO207" s="62"/>
      <c r="BP207" s="64"/>
      <c r="BQ207" s="63"/>
      <c r="BR207" s="63"/>
      <c r="BS207" s="62"/>
      <c r="BT207" s="63"/>
      <c r="BU207" s="63"/>
      <c r="BV207" s="63"/>
      <c r="BW207" s="63"/>
      <c r="BX207" s="63"/>
      <c r="BY207" s="63"/>
      <c r="BZ207" s="63"/>
      <c r="CA207" s="63"/>
      <c r="CB207" s="62"/>
      <c r="CC207" s="51"/>
      <c r="CD207" s="63"/>
      <c r="CE207" s="63"/>
      <c r="CF207" s="62"/>
      <c r="CG207" s="63"/>
      <c r="CH207" s="63"/>
      <c r="CI207" s="63"/>
      <c r="CJ207" s="62"/>
      <c r="CK207" s="63"/>
      <c r="CL207" s="63"/>
      <c r="CM207" s="63"/>
      <c r="CN207" s="63"/>
      <c r="CO207" s="63"/>
      <c r="CP207" s="63"/>
      <c r="CQ207" s="63"/>
      <c r="CR207" s="63"/>
      <c r="CS207" s="63"/>
      <c r="CT207" s="63"/>
      <c r="CU207" s="63"/>
      <c r="CV207" s="63"/>
      <c r="CW207" s="63"/>
      <c r="CX207" s="63"/>
      <c r="CY207" s="63"/>
      <c r="CZ207" s="63"/>
      <c r="DA207" s="63"/>
      <c r="DB207" s="63"/>
      <c r="DC207" s="63"/>
      <c r="DD207" s="63"/>
      <c r="DE207" s="63"/>
      <c r="DF207" s="63"/>
      <c r="DG207" s="63"/>
      <c r="DH207" s="63"/>
      <c r="DI207" s="63"/>
      <c r="DJ207" s="63"/>
      <c r="DK207" s="63"/>
      <c r="DL207" s="63"/>
      <c r="DM207" s="63"/>
      <c r="DN207" s="63"/>
      <c r="DO207" s="63"/>
      <c r="DP207" s="63"/>
      <c r="DQ207" s="158"/>
      <c r="DR207" s="158"/>
      <c r="DS207" s="158"/>
      <c r="DT207" s="158"/>
      <c r="DU207" s="158"/>
      <c r="DV207" s="158"/>
      <c r="DW207" s="158"/>
      <c r="DX207" s="158"/>
      <c r="DY207" s="158"/>
      <c r="DZ207" s="65"/>
      <c r="EA207" s="65"/>
      <c r="EB207" s="65"/>
      <c r="EC207" s="65"/>
      <c r="ED207" s="65"/>
      <c r="EE207" s="65"/>
      <c r="EF207" s="65"/>
      <c r="EG207" s="65"/>
    </row>
    <row r="208" spans="1:137" s="10" customFormat="1" ht="15.9" customHeight="1" outlineLevel="1" x14ac:dyDescent="0.3">
      <c r="A208" s="7" t="s">
        <v>22</v>
      </c>
      <c r="B208" s="7" t="s">
        <v>23</v>
      </c>
      <c r="C208" s="8" t="s">
        <v>24</v>
      </c>
      <c r="D208" s="146">
        <v>18.39</v>
      </c>
      <c r="E208" s="7" t="s">
        <v>376</v>
      </c>
      <c r="F208" s="7" t="s">
        <v>409</v>
      </c>
      <c r="G208" s="9" t="s">
        <v>410</v>
      </c>
      <c r="H208" s="9"/>
      <c r="I208" s="204" cm="1">
        <f t="array" ref="I208">IFERROR(LOOKUP(2,1/(N208:GR208&lt;&gt;""),N$4:DRA$4),"")</f>
        <v>45197</v>
      </c>
      <c r="J208" s="169" t="str" cm="1">
        <f t="array" ref="J208">IFERROR(_xlfn.XLOOKUP(TRUE,N208:EH208&lt;&gt;"",N208:EH208,,,-1)," ")</f>
        <v>25/23.5</v>
      </c>
      <c r="K208" s="45"/>
      <c r="L208" s="45"/>
      <c r="M208" s="282" t="s">
        <v>34</v>
      </c>
      <c r="N208" s="57"/>
      <c r="O208" s="57"/>
      <c r="P208" s="57"/>
      <c r="Q208" s="57"/>
      <c r="R208" s="57"/>
      <c r="S208" s="57"/>
      <c r="T208" s="57"/>
      <c r="U208" s="57"/>
      <c r="V208" s="57"/>
      <c r="W208" s="57"/>
      <c r="X208" s="57"/>
      <c r="Y208" s="57"/>
      <c r="Z208" s="57"/>
      <c r="AA208" s="57"/>
      <c r="AB208" s="57"/>
      <c r="AC208" s="57"/>
      <c r="AD208" s="57"/>
      <c r="AE208" s="57"/>
      <c r="AF208" s="57"/>
      <c r="AG208" s="57"/>
      <c r="AH208" s="57"/>
      <c r="AI208" s="57"/>
      <c r="AJ208" s="57"/>
      <c r="AK208" s="57"/>
      <c r="AL208" s="57"/>
      <c r="AM208" s="57"/>
      <c r="AN208" s="57"/>
      <c r="AO208" s="57"/>
      <c r="AP208" s="57"/>
      <c r="AQ208" s="57"/>
      <c r="AR208" s="57"/>
      <c r="AS208" s="57"/>
      <c r="AT208" s="57"/>
      <c r="AU208" s="61"/>
      <c r="AV208" s="61"/>
      <c r="AW208" s="57"/>
      <c r="AX208" s="57"/>
      <c r="AY208" s="57"/>
      <c r="AZ208" s="61"/>
      <c r="BA208" s="57"/>
      <c r="BB208" s="57"/>
      <c r="BC208" s="61"/>
      <c r="BD208" s="61"/>
      <c r="BE208" s="61"/>
      <c r="BF208" s="57"/>
      <c r="BG208" s="57"/>
      <c r="BH208" s="57"/>
      <c r="BI208" s="61"/>
      <c r="BJ208" s="61"/>
      <c r="BK208" s="57"/>
      <c r="BL208" s="61"/>
      <c r="BM208" s="57"/>
      <c r="BN208" s="61"/>
      <c r="BO208" s="57"/>
      <c r="BP208" s="58"/>
      <c r="BQ208" s="61"/>
      <c r="BR208" s="61"/>
      <c r="BS208" s="57"/>
      <c r="BT208" s="61"/>
      <c r="BU208" s="61"/>
      <c r="BV208" s="61"/>
      <c r="BW208" s="61"/>
      <c r="BX208" s="318" t="s">
        <v>411</v>
      </c>
      <c r="BY208" s="61"/>
      <c r="BZ208" s="61"/>
      <c r="CA208" s="61"/>
      <c r="CB208" s="57"/>
      <c r="CC208" s="27"/>
      <c r="CD208" s="61"/>
      <c r="CE208" s="61"/>
      <c r="CF208" s="57"/>
      <c r="CG208" s="61"/>
      <c r="CH208" s="61"/>
      <c r="CI208" s="61"/>
      <c r="CJ208" s="57"/>
      <c r="CK208" s="61"/>
      <c r="CL208" s="61"/>
      <c r="CM208" s="61"/>
      <c r="CN208" s="61"/>
      <c r="CO208" s="61"/>
      <c r="CP208" s="61"/>
      <c r="CQ208" s="61"/>
      <c r="CR208" s="61"/>
      <c r="CS208" s="61"/>
      <c r="CT208" s="61"/>
      <c r="CU208" s="61"/>
      <c r="CV208" s="61"/>
      <c r="CW208" s="61"/>
      <c r="CX208" s="61"/>
      <c r="CY208" s="61"/>
      <c r="CZ208" s="61"/>
      <c r="DA208" s="61"/>
      <c r="DB208" s="61"/>
      <c r="DC208" s="61"/>
      <c r="DD208" s="61"/>
      <c r="DE208" s="61"/>
      <c r="DF208" s="61"/>
      <c r="DG208" s="61"/>
      <c r="DH208" s="61"/>
      <c r="DI208" s="61"/>
      <c r="DJ208" s="61"/>
      <c r="DK208" s="61"/>
      <c r="DL208" s="61"/>
      <c r="DM208" s="61"/>
      <c r="DN208" s="61"/>
      <c r="DO208" s="61"/>
      <c r="DP208" s="61"/>
      <c r="DQ208" s="156"/>
      <c r="DR208" s="156"/>
      <c r="DS208" s="156"/>
      <c r="DT208" s="156"/>
      <c r="DU208" s="156"/>
      <c r="DV208" s="156"/>
      <c r="DW208" s="156"/>
      <c r="DX208" s="156"/>
      <c r="DY208" s="156"/>
      <c r="DZ208" s="22"/>
      <c r="EA208" s="22"/>
      <c r="EB208" s="22"/>
      <c r="EC208" s="22"/>
      <c r="ED208" s="22"/>
      <c r="EE208" s="22"/>
      <c r="EF208" s="22"/>
      <c r="EG208" s="22"/>
    </row>
    <row r="209" spans="1:137" s="5" customFormat="1" ht="15.9" customHeight="1" outlineLevel="1" x14ac:dyDescent="0.3">
      <c r="A209" s="6" t="s">
        <v>23</v>
      </c>
      <c r="B209" s="6" t="s">
        <v>23</v>
      </c>
      <c r="C209" s="50" t="s">
        <v>24</v>
      </c>
      <c r="D209" s="147">
        <v>34.06</v>
      </c>
      <c r="E209" s="6" t="s">
        <v>376</v>
      </c>
      <c r="F209" s="6" t="s">
        <v>412</v>
      </c>
      <c r="G209" s="11" t="s">
        <v>413</v>
      </c>
      <c r="H209" s="11"/>
      <c r="I209" s="205" cm="1">
        <f t="array" ref="I209">IFERROR(LOOKUP(2,1/(N209:GR209&lt;&gt;""),N$4:DRA$4),"")</f>
        <v>45180</v>
      </c>
      <c r="J209" s="170" cm="1">
        <f t="array" ref="J209">IFERROR(_xlfn.XLOOKUP(TRUE,N209:EH209&lt;&gt;"",N209:EH209,,,-1)," ")</f>
        <v>25.4</v>
      </c>
      <c r="K209" s="49">
        <v>24</v>
      </c>
      <c r="L209" s="49"/>
      <c r="M209" s="284" t="s">
        <v>131</v>
      </c>
      <c r="N209" s="62"/>
      <c r="O209" s="62"/>
      <c r="P209" s="62"/>
      <c r="Q209" s="62"/>
      <c r="R209" s="62"/>
      <c r="S209" s="62"/>
      <c r="T209" s="62"/>
      <c r="U209" s="62"/>
      <c r="V209" s="62"/>
      <c r="W209" s="62"/>
      <c r="X209" s="62"/>
      <c r="Y209" s="62"/>
      <c r="Z209" s="62"/>
      <c r="AA209" s="62"/>
      <c r="AB209" s="62"/>
      <c r="AC209" s="62"/>
      <c r="AD209" s="62"/>
      <c r="AE209" s="62"/>
      <c r="AF209" s="62"/>
      <c r="AG209" s="62"/>
      <c r="AH209" s="62"/>
      <c r="AI209" s="62"/>
      <c r="AJ209" s="62"/>
      <c r="AK209" s="62"/>
      <c r="AL209" s="62"/>
      <c r="AM209" s="62"/>
      <c r="AN209" s="62"/>
      <c r="AO209" s="62"/>
      <c r="AP209" s="62"/>
      <c r="AQ209" s="62"/>
      <c r="AR209" s="62"/>
      <c r="AS209" s="62"/>
      <c r="AT209" s="62"/>
      <c r="AU209" s="63"/>
      <c r="AV209" s="63"/>
      <c r="AW209" s="62"/>
      <c r="AX209" s="62"/>
      <c r="AY209" s="62"/>
      <c r="AZ209" s="63"/>
      <c r="BA209" s="62"/>
      <c r="BB209" s="62"/>
      <c r="BC209" s="63"/>
      <c r="BD209" s="63"/>
      <c r="BE209" s="63"/>
      <c r="BF209" s="62"/>
      <c r="BG209" s="62">
        <v>25.4</v>
      </c>
      <c r="BH209" s="62"/>
      <c r="BI209" s="63"/>
      <c r="BJ209" s="63"/>
      <c r="BK209" s="62"/>
      <c r="BL209" s="62"/>
      <c r="BM209" s="62"/>
      <c r="BN209" s="63"/>
      <c r="BO209" s="62"/>
      <c r="BP209" s="64"/>
      <c r="BQ209" s="63"/>
      <c r="BR209" s="63"/>
      <c r="BS209" s="62"/>
      <c r="BT209" s="63"/>
      <c r="BU209" s="63"/>
      <c r="BV209" s="63"/>
      <c r="BW209" s="63"/>
      <c r="BX209" s="63"/>
      <c r="BY209" s="63"/>
      <c r="BZ209" s="63"/>
      <c r="CA209" s="63"/>
      <c r="CB209" s="62"/>
      <c r="CC209" s="51"/>
      <c r="CD209" s="63"/>
      <c r="CE209" s="63"/>
      <c r="CF209" s="62"/>
      <c r="CG209" s="63"/>
      <c r="CH209" s="63"/>
      <c r="CI209" s="63"/>
      <c r="CJ209" s="62"/>
      <c r="CK209" s="63"/>
      <c r="CL209" s="63"/>
      <c r="CM209" s="63"/>
      <c r="CN209" s="63"/>
      <c r="CO209" s="63"/>
      <c r="CP209" s="63"/>
      <c r="CQ209" s="63"/>
      <c r="CR209" s="63"/>
      <c r="CS209" s="63"/>
      <c r="CT209" s="63"/>
      <c r="CU209" s="63"/>
      <c r="CV209" s="63"/>
      <c r="CW209" s="63"/>
      <c r="CX209" s="63"/>
      <c r="CY209" s="63"/>
      <c r="CZ209" s="63"/>
      <c r="DA209" s="63"/>
      <c r="DB209" s="63"/>
      <c r="DC209" s="63"/>
      <c r="DD209" s="63"/>
      <c r="DE209" s="63"/>
      <c r="DF209" s="63"/>
      <c r="DG209" s="63"/>
      <c r="DH209" s="63"/>
      <c r="DI209" s="63"/>
      <c r="DJ209" s="63"/>
      <c r="DK209" s="63"/>
      <c r="DL209" s="63"/>
      <c r="DM209" s="63"/>
      <c r="DN209" s="63"/>
      <c r="DO209" s="63"/>
      <c r="DP209" s="63"/>
      <c r="DQ209" s="158"/>
      <c r="DR209" s="158"/>
      <c r="DS209" s="158"/>
      <c r="DT209" s="158"/>
      <c r="DU209" s="158"/>
      <c r="DV209" s="158"/>
      <c r="DW209" s="158"/>
      <c r="DX209" s="158"/>
      <c r="DY209" s="158"/>
      <c r="DZ209" s="22"/>
      <c r="EA209" s="22"/>
      <c r="EB209" s="22"/>
      <c r="EC209" s="22"/>
      <c r="ED209" s="22"/>
      <c r="EE209" s="22"/>
      <c r="EF209" s="22"/>
      <c r="EG209" s="22"/>
    </row>
    <row r="210" spans="1:137" s="5" customFormat="1" ht="15.9" customHeight="1" outlineLevel="1" x14ac:dyDescent="0.3">
      <c r="A210" s="6" t="s">
        <v>23</v>
      </c>
      <c r="B210" s="6" t="s">
        <v>23</v>
      </c>
      <c r="C210" s="50" t="s">
        <v>24</v>
      </c>
      <c r="D210" s="147"/>
      <c r="E210" s="6" t="s">
        <v>376</v>
      </c>
      <c r="F210" s="6" t="s">
        <v>412</v>
      </c>
      <c r="G210" s="11" t="s">
        <v>414</v>
      </c>
      <c r="H210" s="11"/>
      <c r="I210" s="205" cm="1">
        <f t="array" ref="I210">IFERROR(LOOKUP(2,1/(N210:GR210&lt;&gt;""),N$4:DRA$4),"")</f>
        <v>45181</v>
      </c>
      <c r="J210" s="170" cm="1">
        <f t="array" ref="J210">IFERROR(_xlfn.XLOOKUP(TRUE,N210:EH210&lt;&gt;"",N210:EH210,,,-1)," ")</f>
        <v>24.5</v>
      </c>
      <c r="K210" s="49">
        <v>24</v>
      </c>
      <c r="L210" s="49"/>
      <c r="M210" s="284" t="s">
        <v>131</v>
      </c>
      <c r="N210" s="62"/>
      <c r="O210" s="62"/>
      <c r="P210" s="62"/>
      <c r="Q210" s="62"/>
      <c r="R210" s="62"/>
      <c r="S210" s="62"/>
      <c r="T210" s="62"/>
      <c r="U210" s="62"/>
      <c r="V210" s="62"/>
      <c r="W210" s="62"/>
      <c r="X210" s="62"/>
      <c r="Y210" s="62"/>
      <c r="Z210" s="62"/>
      <c r="AA210" s="62"/>
      <c r="AB210" s="62"/>
      <c r="AC210" s="62"/>
      <c r="AD210" s="62"/>
      <c r="AE210" s="62"/>
      <c r="AF210" s="62"/>
      <c r="AG210" s="62"/>
      <c r="AH210" s="62"/>
      <c r="AI210" s="62"/>
      <c r="AJ210" s="62"/>
      <c r="AK210" s="62"/>
      <c r="AL210" s="62"/>
      <c r="AM210" s="62"/>
      <c r="AN210" s="62"/>
      <c r="AO210" s="62"/>
      <c r="AP210" s="62"/>
      <c r="AQ210" s="62"/>
      <c r="AR210" s="62"/>
      <c r="AS210" s="62"/>
      <c r="AT210" s="62"/>
      <c r="AU210" s="63"/>
      <c r="AV210" s="63"/>
      <c r="AW210" s="62"/>
      <c r="AX210" s="62"/>
      <c r="AY210" s="62"/>
      <c r="AZ210" s="63"/>
      <c r="BA210" s="62"/>
      <c r="BB210" s="62"/>
      <c r="BC210" s="63"/>
      <c r="BD210" s="63"/>
      <c r="BE210" s="63"/>
      <c r="BF210" s="62"/>
      <c r="BG210" s="62"/>
      <c r="BH210" s="64">
        <v>24.5</v>
      </c>
      <c r="BI210" s="63"/>
      <c r="BJ210" s="63"/>
      <c r="BK210" s="62"/>
      <c r="BL210" s="62"/>
      <c r="BM210" s="62"/>
      <c r="BN210" s="63"/>
      <c r="BO210" s="62"/>
      <c r="BP210" s="64"/>
      <c r="BQ210" s="63"/>
      <c r="BR210" s="63"/>
      <c r="BS210" s="62"/>
      <c r="BT210" s="63"/>
      <c r="BU210" s="63"/>
      <c r="BV210" s="63"/>
      <c r="BW210" s="63"/>
      <c r="BX210" s="63"/>
      <c r="BY210" s="63"/>
      <c r="BZ210" s="63"/>
      <c r="CA210" s="63"/>
      <c r="CB210" s="62"/>
      <c r="CC210" s="51"/>
      <c r="CD210" s="63"/>
      <c r="CE210" s="63"/>
      <c r="CF210" s="62"/>
      <c r="CG210" s="63"/>
      <c r="CH210" s="63"/>
      <c r="CI210" s="63"/>
      <c r="CJ210" s="62"/>
      <c r="CK210" s="63"/>
      <c r="CL210" s="63"/>
      <c r="CM210" s="63"/>
      <c r="CN210" s="63"/>
      <c r="CO210" s="63"/>
      <c r="CP210" s="63"/>
      <c r="CQ210" s="63"/>
      <c r="CR210" s="63"/>
      <c r="CS210" s="63"/>
      <c r="CT210" s="63"/>
      <c r="CU210" s="63"/>
      <c r="CV210" s="63"/>
      <c r="CW210" s="63"/>
      <c r="CX210" s="63"/>
      <c r="CY210" s="63"/>
      <c r="CZ210" s="63"/>
      <c r="DA210" s="63"/>
      <c r="DB210" s="63"/>
      <c r="DC210" s="63"/>
      <c r="DD210" s="63"/>
      <c r="DE210" s="63"/>
      <c r="DF210" s="63"/>
      <c r="DG210" s="63"/>
      <c r="DH210" s="63"/>
      <c r="DI210" s="63"/>
      <c r="DJ210" s="63"/>
      <c r="DK210" s="63"/>
      <c r="DL210" s="63"/>
      <c r="DM210" s="63"/>
      <c r="DN210" s="63"/>
      <c r="DO210" s="63"/>
      <c r="DP210" s="63"/>
      <c r="DQ210" s="158"/>
      <c r="DR210" s="158"/>
      <c r="DS210" s="158"/>
      <c r="DT210" s="158"/>
      <c r="DU210" s="158"/>
      <c r="DV210" s="158"/>
      <c r="DW210" s="158"/>
      <c r="DX210" s="158"/>
      <c r="DY210" s="158"/>
      <c r="DZ210" s="22"/>
      <c r="EA210" s="22"/>
      <c r="EB210" s="22"/>
      <c r="EC210" s="22"/>
      <c r="ED210" s="22"/>
      <c r="EE210" s="22"/>
      <c r="EF210" s="22"/>
      <c r="EG210" s="22"/>
    </row>
    <row r="211" spans="1:137" s="5" customFormat="1" ht="15.9" customHeight="1" outlineLevel="1" x14ac:dyDescent="0.3">
      <c r="A211" s="6" t="s">
        <v>23</v>
      </c>
      <c r="B211" s="6" t="s">
        <v>23</v>
      </c>
      <c r="C211" s="50" t="s">
        <v>24</v>
      </c>
      <c r="D211" s="147"/>
      <c r="E211" s="6" t="s">
        <v>376</v>
      </c>
      <c r="F211" s="6" t="s">
        <v>412</v>
      </c>
      <c r="G211" s="11" t="s">
        <v>415</v>
      </c>
      <c r="H211" s="11"/>
      <c r="I211" s="205" cm="1">
        <f t="array" ref="I211">IFERROR(LOOKUP(2,1/(N211:GR211&lt;&gt;""),N$4:DRA$4),"")</f>
        <v>45191</v>
      </c>
      <c r="J211" s="170" cm="1">
        <f t="array" ref="J211">IFERROR(_xlfn.XLOOKUP(TRUE,N211:EH211&lt;&gt;"",N211:EH211,,,-1)," ")</f>
        <v>25.4</v>
      </c>
      <c r="K211" s="49">
        <v>24</v>
      </c>
      <c r="L211" s="49"/>
      <c r="M211" s="284" t="s">
        <v>131</v>
      </c>
      <c r="N211" s="62"/>
      <c r="O211" s="62"/>
      <c r="P211" s="62"/>
      <c r="Q211" s="62"/>
      <c r="R211" s="62"/>
      <c r="S211" s="62"/>
      <c r="T211" s="62"/>
      <c r="U211" s="62"/>
      <c r="V211" s="62"/>
      <c r="W211" s="62"/>
      <c r="X211" s="62"/>
      <c r="Y211" s="62"/>
      <c r="Z211" s="62"/>
      <c r="AA211" s="62"/>
      <c r="AB211" s="62"/>
      <c r="AC211" s="62"/>
      <c r="AD211" s="62"/>
      <c r="AE211" s="62"/>
      <c r="AF211" s="62"/>
      <c r="AG211" s="62"/>
      <c r="AH211" s="62"/>
      <c r="AI211" s="62"/>
      <c r="AJ211" s="62"/>
      <c r="AK211" s="62"/>
      <c r="AL211" s="62"/>
      <c r="AM211" s="62"/>
      <c r="AN211" s="62"/>
      <c r="AO211" s="62"/>
      <c r="AP211" s="62"/>
      <c r="AQ211" s="62"/>
      <c r="AR211" s="62"/>
      <c r="AS211" s="62"/>
      <c r="AT211" s="62"/>
      <c r="AU211" s="63"/>
      <c r="AV211" s="63"/>
      <c r="AW211" s="62"/>
      <c r="AX211" s="62"/>
      <c r="AY211" s="62"/>
      <c r="AZ211" s="63"/>
      <c r="BA211" s="62"/>
      <c r="BB211" s="62"/>
      <c r="BC211" s="63"/>
      <c r="BD211" s="63"/>
      <c r="BE211" s="63"/>
      <c r="BF211" s="62"/>
      <c r="BG211" s="62"/>
      <c r="BH211" s="64">
        <v>22.1</v>
      </c>
      <c r="BI211" s="63"/>
      <c r="BJ211" s="63"/>
      <c r="BK211" s="62"/>
      <c r="BL211" s="62"/>
      <c r="BM211" s="62"/>
      <c r="BN211" s="63"/>
      <c r="BO211" s="62"/>
      <c r="BP211" s="64"/>
      <c r="BQ211" s="63"/>
      <c r="BR211" s="63">
        <v>25.4</v>
      </c>
      <c r="BS211" s="62"/>
      <c r="BT211" s="63"/>
      <c r="BU211" s="63"/>
      <c r="BV211" s="63"/>
      <c r="BW211" s="63"/>
      <c r="BX211" s="63"/>
      <c r="BY211" s="63"/>
      <c r="BZ211" s="63"/>
      <c r="CA211" s="63"/>
      <c r="CB211" s="62"/>
      <c r="CC211" s="51"/>
      <c r="CD211" s="63"/>
      <c r="CE211" s="63"/>
      <c r="CF211" s="62"/>
      <c r="CG211" s="63"/>
      <c r="CH211" s="63"/>
      <c r="CI211" s="63"/>
      <c r="CJ211" s="62"/>
      <c r="CK211" s="63"/>
      <c r="CL211" s="63"/>
      <c r="CM211" s="63"/>
      <c r="CN211" s="63"/>
      <c r="CO211" s="63"/>
      <c r="CP211" s="63"/>
      <c r="CQ211" s="63"/>
      <c r="CR211" s="63"/>
      <c r="CS211" s="63"/>
      <c r="CT211" s="63"/>
      <c r="CU211" s="63"/>
      <c r="CV211" s="63"/>
      <c r="CW211" s="63"/>
      <c r="CX211" s="63"/>
      <c r="CY211" s="63"/>
      <c r="CZ211" s="63"/>
      <c r="DA211" s="63"/>
      <c r="DB211" s="63"/>
      <c r="DC211" s="63"/>
      <c r="DD211" s="63"/>
      <c r="DE211" s="63"/>
      <c r="DF211" s="63"/>
      <c r="DG211" s="63"/>
      <c r="DH211" s="63"/>
      <c r="DI211" s="63"/>
      <c r="DJ211" s="63"/>
      <c r="DK211" s="63"/>
      <c r="DL211" s="63"/>
      <c r="DM211" s="63"/>
      <c r="DN211" s="63"/>
      <c r="DO211" s="63"/>
      <c r="DP211" s="63"/>
      <c r="DQ211" s="158"/>
      <c r="DR211" s="158"/>
      <c r="DS211" s="158"/>
      <c r="DT211" s="158"/>
      <c r="DU211" s="158"/>
      <c r="DV211" s="158"/>
      <c r="DW211" s="158"/>
      <c r="DX211" s="158"/>
      <c r="DY211" s="158"/>
      <c r="DZ211" s="22"/>
      <c r="EA211" s="22"/>
      <c r="EB211" s="22"/>
      <c r="EC211" s="22"/>
      <c r="ED211" s="22"/>
      <c r="EE211" s="22"/>
      <c r="EF211" s="22"/>
      <c r="EG211" s="22"/>
    </row>
    <row r="212" spans="1:137" s="10" customFormat="1" ht="15.9" customHeight="1" outlineLevel="1" x14ac:dyDescent="0.3">
      <c r="A212" s="7" t="s">
        <v>22</v>
      </c>
      <c r="B212" s="7" t="s">
        <v>23</v>
      </c>
      <c r="C212" s="8" t="s">
        <v>24</v>
      </c>
      <c r="D212" s="146">
        <v>66.48</v>
      </c>
      <c r="E212" s="7" t="s">
        <v>376</v>
      </c>
      <c r="F212" s="7" t="s">
        <v>416</v>
      </c>
      <c r="G212" s="9" t="s">
        <v>417</v>
      </c>
      <c r="H212" s="9"/>
      <c r="I212" s="204" cm="1">
        <f t="array" ref="I212">IFERROR(LOOKUP(2,1/(N212:GR212&lt;&gt;""),N$4:DRA$4),"")</f>
        <v>45204</v>
      </c>
      <c r="J212" s="169" t="str" cm="1">
        <f t="array" ref="J212">IFERROR(_xlfn.XLOOKUP(TRUE,N212:EH212&lt;&gt;"",N212:EH212,,,-1)," ")</f>
        <v>23.6*</v>
      </c>
      <c r="K212" s="45">
        <v>24</v>
      </c>
      <c r="L212" s="45"/>
      <c r="M212" s="282" t="s">
        <v>151</v>
      </c>
      <c r="N212" s="57"/>
      <c r="O212" s="57"/>
      <c r="P212" s="57"/>
      <c r="Q212" s="57"/>
      <c r="R212" s="57"/>
      <c r="S212" s="57"/>
      <c r="T212" s="57"/>
      <c r="U212" s="57"/>
      <c r="V212" s="57"/>
      <c r="W212" s="57"/>
      <c r="X212" s="57"/>
      <c r="Y212" s="57"/>
      <c r="Z212" s="57"/>
      <c r="AA212" s="57"/>
      <c r="AB212" s="57"/>
      <c r="AC212" s="57"/>
      <c r="AD212" s="57"/>
      <c r="AE212" s="57"/>
      <c r="AF212" s="57"/>
      <c r="AG212" s="57"/>
      <c r="AH212" s="57"/>
      <c r="AI212" s="57"/>
      <c r="AJ212" s="57"/>
      <c r="AK212" s="57"/>
      <c r="AL212" s="57"/>
      <c r="AM212" s="57"/>
      <c r="AN212" s="57"/>
      <c r="AO212" s="57"/>
      <c r="AP212" s="57"/>
      <c r="AQ212" s="57"/>
      <c r="AR212" s="57"/>
      <c r="AS212" s="57"/>
      <c r="AT212" s="57"/>
      <c r="AU212" s="61"/>
      <c r="AV212" s="61"/>
      <c r="AW212" s="57"/>
      <c r="AX212" s="57"/>
      <c r="AY212" s="57"/>
      <c r="AZ212" s="61"/>
      <c r="BA212" s="57"/>
      <c r="BB212" s="57"/>
      <c r="BC212" s="61"/>
      <c r="BD212" s="61"/>
      <c r="BE212" s="61"/>
      <c r="BF212" s="57"/>
      <c r="BG212" s="57"/>
      <c r="BH212" s="57"/>
      <c r="BI212" s="61"/>
      <c r="BJ212" s="61"/>
      <c r="BK212" s="57"/>
      <c r="BL212" s="57"/>
      <c r="BM212" s="57"/>
      <c r="BN212" s="61"/>
      <c r="BO212" s="57"/>
      <c r="BP212" s="58"/>
      <c r="BQ212" s="61"/>
      <c r="BR212" s="57"/>
      <c r="BS212" s="57"/>
      <c r="BT212" s="57"/>
      <c r="BU212" s="57"/>
      <c r="BV212" s="57"/>
      <c r="BW212" s="57">
        <v>23.1</v>
      </c>
      <c r="BX212" s="171">
        <v>24</v>
      </c>
      <c r="BY212" s="57"/>
      <c r="BZ212" s="57"/>
      <c r="CA212" s="57"/>
      <c r="CB212" s="57"/>
      <c r="CC212" s="27"/>
      <c r="CD212" s="61"/>
      <c r="CE212" s="61" t="s">
        <v>210</v>
      </c>
      <c r="CF212" s="57"/>
      <c r="CG212" s="61"/>
      <c r="CH212" s="61"/>
      <c r="CI212" s="61"/>
      <c r="CJ212" s="57"/>
      <c r="CK212" s="61"/>
      <c r="CL212" s="61"/>
      <c r="CM212" s="61"/>
      <c r="CN212" s="61"/>
      <c r="CO212" s="61"/>
      <c r="CP212" s="61"/>
      <c r="CQ212" s="61"/>
      <c r="CR212" s="61"/>
      <c r="CS212" s="61"/>
      <c r="CT212" s="61"/>
      <c r="CU212" s="61"/>
      <c r="CV212" s="61"/>
      <c r="CW212" s="61"/>
      <c r="CX212" s="61"/>
      <c r="CY212" s="61"/>
      <c r="CZ212" s="61"/>
      <c r="DA212" s="61"/>
      <c r="DB212" s="61"/>
      <c r="DC212" s="61"/>
      <c r="DD212" s="61"/>
      <c r="DE212" s="61"/>
      <c r="DF212" s="61"/>
      <c r="DG212" s="61"/>
      <c r="DH212" s="61"/>
      <c r="DI212" s="61"/>
      <c r="DJ212" s="61"/>
      <c r="DK212" s="61"/>
      <c r="DL212" s="61"/>
      <c r="DM212" s="61"/>
      <c r="DN212" s="61"/>
      <c r="DO212" s="61"/>
      <c r="DP212" s="61"/>
      <c r="DQ212" s="156"/>
      <c r="DR212" s="156"/>
      <c r="DS212" s="156"/>
      <c r="DT212" s="156"/>
      <c r="DU212" s="156"/>
      <c r="DV212" s="156"/>
      <c r="DW212" s="156"/>
      <c r="DX212" s="156"/>
      <c r="DY212" s="156"/>
      <c r="DZ212" s="22"/>
      <c r="EA212" s="22"/>
      <c r="EB212" s="22"/>
      <c r="EC212" s="22"/>
      <c r="ED212" s="22"/>
      <c r="EE212" s="22"/>
      <c r="EF212" s="22"/>
      <c r="EG212" s="22"/>
    </row>
    <row r="213" spans="1:137" s="10" customFormat="1" ht="15.9" customHeight="1" outlineLevel="1" x14ac:dyDescent="0.3">
      <c r="A213" s="7" t="s">
        <v>22</v>
      </c>
      <c r="B213" s="7" t="s">
        <v>23</v>
      </c>
      <c r="C213" s="8" t="s">
        <v>24</v>
      </c>
      <c r="D213" s="146"/>
      <c r="E213" s="7" t="s">
        <v>376</v>
      </c>
      <c r="F213" s="7" t="s">
        <v>416</v>
      </c>
      <c r="G213" s="9" t="s">
        <v>418</v>
      </c>
      <c r="H213" s="9"/>
      <c r="I213" s="204" t="str" cm="1">
        <f t="array" ref="I213">IFERROR(LOOKUP(2,1/(N213:GR213&lt;&gt;""),N$4:DRA$4),"")</f>
        <v/>
      </c>
      <c r="J213" s="169" t="str" cm="1">
        <f t="array" ref="J213">IFERROR(_xlfn.XLOOKUP(TRUE,N213:EH213&lt;&gt;"",N213:EH213,,,-1)," ")</f>
        <v xml:space="preserve"> </v>
      </c>
      <c r="K213" s="45">
        <v>24</v>
      </c>
      <c r="L213" s="45"/>
      <c r="M213" s="282" t="s">
        <v>151</v>
      </c>
      <c r="N213" s="57"/>
      <c r="O213" s="57"/>
      <c r="P213" s="57"/>
      <c r="Q213" s="57"/>
      <c r="R213" s="57"/>
      <c r="S213" s="57"/>
      <c r="T213" s="57"/>
      <c r="U213" s="57"/>
      <c r="V213" s="57"/>
      <c r="W213" s="57"/>
      <c r="X213" s="57"/>
      <c r="Y213" s="57"/>
      <c r="Z213" s="57"/>
      <c r="AA213" s="57"/>
      <c r="AB213" s="57"/>
      <c r="AC213" s="57"/>
      <c r="AD213" s="57"/>
      <c r="AE213" s="57"/>
      <c r="AF213" s="57"/>
      <c r="AG213" s="57"/>
      <c r="AH213" s="57"/>
      <c r="AI213" s="57"/>
      <c r="AJ213" s="57"/>
      <c r="AK213" s="57"/>
      <c r="AL213" s="57"/>
      <c r="AM213" s="57"/>
      <c r="AN213" s="57"/>
      <c r="AO213" s="57"/>
      <c r="AP213" s="57"/>
      <c r="AQ213" s="57"/>
      <c r="AR213" s="57"/>
      <c r="AS213" s="57"/>
      <c r="AT213" s="57"/>
      <c r="AU213" s="61"/>
      <c r="AV213" s="61"/>
      <c r="AW213" s="57"/>
      <c r="AX213" s="57"/>
      <c r="AY213" s="57"/>
      <c r="AZ213" s="61"/>
      <c r="BA213" s="57"/>
      <c r="BB213" s="57"/>
      <c r="BC213" s="61"/>
      <c r="BD213" s="61"/>
      <c r="BE213" s="61"/>
      <c r="BF213" s="57"/>
      <c r="BG213" s="57"/>
      <c r="BH213" s="57"/>
      <c r="BI213" s="61"/>
      <c r="BJ213" s="61"/>
      <c r="BK213" s="57"/>
      <c r="BL213" s="57"/>
      <c r="BM213" s="57"/>
      <c r="BN213" s="61"/>
      <c r="BO213" s="57"/>
      <c r="BP213" s="58"/>
      <c r="BQ213" s="61"/>
      <c r="BR213" s="57"/>
      <c r="BS213" s="57"/>
      <c r="BT213" s="57"/>
      <c r="BU213" s="57"/>
      <c r="BV213" s="57"/>
      <c r="BW213" s="57"/>
      <c r="BX213" s="57"/>
      <c r="BY213" s="57"/>
      <c r="BZ213" s="57"/>
      <c r="CA213" s="57"/>
      <c r="CB213" s="57"/>
      <c r="CC213" s="27"/>
      <c r="CD213" s="61"/>
      <c r="CE213" s="61"/>
      <c r="CF213" s="57"/>
      <c r="CG213" s="61"/>
      <c r="CH213" s="61"/>
      <c r="CI213" s="61"/>
      <c r="CJ213" s="57"/>
      <c r="CK213" s="61"/>
      <c r="CL213" s="61"/>
      <c r="CM213" s="61"/>
      <c r="CN213" s="61"/>
      <c r="CO213" s="61"/>
      <c r="CP213" s="61"/>
      <c r="CQ213" s="61"/>
      <c r="CR213" s="61"/>
      <c r="CS213" s="61"/>
      <c r="CT213" s="61"/>
      <c r="CU213" s="61"/>
      <c r="CV213" s="61"/>
      <c r="CW213" s="61"/>
      <c r="CX213" s="61"/>
      <c r="CY213" s="61"/>
      <c r="CZ213" s="61"/>
      <c r="DA213" s="61"/>
      <c r="DB213" s="61"/>
      <c r="DC213" s="61"/>
      <c r="DD213" s="61"/>
      <c r="DE213" s="61"/>
      <c r="DF213" s="61"/>
      <c r="DG213" s="61"/>
      <c r="DH213" s="61"/>
      <c r="DI213" s="61"/>
      <c r="DJ213" s="61"/>
      <c r="DK213" s="61"/>
      <c r="DL213" s="61"/>
      <c r="DM213" s="61"/>
      <c r="DN213" s="61"/>
      <c r="DO213" s="61"/>
      <c r="DP213" s="61"/>
      <c r="DQ213" s="156"/>
      <c r="DR213" s="156"/>
      <c r="DS213" s="156"/>
      <c r="DT213" s="156"/>
      <c r="DU213" s="156"/>
      <c r="DV213" s="156"/>
      <c r="DW213" s="156"/>
      <c r="DX213" s="156"/>
      <c r="DY213" s="156"/>
      <c r="DZ213" s="59"/>
      <c r="EA213" s="59"/>
      <c r="EB213" s="59"/>
      <c r="EC213" s="59"/>
      <c r="ED213" s="59"/>
      <c r="EE213" s="59"/>
      <c r="EF213" s="59"/>
      <c r="EG213" s="59"/>
    </row>
    <row r="214" spans="1:137" s="10" customFormat="1" ht="15.9" customHeight="1" outlineLevel="1" x14ac:dyDescent="0.3">
      <c r="A214" s="7" t="s">
        <v>22</v>
      </c>
      <c r="B214" s="7" t="s">
        <v>23</v>
      </c>
      <c r="C214" s="8" t="s">
        <v>24</v>
      </c>
      <c r="D214" s="146"/>
      <c r="E214" s="7" t="s">
        <v>376</v>
      </c>
      <c r="F214" s="7" t="s">
        <v>416</v>
      </c>
      <c r="G214" s="9" t="s">
        <v>419</v>
      </c>
      <c r="H214" s="9"/>
      <c r="I214" s="204" t="str" cm="1">
        <f t="array" ref="I214">IFERROR(LOOKUP(2,1/(N214:GR214&lt;&gt;""),N$4:DRA$4),"")</f>
        <v/>
      </c>
      <c r="J214" s="169" t="str" cm="1">
        <f t="array" ref="J214">IFERROR(_xlfn.XLOOKUP(TRUE,N214:EH214&lt;&gt;"",N214:EH214,,,-1)," ")</f>
        <v xml:space="preserve"> </v>
      </c>
      <c r="K214" s="45">
        <v>24</v>
      </c>
      <c r="L214" s="45"/>
      <c r="M214" s="282" t="s">
        <v>151</v>
      </c>
      <c r="N214" s="57"/>
      <c r="O214" s="57"/>
      <c r="P214" s="57"/>
      <c r="Q214" s="57"/>
      <c r="R214" s="57"/>
      <c r="S214" s="57"/>
      <c r="T214" s="57"/>
      <c r="U214" s="57"/>
      <c r="V214" s="57"/>
      <c r="W214" s="57"/>
      <c r="X214" s="57"/>
      <c r="Y214" s="57"/>
      <c r="Z214" s="57"/>
      <c r="AA214" s="57"/>
      <c r="AB214" s="57"/>
      <c r="AC214" s="57"/>
      <c r="AD214" s="57"/>
      <c r="AE214" s="57"/>
      <c r="AF214" s="57"/>
      <c r="AG214" s="57"/>
      <c r="AH214" s="57"/>
      <c r="AI214" s="57"/>
      <c r="AJ214" s="57"/>
      <c r="AK214" s="57"/>
      <c r="AL214" s="57"/>
      <c r="AM214" s="57"/>
      <c r="AN214" s="57"/>
      <c r="AO214" s="57"/>
      <c r="AP214" s="57"/>
      <c r="AQ214" s="57"/>
      <c r="AR214" s="57"/>
      <c r="AS214" s="57"/>
      <c r="AT214" s="57"/>
      <c r="AU214" s="61"/>
      <c r="AV214" s="61"/>
      <c r="AW214" s="57"/>
      <c r="AX214" s="57"/>
      <c r="AY214" s="57"/>
      <c r="AZ214" s="61"/>
      <c r="BA214" s="57"/>
      <c r="BB214" s="57"/>
      <c r="BC214" s="61"/>
      <c r="BD214" s="61"/>
      <c r="BE214" s="61"/>
      <c r="BF214" s="57"/>
      <c r="BG214" s="57"/>
      <c r="BH214" s="57"/>
      <c r="BI214" s="61"/>
      <c r="BJ214" s="61"/>
      <c r="BK214" s="57"/>
      <c r="BL214" s="57"/>
      <c r="BM214" s="57"/>
      <c r="BN214" s="61"/>
      <c r="BO214" s="57"/>
      <c r="BP214" s="58"/>
      <c r="BQ214" s="61"/>
      <c r="BR214" s="57"/>
      <c r="BS214" s="57"/>
      <c r="BT214" s="57"/>
      <c r="BU214" s="57"/>
      <c r="BV214" s="57"/>
      <c r="BW214" s="57"/>
      <c r="BX214" s="57"/>
      <c r="BY214" s="57"/>
      <c r="BZ214" s="57"/>
      <c r="CA214" s="57"/>
      <c r="CB214" s="57"/>
      <c r="CC214" s="27"/>
      <c r="CD214" s="61"/>
      <c r="CE214" s="61"/>
      <c r="CF214" s="57"/>
      <c r="CG214" s="61"/>
      <c r="CH214" s="61"/>
      <c r="CI214" s="61"/>
      <c r="CJ214" s="57"/>
      <c r="CK214" s="61"/>
      <c r="CL214" s="61"/>
      <c r="CM214" s="61"/>
      <c r="CN214" s="61"/>
      <c r="CO214" s="61"/>
      <c r="CP214" s="61"/>
      <c r="CQ214" s="61"/>
      <c r="CR214" s="61"/>
      <c r="CS214" s="61"/>
      <c r="CT214" s="61"/>
      <c r="CU214" s="61"/>
      <c r="CV214" s="61"/>
      <c r="CW214" s="61"/>
      <c r="CX214" s="61"/>
      <c r="CY214" s="61"/>
      <c r="CZ214" s="61"/>
      <c r="DA214" s="61"/>
      <c r="DB214" s="61"/>
      <c r="DC214" s="61"/>
      <c r="DD214" s="61"/>
      <c r="DE214" s="61"/>
      <c r="DF214" s="61"/>
      <c r="DG214" s="61"/>
      <c r="DH214" s="61"/>
      <c r="DI214" s="61"/>
      <c r="DJ214" s="61"/>
      <c r="DK214" s="61"/>
      <c r="DL214" s="61"/>
      <c r="DM214" s="61"/>
      <c r="DN214" s="61"/>
      <c r="DO214" s="61"/>
      <c r="DP214" s="61"/>
      <c r="DQ214" s="156"/>
      <c r="DR214" s="156"/>
      <c r="DS214" s="156"/>
      <c r="DT214" s="156"/>
      <c r="DU214" s="156"/>
      <c r="DV214" s="156"/>
      <c r="DW214" s="156"/>
      <c r="DX214" s="156"/>
      <c r="DY214" s="156"/>
      <c r="DZ214" s="59"/>
      <c r="EA214" s="59"/>
      <c r="EB214" s="59"/>
      <c r="EC214" s="59"/>
      <c r="ED214" s="59"/>
      <c r="EE214" s="59"/>
      <c r="EF214" s="59"/>
      <c r="EG214" s="59"/>
    </row>
    <row r="215" spans="1:137" s="5" customFormat="1" ht="15.9" customHeight="1" outlineLevel="1" x14ac:dyDescent="0.3">
      <c r="A215" s="6"/>
      <c r="B215" s="6"/>
      <c r="C215" s="50" t="s">
        <v>44</v>
      </c>
      <c r="D215" s="147"/>
      <c r="E215" s="6" t="s">
        <v>376</v>
      </c>
      <c r="F215" s="6" t="s">
        <v>420</v>
      </c>
      <c r="G215" s="11" t="s">
        <v>421</v>
      </c>
      <c r="H215" s="11"/>
      <c r="I215" s="205" cm="1">
        <f t="array" ref="I215">IFERROR(LOOKUP(2,1/(N215:GR215&lt;&gt;""),N$4:DRA$4),"")</f>
        <v>45224</v>
      </c>
      <c r="J215" s="170" cm="1">
        <f t="array" ref="J215">IFERROR(_xlfn.XLOOKUP(TRUE,N215:EH215&lt;&gt;"",N215:EH215,,,-1)," ")</f>
        <v>24.8</v>
      </c>
      <c r="K215" s="49">
        <v>24.5</v>
      </c>
      <c r="L215" s="49"/>
      <c r="M215" s="284" t="s">
        <v>120</v>
      </c>
      <c r="N215" s="62"/>
      <c r="O215" s="62"/>
      <c r="P215" s="62"/>
      <c r="Q215" s="62"/>
      <c r="R215" s="62"/>
      <c r="S215" s="62"/>
      <c r="T215" s="62"/>
      <c r="U215" s="62"/>
      <c r="V215" s="62"/>
      <c r="W215" s="62"/>
      <c r="X215" s="62"/>
      <c r="Y215" s="62"/>
      <c r="Z215" s="62"/>
      <c r="AA215" s="62"/>
      <c r="AB215" s="62"/>
      <c r="AC215" s="62"/>
      <c r="AD215" s="62"/>
      <c r="AE215" s="62"/>
      <c r="AF215" s="62"/>
      <c r="AG215" s="62"/>
      <c r="AH215" s="62"/>
      <c r="AI215" s="62"/>
      <c r="AJ215" s="62"/>
      <c r="AK215" s="62"/>
      <c r="AL215" s="62"/>
      <c r="AM215" s="62"/>
      <c r="AN215" s="62"/>
      <c r="AO215" s="62"/>
      <c r="AP215" s="62"/>
      <c r="AQ215" s="62"/>
      <c r="AR215" s="62"/>
      <c r="AS215" s="62"/>
      <c r="AT215" s="62"/>
      <c r="AU215" s="63"/>
      <c r="AV215" s="63"/>
      <c r="AW215" s="62"/>
      <c r="AX215" s="62"/>
      <c r="AY215" s="62"/>
      <c r="AZ215" s="63"/>
      <c r="BA215" s="62"/>
      <c r="BB215" s="62"/>
      <c r="BC215" s="63"/>
      <c r="BD215" s="63"/>
      <c r="BE215" s="63"/>
      <c r="BF215" s="62"/>
      <c r="BG215" s="62"/>
      <c r="BH215" s="62"/>
      <c r="BI215" s="63"/>
      <c r="BJ215" s="63"/>
      <c r="BK215" s="62"/>
      <c r="BL215" s="62"/>
      <c r="BM215" s="62"/>
      <c r="BN215" s="63"/>
      <c r="BO215" s="62"/>
      <c r="BP215" s="64"/>
      <c r="BQ215" s="63"/>
      <c r="BR215" s="62"/>
      <c r="BS215" s="62"/>
      <c r="BT215" s="62"/>
      <c r="BU215" s="62"/>
      <c r="BV215" s="62"/>
      <c r="BW215" s="62"/>
      <c r="BX215" s="62"/>
      <c r="BY215" s="62"/>
      <c r="BZ215" s="62"/>
      <c r="CA215" s="62"/>
      <c r="CB215" s="62"/>
      <c r="CC215" s="51"/>
      <c r="CD215" s="63"/>
      <c r="CE215" s="63"/>
      <c r="CF215" s="62"/>
      <c r="CG215" s="63"/>
      <c r="CH215" s="63"/>
      <c r="CI215" s="63"/>
      <c r="CJ215" s="62"/>
      <c r="CK215" s="63"/>
      <c r="CL215" s="63"/>
      <c r="CM215" s="63"/>
      <c r="CN215" s="63"/>
      <c r="CO215" s="63"/>
      <c r="CP215" s="63"/>
      <c r="CQ215" s="63"/>
      <c r="CR215" s="63"/>
      <c r="CS215" s="63"/>
      <c r="CT215" s="63"/>
      <c r="CU215" s="63"/>
      <c r="CV215" s="63"/>
      <c r="CW215" s="63"/>
      <c r="CX215" s="63"/>
      <c r="CY215" s="63">
        <v>24.8</v>
      </c>
      <c r="CZ215" s="63"/>
      <c r="DA215" s="63"/>
      <c r="DB215" s="63"/>
      <c r="DC215" s="63"/>
      <c r="DD215" s="63"/>
      <c r="DE215" s="63"/>
      <c r="DF215" s="63"/>
      <c r="DG215" s="63"/>
      <c r="DH215" s="63"/>
      <c r="DI215" s="63"/>
      <c r="DJ215" s="63"/>
      <c r="DK215" s="63"/>
      <c r="DL215" s="63"/>
      <c r="DM215" s="63"/>
      <c r="DN215" s="63"/>
      <c r="DO215" s="63"/>
      <c r="DP215" s="63"/>
      <c r="DQ215" s="158"/>
      <c r="DR215" s="158"/>
      <c r="DS215" s="158"/>
      <c r="DT215" s="158"/>
      <c r="DU215" s="158"/>
      <c r="DV215" s="158"/>
      <c r="DW215" s="158"/>
      <c r="DX215" s="158"/>
      <c r="DY215" s="158"/>
      <c r="DZ215" s="59"/>
      <c r="EA215" s="59"/>
      <c r="EB215" s="59"/>
      <c r="EC215" s="59"/>
      <c r="ED215" s="59"/>
      <c r="EE215" s="59"/>
      <c r="EF215" s="59"/>
      <c r="EG215" s="59"/>
    </row>
    <row r="216" spans="1:137" s="5" customFormat="1" ht="15.9" customHeight="1" outlineLevel="1" x14ac:dyDescent="0.3">
      <c r="A216" s="6"/>
      <c r="B216" s="6"/>
      <c r="C216" s="50" t="s">
        <v>44</v>
      </c>
      <c r="D216" s="147"/>
      <c r="E216" s="6" t="s">
        <v>376</v>
      </c>
      <c r="F216" s="6" t="s">
        <v>420</v>
      </c>
      <c r="G216" s="11" t="s">
        <v>422</v>
      </c>
      <c r="H216" s="11"/>
      <c r="I216" s="205" cm="1">
        <f t="array" ref="I216">IFERROR(LOOKUP(2,1/(N216:GR216&lt;&gt;""),N$4:DRA$4),"")</f>
        <v>45224</v>
      </c>
      <c r="J216" s="170" cm="1">
        <f t="array" ref="J216">IFERROR(_xlfn.XLOOKUP(TRUE,N216:EH216&lt;&gt;"",N216:EH216,,,-1)," ")</f>
        <v>26.2</v>
      </c>
      <c r="K216" s="49">
        <v>24.5</v>
      </c>
      <c r="L216" s="49"/>
      <c r="M216" s="284" t="s">
        <v>120</v>
      </c>
      <c r="N216" s="62"/>
      <c r="O216" s="62"/>
      <c r="P216" s="62"/>
      <c r="Q216" s="62"/>
      <c r="R216" s="62"/>
      <c r="S216" s="62"/>
      <c r="T216" s="62"/>
      <c r="U216" s="62"/>
      <c r="V216" s="62"/>
      <c r="W216" s="62"/>
      <c r="X216" s="62"/>
      <c r="Y216" s="62"/>
      <c r="Z216" s="62"/>
      <c r="AA216" s="62"/>
      <c r="AB216" s="62"/>
      <c r="AC216" s="62"/>
      <c r="AD216" s="62"/>
      <c r="AE216" s="62"/>
      <c r="AF216" s="62"/>
      <c r="AG216" s="62"/>
      <c r="AH216" s="62"/>
      <c r="AI216" s="62"/>
      <c r="AJ216" s="62"/>
      <c r="AK216" s="62"/>
      <c r="AL216" s="62"/>
      <c r="AM216" s="62"/>
      <c r="AN216" s="62"/>
      <c r="AO216" s="62"/>
      <c r="AP216" s="62"/>
      <c r="AQ216" s="62"/>
      <c r="AR216" s="62"/>
      <c r="AS216" s="62"/>
      <c r="AT216" s="62"/>
      <c r="AU216" s="63"/>
      <c r="AV216" s="63"/>
      <c r="AW216" s="62"/>
      <c r="AX216" s="62"/>
      <c r="AY216" s="62"/>
      <c r="AZ216" s="63"/>
      <c r="BA216" s="62"/>
      <c r="BB216" s="62"/>
      <c r="BC216" s="63"/>
      <c r="BD216" s="63"/>
      <c r="BE216" s="63"/>
      <c r="BF216" s="62"/>
      <c r="BG216" s="62"/>
      <c r="BH216" s="62"/>
      <c r="BI216" s="63"/>
      <c r="BJ216" s="63"/>
      <c r="BK216" s="62"/>
      <c r="BL216" s="62"/>
      <c r="BM216" s="62"/>
      <c r="BN216" s="63"/>
      <c r="BO216" s="62"/>
      <c r="BP216" s="64"/>
      <c r="BQ216" s="63"/>
      <c r="BR216" s="62"/>
      <c r="BS216" s="62"/>
      <c r="BT216" s="62"/>
      <c r="BU216" s="62"/>
      <c r="BV216" s="62"/>
      <c r="BW216" s="62"/>
      <c r="BX216" s="62"/>
      <c r="BY216" s="62"/>
      <c r="BZ216" s="62"/>
      <c r="CA216" s="62"/>
      <c r="CB216" s="62"/>
      <c r="CC216" s="51"/>
      <c r="CD216" s="63"/>
      <c r="CE216" s="63"/>
      <c r="CF216" s="62"/>
      <c r="CG216" s="63"/>
      <c r="CH216" s="63"/>
      <c r="CI216" s="63"/>
      <c r="CJ216" s="62"/>
      <c r="CK216" s="63"/>
      <c r="CL216" s="63"/>
      <c r="CM216" s="63"/>
      <c r="CN216" s="63"/>
      <c r="CO216" s="63"/>
      <c r="CP216" s="63"/>
      <c r="CQ216" s="63"/>
      <c r="CR216" s="63"/>
      <c r="CS216" s="63"/>
      <c r="CT216" s="63"/>
      <c r="CU216" s="63"/>
      <c r="CV216" s="63"/>
      <c r="CW216" s="63"/>
      <c r="CX216" s="63"/>
      <c r="CY216" s="63">
        <v>26.2</v>
      </c>
      <c r="CZ216" s="63"/>
      <c r="DA216" s="63"/>
      <c r="DB216" s="63"/>
      <c r="DC216" s="63"/>
      <c r="DD216" s="63"/>
      <c r="DE216" s="63"/>
      <c r="DF216" s="63"/>
      <c r="DG216" s="63"/>
      <c r="DH216" s="63"/>
      <c r="DI216" s="63"/>
      <c r="DJ216" s="63"/>
      <c r="DK216" s="63"/>
      <c r="DL216" s="63"/>
      <c r="DM216" s="63"/>
      <c r="DN216" s="63"/>
      <c r="DO216" s="63"/>
      <c r="DP216" s="63"/>
      <c r="DQ216" s="158"/>
      <c r="DR216" s="158"/>
      <c r="DS216" s="158"/>
      <c r="DT216" s="158"/>
      <c r="DU216" s="158"/>
      <c r="DV216" s="158"/>
      <c r="DW216" s="158"/>
      <c r="DX216" s="158"/>
      <c r="DY216" s="158"/>
      <c r="DZ216" s="59"/>
      <c r="EA216" s="59"/>
      <c r="EB216" s="59"/>
      <c r="EC216" s="59"/>
      <c r="ED216" s="59"/>
      <c r="EE216" s="59"/>
      <c r="EF216" s="59"/>
      <c r="EG216" s="59"/>
    </row>
    <row r="217" spans="1:137" s="5" customFormat="1" ht="15.9" customHeight="1" outlineLevel="1" x14ac:dyDescent="0.3">
      <c r="A217" s="6"/>
      <c r="B217" s="6"/>
      <c r="C217" s="50" t="s">
        <v>44</v>
      </c>
      <c r="D217" s="147"/>
      <c r="E217" s="6" t="s">
        <v>376</v>
      </c>
      <c r="F217" s="6" t="s">
        <v>420</v>
      </c>
      <c r="G217" s="11" t="s">
        <v>423</v>
      </c>
      <c r="H217" s="11"/>
      <c r="I217" s="205" cm="1">
        <f t="array" ref="I217">IFERROR(LOOKUP(2,1/(N217:GR217&lt;&gt;""),N$4:DRA$4),"")</f>
        <v>45224</v>
      </c>
      <c r="J217" s="170" cm="1">
        <f t="array" ref="J217">IFERROR(_xlfn.XLOOKUP(TRUE,N217:EH217&lt;&gt;"",N217:EH217,,,-1)," ")</f>
        <v>25.3</v>
      </c>
      <c r="K217" s="49">
        <v>24.5</v>
      </c>
      <c r="L217" s="49"/>
      <c r="M217" s="284" t="s">
        <v>120</v>
      </c>
      <c r="N217" s="62"/>
      <c r="O217" s="62"/>
      <c r="P217" s="62"/>
      <c r="Q217" s="62"/>
      <c r="R217" s="62"/>
      <c r="S217" s="62"/>
      <c r="T217" s="62"/>
      <c r="U217" s="62"/>
      <c r="V217" s="62"/>
      <c r="W217" s="62"/>
      <c r="X217" s="62"/>
      <c r="Y217" s="62"/>
      <c r="Z217" s="62"/>
      <c r="AA217" s="62"/>
      <c r="AB217" s="62"/>
      <c r="AC217" s="62"/>
      <c r="AD217" s="62"/>
      <c r="AE217" s="62"/>
      <c r="AF217" s="62"/>
      <c r="AG217" s="62"/>
      <c r="AH217" s="62"/>
      <c r="AI217" s="62"/>
      <c r="AJ217" s="62"/>
      <c r="AK217" s="62"/>
      <c r="AL217" s="62"/>
      <c r="AM217" s="62"/>
      <c r="AN217" s="62"/>
      <c r="AO217" s="62"/>
      <c r="AP217" s="62"/>
      <c r="AQ217" s="62"/>
      <c r="AR217" s="62"/>
      <c r="AS217" s="62"/>
      <c r="AT217" s="62"/>
      <c r="AU217" s="63"/>
      <c r="AV217" s="63"/>
      <c r="AW217" s="62"/>
      <c r="AX217" s="62"/>
      <c r="AY217" s="62"/>
      <c r="AZ217" s="63"/>
      <c r="BA217" s="62"/>
      <c r="BB217" s="62"/>
      <c r="BC217" s="63"/>
      <c r="BD217" s="63"/>
      <c r="BE217" s="63"/>
      <c r="BF217" s="62"/>
      <c r="BG217" s="62"/>
      <c r="BH217" s="62"/>
      <c r="BI217" s="63"/>
      <c r="BJ217" s="63"/>
      <c r="BK217" s="62"/>
      <c r="BL217" s="62"/>
      <c r="BM217" s="62"/>
      <c r="BN217" s="63"/>
      <c r="BO217" s="62"/>
      <c r="BP217" s="64"/>
      <c r="BQ217" s="63"/>
      <c r="BR217" s="62"/>
      <c r="BS217" s="62"/>
      <c r="BT217" s="62"/>
      <c r="BU217" s="62"/>
      <c r="BV217" s="62"/>
      <c r="BW217" s="62"/>
      <c r="BX217" s="62"/>
      <c r="BY217" s="62"/>
      <c r="BZ217" s="62"/>
      <c r="CA217" s="62"/>
      <c r="CB217" s="62"/>
      <c r="CC217" s="51"/>
      <c r="CD217" s="63"/>
      <c r="CE217" s="63"/>
      <c r="CF217" s="62"/>
      <c r="CG217" s="63"/>
      <c r="CH217" s="63"/>
      <c r="CI217" s="63"/>
      <c r="CJ217" s="62"/>
      <c r="CK217" s="63"/>
      <c r="CL217" s="63"/>
      <c r="CM217" s="63"/>
      <c r="CN217" s="63"/>
      <c r="CO217" s="63"/>
      <c r="CP217" s="63"/>
      <c r="CQ217" s="63"/>
      <c r="CR217" s="63"/>
      <c r="CS217" s="63"/>
      <c r="CT217" s="63"/>
      <c r="CU217" s="63"/>
      <c r="CV217" s="63"/>
      <c r="CW217" s="63"/>
      <c r="CX217" s="63"/>
      <c r="CY217" s="63">
        <v>25.3</v>
      </c>
      <c r="CZ217" s="63"/>
      <c r="DA217" s="63"/>
      <c r="DB217" s="63"/>
      <c r="DC217" s="63"/>
      <c r="DD217" s="63"/>
      <c r="DE217" s="63"/>
      <c r="DF217" s="63"/>
      <c r="DG217" s="63"/>
      <c r="DH217" s="63"/>
      <c r="DI217" s="63"/>
      <c r="DJ217" s="63"/>
      <c r="DK217" s="63"/>
      <c r="DL217" s="63"/>
      <c r="DM217" s="63"/>
      <c r="DN217" s="63"/>
      <c r="DO217" s="63"/>
      <c r="DP217" s="63"/>
      <c r="DQ217" s="158"/>
      <c r="DR217" s="158"/>
      <c r="DS217" s="158"/>
      <c r="DT217" s="158"/>
      <c r="DU217" s="158"/>
      <c r="DV217" s="158"/>
      <c r="DW217" s="158"/>
      <c r="DX217" s="158"/>
      <c r="DY217" s="158"/>
      <c r="DZ217" s="59"/>
      <c r="EA217" s="59"/>
      <c r="EB217" s="59"/>
      <c r="EC217" s="59"/>
      <c r="ED217" s="59"/>
      <c r="EE217" s="59"/>
      <c r="EF217" s="59"/>
      <c r="EG217" s="59"/>
    </row>
    <row r="218" spans="1:137" s="5" customFormat="1" ht="15.9" customHeight="1" outlineLevel="1" x14ac:dyDescent="0.3">
      <c r="A218" s="6"/>
      <c r="B218" s="6"/>
      <c r="C218" s="50" t="s">
        <v>44</v>
      </c>
      <c r="D218" s="147"/>
      <c r="E218" s="6" t="s">
        <v>376</v>
      </c>
      <c r="F218" s="6" t="s">
        <v>420</v>
      </c>
      <c r="G218" s="11" t="s">
        <v>424</v>
      </c>
      <c r="H218" s="11"/>
      <c r="I218" s="205" cm="1">
        <f t="array" ref="I218">IFERROR(LOOKUP(2,1/(N218:GR218&lt;&gt;""),N$4:DRA$4),"")</f>
        <v>45216</v>
      </c>
      <c r="J218" s="170" cm="1">
        <f t="array" ref="J218">IFERROR(_xlfn.XLOOKUP(TRUE,N218:EH218&lt;&gt;"",N218:EH218,,,-1)," ")</f>
        <v>25.6</v>
      </c>
      <c r="K218" s="49">
        <v>24.5</v>
      </c>
      <c r="L218" s="49"/>
      <c r="M218" s="284" t="s">
        <v>120</v>
      </c>
      <c r="N218" s="62"/>
      <c r="O218" s="62"/>
      <c r="P218" s="62"/>
      <c r="Q218" s="62"/>
      <c r="R218" s="62"/>
      <c r="S218" s="62"/>
      <c r="T218" s="62"/>
      <c r="U218" s="62"/>
      <c r="V218" s="62"/>
      <c r="W218" s="62"/>
      <c r="X218" s="62"/>
      <c r="Y218" s="62"/>
      <c r="Z218" s="171">
        <v>9</v>
      </c>
      <c r="AA218" s="62"/>
      <c r="AB218" s="62"/>
      <c r="AC218" s="62"/>
      <c r="AD218" s="62"/>
      <c r="AE218" s="62"/>
      <c r="AF218" s="62"/>
      <c r="AG218" s="62"/>
      <c r="AH218" s="62"/>
      <c r="AI218" s="62"/>
      <c r="AJ218" s="62"/>
      <c r="AK218" s="62"/>
      <c r="AL218" s="62"/>
      <c r="AM218" s="62"/>
      <c r="AN218" s="62"/>
      <c r="AO218" s="62"/>
      <c r="AP218" s="171">
        <v>17.5</v>
      </c>
      <c r="AQ218" s="62"/>
      <c r="AR218" s="62"/>
      <c r="AS218" s="109"/>
      <c r="AT218" s="62"/>
      <c r="AU218" s="63"/>
      <c r="AV218" s="63"/>
      <c r="AW218" s="62"/>
      <c r="AX218" s="62"/>
      <c r="AY218" s="62"/>
      <c r="AZ218" s="62"/>
      <c r="BA218" s="62"/>
      <c r="BB218" s="62"/>
      <c r="BC218" s="63"/>
      <c r="BD218" s="63"/>
      <c r="BE218" s="318">
        <v>21.8</v>
      </c>
      <c r="BF218" s="62"/>
      <c r="BG218" s="62"/>
      <c r="BH218" s="62"/>
      <c r="BI218" s="63"/>
      <c r="BJ218" s="63"/>
      <c r="BK218" s="62"/>
      <c r="BL218" s="62"/>
      <c r="BM218" s="62"/>
      <c r="BN218" s="63"/>
      <c r="BO218" s="62"/>
      <c r="BP218" s="64"/>
      <c r="BQ218" s="63"/>
      <c r="BR218" s="62"/>
      <c r="BS218" s="62"/>
      <c r="BT218" s="62"/>
      <c r="BU218" s="62"/>
      <c r="BV218" s="62"/>
      <c r="BW218" s="62"/>
      <c r="BX218" s="62"/>
      <c r="BY218" s="62"/>
      <c r="BZ218" s="62"/>
      <c r="CA218" s="62"/>
      <c r="CB218" s="62"/>
      <c r="CC218" s="51"/>
      <c r="CD218" s="63"/>
      <c r="CE218" s="63"/>
      <c r="CF218" s="62"/>
      <c r="CG218" s="63"/>
      <c r="CH218" s="63"/>
      <c r="CI218" s="63">
        <v>25</v>
      </c>
      <c r="CJ218" s="62"/>
      <c r="CK218" s="63"/>
      <c r="CL218" s="63"/>
      <c r="CM218" s="63"/>
      <c r="CN218" s="63"/>
      <c r="CO218" s="63"/>
      <c r="CP218" s="63"/>
      <c r="CQ218" s="63">
        <v>25.6</v>
      </c>
      <c r="CR218" s="63"/>
      <c r="CS218" s="63"/>
      <c r="CT218" s="63"/>
      <c r="CU218" s="63"/>
      <c r="CV218" s="63"/>
      <c r="CW218" s="63"/>
      <c r="CX218" s="63"/>
      <c r="CY218" s="63"/>
      <c r="CZ218" s="63"/>
      <c r="DA218" s="63"/>
      <c r="DB218" s="63"/>
      <c r="DC218" s="63"/>
      <c r="DD218" s="63"/>
      <c r="DE218" s="63"/>
      <c r="DF218" s="63"/>
      <c r="DG218" s="63"/>
      <c r="DH218" s="63"/>
      <c r="DI218" s="63"/>
      <c r="DJ218" s="63"/>
      <c r="DK218" s="63"/>
      <c r="DL218" s="63"/>
      <c r="DM218" s="63"/>
      <c r="DN218" s="63"/>
      <c r="DO218" s="63"/>
      <c r="DP218" s="63"/>
      <c r="DQ218" s="158"/>
      <c r="DR218" s="158"/>
      <c r="DS218" s="158"/>
      <c r="DT218" s="158"/>
      <c r="DU218" s="158"/>
      <c r="DV218" s="158"/>
      <c r="DW218" s="158"/>
      <c r="DX218" s="158"/>
      <c r="DY218" s="158"/>
      <c r="DZ218" s="59"/>
      <c r="EA218" s="59"/>
      <c r="EB218" s="59"/>
      <c r="EC218" s="59"/>
      <c r="ED218" s="59"/>
      <c r="EE218" s="59"/>
      <c r="EF218" s="59"/>
      <c r="EG218" s="59"/>
    </row>
    <row r="219" spans="1:137" s="10" customFormat="1" ht="15.9" customHeight="1" outlineLevel="1" x14ac:dyDescent="0.3">
      <c r="A219" s="7" t="s">
        <v>23</v>
      </c>
      <c r="B219" s="7" t="s">
        <v>23</v>
      </c>
      <c r="C219" s="8" t="s">
        <v>44</v>
      </c>
      <c r="D219" s="146">
        <v>23.13</v>
      </c>
      <c r="E219" s="7" t="s">
        <v>376</v>
      </c>
      <c r="F219" s="7" t="s">
        <v>425</v>
      </c>
      <c r="G219" s="9" t="s">
        <v>426</v>
      </c>
      <c r="H219" s="9"/>
      <c r="I219" s="204" cm="1">
        <f t="array" ref="I219">IFERROR(LOOKUP(2,1/(N219:GR219&lt;&gt;""),N$4:DRA$4),"")</f>
        <v>45187</v>
      </c>
      <c r="J219" s="266" cm="1">
        <f t="array" ref="J219">IFERROR(_xlfn.XLOOKUP(TRUE,N219:EH219&lt;&gt;"",N219:EH219,,,-1)," ")</f>
        <v>25.2</v>
      </c>
      <c r="K219" s="45">
        <v>24</v>
      </c>
      <c r="L219" s="45">
        <v>24.5</v>
      </c>
      <c r="M219" s="282" t="s">
        <v>28</v>
      </c>
      <c r="N219" s="57"/>
      <c r="O219" s="57"/>
      <c r="P219" s="57"/>
      <c r="Q219" s="57"/>
      <c r="R219" s="57"/>
      <c r="S219" s="57"/>
      <c r="T219" s="57"/>
      <c r="U219" s="57"/>
      <c r="V219" s="57"/>
      <c r="W219" s="57"/>
      <c r="X219" s="57"/>
      <c r="Y219" s="57"/>
      <c r="Z219" s="57"/>
      <c r="AA219" s="57"/>
      <c r="AB219" s="57"/>
      <c r="AC219" s="57"/>
      <c r="AD219" s="57"/>
      <c r="AE219" s="57"/>
      <c r="AF219" s="57"/>
      <c r="AG219" s="57"/>
      <c r="AH219" s="57"/>
      <c r="AI219" s="57">
        <v>18.8</v>
      </c>
      <c r="AJ219" s="57"/>
      <c r="AK219" s="57"/>
      <c r="AL219" s="57"/>
      <c r="AM219" s="57"/>
      <c r="AN219" s="57"/>
      <c r="AO219" s="57"/>
      <c r="AP219" s="57">
        <v>20.5</v>
      </c>
      <c r="AQ219" s="57"/>
      <c r="AR219" s="57"/>
      <c r="AS219" s="57"/>
      <c r="AT219" s="57"/>
      <c r="AU219" s="61"/>
      <c r="AV219" s="61"/>
      <c r="AW219" s="57"/>
      <c r="AX219" s="57"/>
      <c r="AY219" s="58"/>
      <c r="AZ219" s="61">
        <v>23.2</v>
      </c>
      <c r="BA219" s="57"/>
      <c r="BB219" s="57"/>
      <c r="BC219" s="61"/>
      <c r="BD219" s="61"/>
      <c r="BE219" s="160">
        <v>23.6</v>
      </c>
      <c r="BF219" s="57"/>
      <c r="BG219" s="57"/>
      <c r="BH219" s="57"/>
      <c r="BI219" s="61"/>
      <c r="BJ219" s="61"/>
      <c r="BK219" s="57"/>
      <c r="BL219" s="61"/>
      <c r="BM219" s="57"/>
      <c r="BN219" s="160">
        <v>25.2</v>
      </c>
      <c r="BO219" s="57"/>
      <c r="BP219" s="58"/>
      <c r="BQ219" s="61"/>
      <c r="BR219" s="61"/>
      <c r="BS219" s="57"/>
      <c r="BT219" s="61"/>
      <c r="BU219" s="61"/>
      <c r="BV219" s="61"/>
      <c r="BW219" s="61"/>
      <c r="BX219" s="61"/>
      <c r="BY219" s="61"/>
      <c r="BZ219" s="61"/>
      <c r="CA219" s="61"/>
      <c r="CB219" s="57"/>
      <c r="CC219" s="61"/>
      <c r="CD219" s="61"/>
      <c r="CE219" s="61"/>
      <c r="CF219" s="57"/>
      <c r="CG219" s="61"/>
      <c r="CH219" s="61"/>
      <c r="CI219" s="61"/>
      <c r="CJ219" s="57"/>
      <c r="CK219" s="61"/>
      <c r="CL219" s="61"/>
      <c r="CM219" s="61"/>
      <c r="CN219" s="61"/>
      <c r="CO219" s="61"/>
      <c r="CP219" s="61"/>
      <c r="CQ219" s="61"/>
      <c r="CR219" s="61"/>
      <c r="CS219" s="61"/>
      <c r="CT219" s="61"/>
      <c r="CU219" s="61"/>
      <c r="CV219" s="61"/>
      <c r="CW219" s="61"/>
      <c r="CX219" s="61"/>
      <c r="CY219" s="61"/>
      <c r="CZ219" s="61"/>
      <c r="DA219" s="61"/>
      <c r="DB219" s="61"/>
      <c r="DC219" s="61"/>
      <c r="DD219" s="61"/>
      <c r="DE219" s="61"/>
      <c r="DF219" s="61"/>
      <c r="DG219" s="61"/>
      <c r="DH219" s="61"/>
      <c r="DI219" s="61"/>
      <c r="DJ219" s="61"/>
      <c r="DK219" s="61"/>
      <c r="DL219" s="61"/>
      <c r="DM219" s="61"/>
      <c r="DN219" s="61"/>
      <c r="DO219" s="61"/>
      <c r="DP219" s="61"/>
      <c r="DQ219" s="156"/>
      <c r="DR219" s="156"/>
      <c r="DS219" s="156"/>
      <c r="DT219" s="156"/>
      <c r="DU219" s="156"/>
      <c r="DV219" s="156"/>
      <c r="DW219" s="156"/>
      <c r="DX219" s="156"/>
      <c r="DY219" s="156"/>
      <c r="DZ219" s="59"/>
      <c r="EA219" s="59"/>
      <c r="EB219" s="59"/>
      <c r="EC219" s="59"/>
      <c r="ED219" s="59"/>
      <c r="EE219" s="59"/>
      <c r="EF219" s="59"/>
      <c r="EG219" s="59"/>
    </row>
    <row r="220" spans="1:137" s="97" customFormat="1" ht="15.9" customHeight="1" x14ac:dyDescent="0.3">
      <c r="A220" s="83"/>
      <c r="B220" s="83"/>
      <c r="C220" s="91"/>
      <c r="D220" s="82"/>
      <c r="E220" s="83" t="s">
        <v>427</v>
      </c>
      <c r="F220" s="83"/>
      <c r="G220" s="84" t="s">
        <v>428</v>
      </c>
      <c r="H220" s="84"/>
      <c r="I220" s="203"/>
      <c r="J220" s="167"/>
      <c r="K220" s="220"/>
      <c r="L220" s="92"/>
      <c r="M220" s="280" t="s">
        <v>21</v>
      </c>
      <c r="N220" s="94"/>
      <c r="O220" s="94"/>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94"/>
      <c r="AU220" s="101"/>
      <c r="AV220" s="101"/>
      <c r="AW220" s="94"/>
      <c r="AX220" s="101"/>
      <c r="AY220" s="101"/>
      <c r="AZ220" s="101"/>
      <c r="BA220" s="94"/>
      <c r="BB220" s="101"/>
      <c r="BC220" s="101"/>
      <c r="BD220" s="101"/>
      <c r="BE220" s="101"/>
      <c r="BF220" s="101"/>
      <c r="BG220" s="94"/>
      <c r="BH220" s="94"/>
      <c r="BI220" s="101"/>
      <c r="BJ220" s="101"/>
      <c r="BK220" s="94"/>
      <c r="BL220" s="94"/>
      <c r="BM220" s="94"/>
      <c r="BN220" s="101"/>
      <c r="BO220" s="94"/>
      <c r="BP220" s="95"/>
      <c r="BQ220" s="101"/>
      <c r="BR220" s="94"/>
      <c r="BS220" s="94"/>
      <c r="BT220" s="94"/>
      <c r="BU220" s="94"/>
      <c r="BV220" s="94"/>
      <c r="BW220" s="94"/>
      <c r="BX220" s="94"/>
      <c r="BY220" s="94"/>
      <c r="BZ220" s="94"/>
      <c r="CA220" s="94"/>
      <c r="CB220" s="94"/>
      <c r="CC220" s="93"/>
      <c r="CD220" s="101"/>
      <c r="CE220" s="101"/>
      <c r="CF220" s="94"/>
      <c r="CG220" s="94"/>
      <c r="CH220" s="101"/>
      <c r="CI220" s="94"/>
      <c r="CJ220" s="94"/>
      <c r="CK220" s="101"/>
      <c r="CL220" s="101"/>
      <c r="CM220" s="94"/>
      <c r="CN220" s="94"/>
      <c r="CO220" s="94"/>
      <c r="CP220" s="94"/>
      <c r="CQ220" s="94"/>
      <c r="CR220" s="101"/>
      <c r="CS220" s="101"/>
      <c r="CT220" s="94"/>
      <c r="CU220" s="94"/>
      <c r="CV220" s="101"/>
      <c r="CW220" s="101"/>
      <c r="CX220" s="101"/>
      <c r="CY220" s="101"/>
      <c r="CZ220" s="101"/>
      <c r="DA220" s="101"/>
      <c r="DB220" s="101"/>
      <c r="DC220" s="101"/>
      <c r="DD220" s="101"/>
      <c r="DE220" s="101"/>
      <c r="DF220" s="101"/>
      <c r="DG220" s="101"/>
      <c r="DH220" s="101"/>
      <c r="DI220" s="101"/>
      <c r="DJ220" s="101"/>
      <c r="DK220" s="101"/>
      <c r="DL220" s="101"/>
      <c r="DM220" s="101"/>
      <c r="DN220" s="101"/>
      <c r="DO220" s="101"/>
      <c r="DP220" s="101"/>
      <c r="DQ220" s="161"/>
      <c r="DR220" s="161"/>
      <c r="DS220" s="161"/>
      <c r="DT220" s="161"/>
      <c r="DU220" s="161"/>
      <c r="DV220" s="161"/>
      <c r="DW220" s="161"/>
      <c r="DX220" s="161"/>
      <c r="DY220" s="161"/>
      <c r="DZ220" s="22"/>
      <c r="EA220" s="22"/>
      <c r="EB220" s="22"/>
      <c r="EC220" s="22"/>
      <c r="ED220" s="22"/>
      <c r="EE220" s="22"/>
      <c r="EF220" s="22"/>
      <c r="EG220" s="22"/>
    </row>
    <row r="221" spans="1:137" s="1" customFormat="1" ht="15.9" customHeight="1" outlineLevel="1" x14ac:dyDescent="0.3">
      <c r="A221" s="2" t="s">
        <v>23</v>
      </c>
      <c r="B221" s="2" t="s">
        <v>23</v>
      </c>
      <c r="C221" s="4" t="s">
        <v>24</v>
      </c>
      <c r="D221" s="145">
        <v>4.6900000000000004</v>
      </c>
      <c r="E221" s="2" t="s">
        <v>427</v>
      </c>
      <c r="F221" s="2" t="s">
        <v>429</v>
      </c>
      <c r="G221" s="3" t="s">
        <v>430</v>
      </c>
      <c r="H221" s="3"/>
      <c r="I221" s="205" cm="1">
        <f t="array" ref="I221">IFERROR(LOOKUP(2,1/(N221:GR221&lt;&gt;""),N$4:DRA$4),"")</f>
        <v>45195</v>
      </c>
      <c r="J221" s="170" cm="1">
        <f t="array" ref="J221">IFERROR(_xlfn.XLOOKUP(TRUE,N221:EH221&lt;&gt;"",N221:EH221,,,-1)," ")</f>
        <v>22.3</v>
      </c>
      <c r="K221" s="46">
        <v>23.5</v>
      </c>
      <c r="L221" s="46">
        <v>24</v>
      </c>
      <c r="M221" s="281" t="s">
        <v>28</v>
      </c>
      <c r="N221" s="55"/>
      <c r="O221" s="55"/>
      <c r="P221" s="55"/>
      <c r="Q221" s="55"/>
      <c r="R221" s="55"/>
      <c r="S221" s="55"/>
      <c r="T221" s="55"/>
      <c r="U221" s="55"/>
      <c r="V221" s="55"/>
      <c r="W221" s="55"/>
      <c r="X221" s="55"/>
      <c r="Y221" s="55"/>
      <c r="Z221" s="55"/>
      <c r="AA221" s="55"/>
      <c r="AB221" s="55"/>
      <c r="AC221" s="55"/>
      <c r="AD221" s="55"/>
      <c r="AE221" s="55"/>
      <c r="AF221" s="55"/>
      <c r="AG221" s="55"/>
      <c r="AH221" s="55"/>
      <c r="AI221" s="55"/>
      <c r="AJ221" s="55"/>
      <c r="AK221" s="55"/>
      <c r="AL221" s="55"/>
      <c r="AM221" s="55"/>
      <c r="AN221" s="55"/>
      <c r="AO221" s="55"/>
      <c r="AP221" s="55"/>
      <c r="AQ221" s="55"/>
      <c r="AR221" s="55"/>
      <c r="AS221" s="55"/>
      <c r="AT221" s="55"/>
      <c r="AU221" s="153"/>
      <c r="AV221" s="153"/>
      <c r="AW221" s="55">
        <v>18.899999999999999</v>
      </c>
      <c r="AX221" s="153"/>
      <c r="AY221" s="153"/>
      <c r="AZ221" s="153"/>
      <c r="BA221" s="55"/>
      <c r="BB221" s="153"/>
      <c r="BC221" s="153"/>
      <c r="BD221" s="153"/>
      <c r="BE221" s="153">
        <v>20</v>
      </c>
      <c r="BF221" s="153"/>
      <c r="BG221" s="55"/>
      <c r="BH221" s="55"/>
      <c r="BI221" s="153"/>
      <c r="BJ221" s="153"/>
      <c r="BK221" s="55"/>
      <c r="BL221" s="55"/>
      <c r="BM221" s="55"/>
      <c r="BN221" s="153"/>
      <c r="BO221" s="55"/>
      <c r="BP221" s="55"/>
      <c r="BQ221" s="153"/>
      <c r="BR221" s="55"/>
      <c r="BS221" s="55"/>
      <c r="BT221" s="56"/>
      <c r="BU221" s="56"/>
      <c r="BV221" s="55">
        <v>22.3</v>
      </c>
      <c r="BW221" s="55"/>
      <c r="BX221" s="55"/>
      <c r="BY221" s="55"/>
      <c r="BZ221" s="55"/>
      <c r="CA221" s="55"/>
      <c r="CB221" s="55"/>
      <c r="CC221" s="401"/>
      <c r="CD221" s="153"/>
      <c r="CE221" s="153"/>
      <c r="CF221" s="55"/>
      <c r="CG221" s="55"/>
      <c r="CH221" s="153"/>
      <c r="CI221" s="55"/>
      <c r="CJ221" s="55"/>
      <c r="CK221" s="153"/>
      <c r="CL221" s="153"/>
      <c r="CM221" s="55"/>
      <c r="CN221" s="55"/>
      <c r="CO221" s="55"/>
      <c r="CP221" s="55"/>
      <c r="CQ221" s="153"/>
      <c r="CR221" s="153"/>
      <c r="CS221" s="153"/>
      <c r="CT221" s="153"/>
      <c r="CU221" s="153"/>
      <c r="CV221" s="153"/>
      <c r="CW221" s="153"/>
      <c r="CX221" s="153"/>
      <c r="CY221" s="153"/>
      <c r="CZ221" s="153"/>
      <c r="DA221" s="153"/>
      <c r="DB221" s="153"/>
      <c r="DC221" s="153"/>
      <c r="DD221" s="153"/>
      <c r="DE221" s="153"/>
      <c r="DF221" s="153"/>
      <c r="DG221" s="153"/>
      <c r="DH221" s="153"/>
      <c r="DI221" s="153"/>
      <c r="DJ221" s="153"/>
      <c r="DK221" s="153"/>
      <c r="DL221" s="153"/>
      <c r="DM221" s="153"/>
      <c r="DN221" s="153"/>
      <c r="DO221" s="153"/>
      <c r="DP221" s="153"/>
      <c r="DQ221" s="154"/>
      <c r="DR221" s="154"/>
      <c r="DS221" s="154"/>
      <c r="DT221" s="154"/>
      <c r="DU221" s="154"/>
      <c r="DV221" s="154"/>
      <c r="DW221" s="154"/>
      <c r="DX221" s="154"/>
      <c r="DY221" s="154"/>
      <c r="DZ221" s="59"/>
      <c r="EA221" s="59"/>
      <c r="EB221" s="59"/>
      <c r="EC221" s="59"/>
      <c r="ED221" s="59"/>
      <c r="EE221" s="59"/>
      <c r="EF221" s="59"/>
      <c r="EG221" s="59"/>
    </row>
    <row r="222" spans="1:137" s="97" customFormat="1" ht="15.9" customHeight="1" x14ac:dyDescent="0.3">
      <c r="A222" s="83"/>
      <c r="B222" s="83"/>
      <c r="C222" s="91"/>
      <c r="D222" s="82"/>
      <c r="E222" s="83" t="s">
        <v>431</v>
      </c>
      <c r="F222" s="83"/>
      <c r="G222" s="84" t="s">
        <v>432</v>
      </c>
      <c r="H222" s="84"/>
      <c r="I222" s="203"/>
      <c r="J222" s="167"/>
      <c r="K222" s="220"/>
      <c r="L222" s="92"/>
      <c r="M222" s="280" t="s">
        <v>21</v>
      </c>
      <c r="N222" s="94"/>
      <c r="O222" s="94"/>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94"/>
      <c r="AU222" s="101"/>
      <c r="AV222" s="101"/>
      <c r="AW222" s="94"/>
      <c r="AX222" s="101"/>
      <c r="AY222" s="94"/>
      <c r="AZ222" s="101"/>
      <c r="BA222" s="101"/>
      <c r="BB222" s="101"/>
      <c r="BC222" s="101"/>
      <c r="BD222" s="94"/>
      <c r="BE222" s="101"/>
      <c r="BF222" s="101"/>
      <c r="BG222" s="94"/>
      <c r="BH222" s="94"/>
      <c r="BI222" s="101"/>
      <c r="BJ222" s="101"/>
      <c r="BK222" s="94"/>
      <c r="BL222" s="94"/>
      <c r="BM222" s="94"/>
      <c r="BN222" s="101"/>
      <c r="BO222" s="94"/>
      <c r="BP222" s="95"/>
      <c r="BQ222" s="101"/>
      <c r="BR222" s="94"/>
      <c r="BS222" s="94"/>
      <c r="BT222" s="94"/>
      <c r="BU222" s="94"/>
      <c r="BV222" s="94"/>
      <c r="BW222" s="94"/>
      <c r="BX222" s="94"/>
      <c r="BY222" s="94"/>
      <c r="BZ222" s="94"/>
      <c r="CA222" s="94"/>
      <c r="CB222" s="94"/>
      <c r="CC222" s="93"/>
      <c r="CD222" s="101"/>
      <c r="CE222" s="101"/>
      <c r="CF222" s="94"/>
      <c r="CG222" s="94"/>
      <c r="CH222" s="101"/>
      <c r="CI222" s="94"/>
      <c r="CJ222" s="94"/>
      <c r="CK222" s="101"/>
      <c r="CL222" s="101"/>
      <c r="CM222" s="94"/>
      <c r="CN222" s="101"/>
      <c r="CO222" s="101"/>
      <c r="CP222" s="101"/>
      <c r="CQ222" s="101"/>
      <c r="CR222" s="101"/>
      <c r="CS222" s="101"/>
      <c r="CT222" s="101"/>
      <c r="CU222" s="101"/>
      <c r="CV222" s="101"/>
      <c r="CW222" s="101"/>
      <c r="CX222" s="101"/>
      <c r="CY222" s="101"/>
      <c r="CZ222" s="101"/>
      <c r="DA222" s="101"/>
      <c r="DB222" s="101"/>
      <c r="DC222" s="101"/>
      <c r="DD222" s="101"/>
      <c r="DE222" s="101"/>
      <c r="DF222" s="101"/>
      <c r="DG222" s="101"/>
      <c r="DH222" s="101"/>
      <c r="DI222" s="101"/>
      <c r="DJ222" s="101"/>
      <c r="DK222" s="101"/>
      <c r="DL222" s="101"/>
      <c r="DM222" s="101"/>
      <c r="DN222" s="101"/>
      <c r="DO222" s="101"/>
      <c r="DP222" s="101"/>
      <c r="DQ222" s="161"/>
      <c r="DR222" s="161"/>
      <c r="DS222" s="161"/>
      <c r="DT222" s="161"/>
      <c r="DU222" s="161"/>
      <c r="DV222" s="161"/>
      <c r="DW222" s="161"/>
      <c r="DX222" s="161"/>
      <c r="DY222" s="161"/>
      <c r="DZ222" s="59"/>
      <c r="EA222" s="59"/>
      <c r="EB222" s="59"/>
      <c r="EC222" s="59"/>
      <c r="ED222" s="59"/>
      <c r="EE222" s="59"/>
      <c r="EF222" s="59"/>
      <c r="EG222" s="59"/>
    </row>
    <row r="223" spans="1:137" s="1" customFormat="1" ht="15.9" customHeight="1" outlineLevel="1" x14ac:dyDescent="0.3">
      <c r="A223" s="2" t="s">
        <v>22</v>
      </c>
      <c r="B223" s="2" t="s">
        <v>23</v>
      </c>
      <c r="C223" s="4" t="s">
        <v>24</v>
      </c>
      <c r="D223" s="145">
        <v>6.72</v>
      </c>
      <c r="E223" s="2" t="s">
        <v>431</v>
      </c>
      <c r="F223" s="2" t="s">
        <v>433</v>
      </c>
      <c r="G223" s="3" t="s">
        <v>434</v>
      </c>
      <c r="H223" s="3"/>
      <c r="I223" s="205" cm="1">
        <f t="array" ref="I223">IFERROR(LOOKUP(2,1/(N223:GR223&lt;&gt;""),N$4:DRA$4),"")</f>
        <v>45203</v>
      </c>
      <c r="J223" s="170" cm="1">
        <f t="array" ref="J223">IFERROR(_xlfn.XLOOKUP(TRUE,N223:EH223&lt;&gt;"",N223:EH223,,,-1)," ")</f>
        <v>22.9</v>
      </c>
      <c r="K223" s="49">
        <v>21.5</v>
      </c>
      <c r="L223" s="49">
        <v>23</v>
      </c>
      <c r="M223" s="281" t="s">
        <v>28</v>
      </c>
      <c r="N223" s="55"/>
      <c r="O223" s="55"/>
      <c r="P223" s="55"/>
      <c r="Q223" s="55"/>
      <c r="R223" s="55"/>
      <c r="S223" s="55"/>
      <c r="T223" s="55"/>
      <c r="U223" s="55"/>
      <c r="V223" s="55"/>
      <c r="W223" s="55"/>
      <c r="X223" s="55"/>
      <c r="Y223" s="55"/>
      <c r="Z223" s="55"/>
      <c r="AA223" s="55"/>
      <c r="AB223" s="55"/>
      <c r="AC223" s="55"/>
      <c r="AD223" s="55"/>
      <c r="AE223" s="55"/>
      <c r="AF223" s="55">
        <v>15.7</v>
      </c>
      <c r="AG223" s="55"/>
      <c r="AH223" s="55"/>
      <c r="AI223" s="55"/>
      <c r="AJ223" s="55"/>
      <c r="AK223" s="55"/>
      <c r="AL223" s="55"/>
      <c r="AM223" s="56"/>
      <c r="AN223" s="55"/>
      <c r="AO223" s="55">
        <v>17</v>
      </c>
      <c r="AP223" s="55"/>
      <c r="AQ223" s="55"/>
      <c r="AR223" s="55"/>
      <c r="AS223" s="55"/>
      <c r="AT223" s="55"/>
      <c r="AU223" s="153">
        <v>19.100000000000001</v>
      </c>
      <c r="AV223" s="153"/>
      <c r="AW223" s="55"/>
      <c r="AX223" s="157"/>
      <c r="AY223" s="55"/>
      <c r="AZ223" s="153"/>
      <c r="BA223" s="153"/>
      <c r="BB223" s="153"/>
      <c r="BC223" s="153"/>
      <c r="BD223" s="55"/>
      <c r="BE223" s="153"/>
      <c r="BF223" s="153"/>
      <c r="BG223" s="153"/>
      <c r="BH223" s="55"/>
      <c r="BI223" s="153" t="s">
        <v>435</v>
      </c>
      <c r="BJ223" s="153"/>
      <c r="BK223" s="56">
        <v>21.7</v>
      </c>
      <c r="BL223" s="153"/>
      <c r="BM223" s="55"/>
      <c r="BN223" s="153"/>
      <c r="BO223" s="55"/>
      <c r="BP223" s="56"/>
      <c r="BQ223" s="153"/>
      <c r="BR223" s="153"/>
      <c r="BS223" s="55"/>
      <c r="BT223" s="153"/>
      <c r="BU223" s="153"/>
      <c r="BV223" s="153"/>
      <c r="BW223" s="153"/>
      <c r="BX223" s="153"/>
      <c r="BY223" s="153"/>
      <c r="BZ223" s="153"/>
      <c r="CA223" s="153"/>
      <c r="CB223" s="55"/>
      <c r="CC223" s="153"/>
      <c r="CD223" s="153">
        <v>22.9</v>
      </c>
      <c r="CE223" s="153"/>
      <c r="CF223" s="55"/>
      <c r="CG223" s="153"/>
      <c r="CH223" s="153"/>
      <c r="CI223" s="153"/>
      <c r="CJ223" s="55"/>
      <c r="CK223" s="153"/>
      <c r="CL223" s="153"/>
      <c r="CM223" s="153"/>
      <c r="CN223" s="153"/>
      <c r="CO223" s="153"/>
      <c r="CP223" s="153"/>
      <c r="CQ223" s="153"/>
      <c r="CR223" s="153"/>
      <c r="CS223" s="153"/>
      <c r="CT223" s="153"/>
      <c r="CU223" s="153"/>
      <c r="CV223" s="153"/>
      <c r="CW223" s="153"/>
      <c r="CX223" s="153"/>
      <c r="CY223" s="153"/>
      <c r="CZ223" s="153"/>
      <c r="DA223" s="153"/>
      <c r="DB223" s="153"/>
      <c r="DC223" s="153"/>
      <c r="DD223" s="153"/>
      <c r="DE223" s="153"/>
      <c r="DF223" s="153"/>
      <c r="DG223" s="153"/>
      <c r="DH223" s="153"/>
      <c r="DI223" s="153"/>
      <c r="DJ223" s="153"/>
      <c r="DK223" s="153"/>
      <c r="DL223" s="153"/>
      <c r="DM223" s="153"/>
      <c r="DN223" s="153"/>
      <c r="DO223" s="153"/>
      <c r="DP223" s="153"/>
      <c r="DQ223" s="154"/>
      <c r="DR223" s="154"/>
      <c r="DS223" s="154"/>
      <c r="DT223" s="154"/>
      <c r="DU223" s="154"/>
      <c r="DV223" s="154"/>
      <c r="DW223" s="154"/>
      <c r="DX223" s="154"/>
      <c r="DY223" s="154"/>
      <c r="DZ223" s="65"/>
      <c r="EA223" s="65"/>
      <c r="EB223" s="65"/>
      <c r="EC223" s="65"/>
      <c r="ED223" s="65"/>
      <c r="EE223" s="65"/>
      <c r="EF223" s="65"/>
      <c r="EG223" s="65"/>
    </row>
    <row r="224" spans="1:137" s="10" customFormat="1" ht="15.75" customHeight="1" outlineLevel="1" x14ac:dyDescent="0.3">
      <c r="A224" s="7" t="s">
        <v>23</v>
      </c>
      <c r="B224" s="7" t="s">
        <v>23</v>
      </c>
      <c r="C224" s="8" t="s">
        <v>24</v>
      </c>
      <c r="D224" s="146">
        <v>3.62</v>
      </c>
      <c r="E224" s="7" t="s">
        <v>431</v>
      </c>
      <c r="F224" s="7" t="s">
        <v>436</v>
      </c>
      <c r="G224" s="9" t="s">
        <v>437</v>
      </c>
      <c r="H224" s="9"/>
      <c r="I224" s="204" cm="1">
        <f t="array" ref="I224">IFERROR(LOOKUP(2,1/(N224:GR224&lt;&gt;""),N$4:DRA$4),"")</f>
        <v>45201</v>
      </c>
      <c r="J224" s="169" cm="1">
        <f t="array" ref="J224">IFERROR(_xlfn.XLOOKUP(TRUE,N224:EH224&lt;&gt;"",N224:EH224,,,-1)," ")</f>
        <v>24.8</v>
      </c>
      <c r="K224" s="45">
        <v>23.5</v>
      </c>
      <c r="L224" s="45">
        <v>24</v>
      </c>
      <c r="M224" s="282" t="s">
        <v>28</v>
      </c>
      <c r="N224" s="57"/>
      <c r="O224" s="57"/>
      <c r="P224" s="57"/>
      <c r="Q224" s="57"/>
      <c r="R224" s="57"/>
      <c r="S224" s="57"/>
      <c r="T224" s="57"/>
      <c r="U224" s="57"/>
      <c r="V224" s="57"/>
      <c r="W224" s="57"/>
      <c r="X224" s="57"/>
      <c r="Y224" s="57"/>
      <c r="Z224" s="57"/>
      <c r="AA224" s="57"/>
      <c r="AB224" s="57"/>
      <c r="AC224" s="57"/>
      <c r="AD224" s="57"/>
      <c r="AE224" s="57"/>
      <c r="AF224" s="57"/>
      <c r="AG224" s="57"/>
      <c r="AH224" s="57"/>
      <c r="AI224" s="57"/>
      <c r="AJ224" s="57"/>
      <c r="AK224" s="57"/>
      <c r="AL224" s="57"/>
      <c r="AM224" s="57"/>
      <c r="AN224" s="57"/>
      <c r="AO224" s="57"/>
      <c r="AP224" s="57"/>
      <c r="AQ224" s="57"/>
      <c r="AR224" s="57"/>
      <c r="AS224" s="57"/>
      <c r="AT224" s="57"/>
      <c r="AU224" s="61"/>
      <c r="AV224" s="61">
        <v>20.399999999999999</v>
      </c>
      <c r="AW224" s="58"/>
      <c r="AX224" s="61"/>
      <c r="AY224" s="57"/>
      <c r="AZ224" s="61"/>
      <c r="BA224" s="61"/>
      <c r="BB224" s="61"/>
      <c r="BC224" s="61"/>
      <c r="BD224" s="61">
        <v>23.5</v>
      </c>
      <c r="BE224" s="160">
        <v>20.9</v>
      </c>
      <c r="BF224" s="61"/>
      <c r="BG224" s="160"/>
      <c r="BH224" s="57"/>
      <c r="BI224" s="61"/>
      <c r="BJ224" s="61"/>
      <c r="BK224" s="57"/>
      <c r="BL224" s="61"/>
      <c r="BM224" s="57"/>
      <c r="BN224" s="61"/>
      <c r="BO224" s="57">
        <v>23</v>
      </c>
      <c r="BP224" s="58"/>
      <c r="BQ224" s="61"/>
      <c r="BR224" s="61"/>
      <c r="BS224" s="57"/>
      <c r="BT224" s="61"/>
      <c r="BU224" s="61"/>
      <c r="BV224" s="160">
        <v>23.3</v>
      </c>
      <c r="BW224" s="61"/>
      <c r="BX224" s="61"/>
      <c r="BY224" s="61"/>
      <c r="BZ224" s="61"/>
      <c r="CA224" s="61"/>
      <c r="CB224" s="57">
        <v>24.8</v>
      </c>
      <c r="CC224" s="27"/>
      <c r="CD224" s="61"/>
      <c r="CE224" s="61"/>
      <c r="CF224" s="57"/>
      <c r="CG224" s="61"/>
      <c r="CH224" s="61"/>
      <c r="CI224" s="61"/>
      <c r="CJ224" s="57"/>
      <c r="CK224" s="61"/>
      <c r="CL224" s="61"/>
      <c r="CM224" s="61"/>
      <c r="CN224" s="61"/>
      <c r="CO224" s="61"/>
      <c r="CP224" s="61"/>
      <c r="CQ224" s="61"/>
      <c r="CR224" s="61"/>
      <c r="CS224" s="61"/>
      <c r="CT224" s="61"/>
      <c r="CU224" s="61"/>
      <c r="CV224" s="61"/>
      <c r="CW224" s="61"/>
      <c r="CX224" s="61"/>
      <c r="CY224" s="61"/>
      <c r="CZ224" s="61"/>
      <c r="DA224" s="61"/>
      <c r="DB224" s="61"/>
      <c r="DC224" s="61"/>
      <c r="DD224" s="61"/>
      <c r="DE224" s="61"/>
      <c r="DF224" s="61"/>
      <c r="DG224" s="61"/>
      <c r="DH224" s="61"/>
      <c r="DI224" s="61"/>
      <c r="DJ224" s="61"/>
      <c r="DK224" s="61"/>
      <c r="DL224" s="61"/>
      <c r="DM224" s="61"/>
      <c r="DN224" s="61"/>
      <c r="DO224" s="61"/>
      <c r="DP224" s="61"/>
      <c r="DQ224" s="156"/>
      <c r="DR224" s="156"/>
      <c r="DS224" s="156"/>
      <c r="DT224" s="156"/>
      <c r="DU224" s="156"/>
      <c r="DV224" s="156"/>
      <c r="DW224" s="156"/>
      <c r="DX224" s="156"/>
      <c r="DY224" s="156"/>
      <c r="DZ224" s="59"/>
      <c r="EA224" s="59"/>
      <c r="EB224" s="59"/>
      <c r="EC224" s="59"/>
      <c r="ED224" s="59"/>
      <c r="EE224" s="59"/>
      <c r="EF224" s="59"/>
      <c r="EG224" s="59"/>
    </row>
    <row r="225" spans="1:137" s="10" customFormat="1" ht="15.9" customHeight="1" x14ac:dyDescent="0.3">
      <c r="A225" s="83"/>
      <c r="B225" s="83"/>
      <c r="C225" s="91"/>
      <c r="D225" s="82"/>
      <c r="E225" s="83" t="s">
        <v>438</v>
      </c>
      <c r="F225" s="83"/>
      <c r="G225" s="84" t="s">
        <v>439</v>
      </c>
      <c r="H225" s="84"/>
      <c r="I225" s="203"/>
      <c r="J225" s="167"/>
      <c r="K225" s="220"/>
      <c r="L225" s="92"/>
      <c r="M225" s="280" t="s">
        <v>21</v>
      </c>
      <c r="N225" s="94"/>
      <c r="O225" s="94"/>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94"/>
      <c r="AU225" s="101"/>
      <c r="AV225" s="101"/>
      <c r="AW225" s="94"/>
      <c r="AX225" s="101"/>
      <c r="AY225" s="101"/>
      <c r="AZ225" s="101"/>
      <c r="BA225" s="101"/>
      <c r="BB225" s="101"/>
      <c r="BC225" s="101"/>
      <c r="BD225" s="101"/>
      <c r="BE225" s="101"/>
      <c r="BF225" s="101"/>
      <c r="BG225" s="94"/>
      <c r="BH225" s="94"/>
      <c r="BI225" s="101"/>
      <c r="BJ225" s="101"/>
      <c r="BK225" s="94"/>
      <c r="BL225" s="94"/>
      <c r="BM225" s="94"/>
      <c r="BN225" s="101"/>
      <c r="BO225" s="94"/>
      <c r="BP225" s="95"/>
      <c r="BQ225" s="101"/>
      <c r="BR225" s="94"/>
      <c r="BS225" s="94"/>
      <c r="BT225" s="94"/>
      <c r="BU225" s="94"/>
      <c r="BV225" s="94"/>
      <c r="BW225" s="94"/>
      <c r="BX225" s="94"/>
      <c r="BY225" s="94"/>
      <c r="BZ225" s="94"/>
      <c r="CA225" s="94"/>
      <c r="CB225" s="94"/>
      <c r="CC225" s="94"/>
      <c r="CD225" s="101"/>
      <c r="CE225" s="101"/>
      <c r="CF225" s="94"/>
      <c r="CG225" s="94"/>
      <c r="CH225" s="101"/>
      <c r="CI225" s="94"/>
      <c r="CJ225" s="94"/>
      <c r="CK225" s="101"/>
      <c r="CL225" s="101"/>
      <c r="CM225" s="94"/>
      <c r="CN225" s="101"/>
      <c r="CO225" s="101"/>
      <c r="CP225" s="101"/>
      <c r="CQ225" s="101"/>
      <c r="CR225" s="101"/>
      <c r="CS225" s="101"/>
      <c r="CT225" s="101"/>
      <c r="CU225" s="101"/>
      <c r="CV225" s="101"/>
      <c r="CW225" s="101"/>
      <c r="CX225" s="101"/>
      <c r="CY225" s="101"/>
      <c r="CZ225" s="101"/>
      <c r="DA225" s="101"/>
      <c r="DB225" s="101"/>
      <c r="DC225" s="101"/>
      <c r="DD225" s="101"/>
      <c r="DE225" s="101"/>
      <c r="DF225" s="101"/>
      <c r="DG225" s="101"/>
      <c r="DH225" s="101"/>
      <c r="DI225" s="101"/>
      <c r="DJ225" s="101"/>
      <c r="DK225" s="101"/>
      <c r="DL225" s="101"/>
      <c r="DM225" s="101"/>
      <c r="DN225" s="101"/>
      <c r="DO225" s="101"/>
      <c r="DP225" s="101"/>
      <c r="DQ225" s="161"/>
      <c r="DR225" s="161"/>
      <c r="DS225" s="161"/>
      <c r="DT225" s="161"/>
      <c r="DU225" s="161"/>
      <c r="DV225" s="161"/>
      <c r="DW225" s="161"/>
      <c r="DX225" s="161"/>
      <c r="DY225" s="161"/>
      <c r="DZ225" s="65"/>
      <c r="EA225" s="65"/>
      <c r="EB225" s="65"/>
      <c r="EC225" s="65"/>
      <c r="ED225" s="65"/>
      <c r="EE225" s="65"/>
      <c r="EF225" s="65"/>
      <c r="EG225" s="65"/>
    </row>
    <row r="226" spans="1:137" s="97" customFormat="1" ht="15.9" customHeight="1" outlineLevel="1" x14ac:dyDescent="0.3">
      <c r="A226" s="7" t="s">
        <v>23</v>
      </c>
      <c r="B226" s="7"/>
      <c r="C226" s="8" t="s">
        <v>24</v>
      </c>
      <c r="D226" s="146">
        <v>5.05</v>
      </c>
      <c r="E226" s="7" t="s">
        <v>438</v>
      </c>
      <c r="F226" s="7" t="s">
        <v>440</v>
      </c>
      <c r="G226" s="9" t="s">
        <v>441</v>
      </c>
      <c r="H226" s="9"/>
      <c r="I226" s="204" cm="1">
        <f t="array" ref="I226">IFERROR(LOOKUP(2,1/(N226:GR226&lt;&gt;""),N$4:DRA$4),"")</f>
        <v>45180</v>
      </c>
      <c r="J226" s="266" cm="1">
        <f t="array" ref="J226">IFERROR(_xlfn.XLOOKUP(TRUE,N226:EH226&lt;&gt;"",N226:EH226,,,-1)," ")</f>
        <v>21.6</v>
      </c>
      <c r="K226" s="45">
        <v>21</v>
      </c>
      <c r="L226" s="45">
        <v>21.5</v>
      </c>
      <c r="M226" s="282" t="s">
        <v>28</v>
      </c>
      <c r="N226" s="57"/>
      <c r="O226" s="57"/>
      <c r="P226" s="57"/>
      <c r="Q226" s="57"/>
      <c r="R226" s="57"/>
      <c r="S226" s="57"/>
      <c r="T226" s="57"/>
      <c r="U226" s="57"/>
      <c r="V226" s="57"/>
      <c r="W226" s="57"/>
      <c r="X226" s="57"/>
      <c r="Y226" s="57"/>
      <c r="Z226" s="57"/>
      <c r="AA226" s="57"/>
      <c r="AB226" s="57"/>
      <c r="AC226" s="57"/>
      <c r="AD226" s="57"/>
      <c r="AE226" s="57"/>
      <c r="AF226" s="57"/>
      <c r="AG226" s="57"/>
      <c r="AH226" s="57">
        <v>15.4</v>
      </c>
      <c r="AI226" s="57"/>
      <c r="AJ226" s="57"/>
      <c r="AK226" s="57"/>
      <c r="AL226" s="57"/>
      <c r="AM226" s="57"/>
      <c r="AN226" s="57"/>
      <c r="AO226" s="57"/>
      <c r="AP226" s="57"/>
      <c r="AQ226" s="57"/>
      <c r="AR226" s="57"/>
      <c r="AS226" s="57" t="s">
        <v>442</v>
      </c>
      <c r="AT226" s="57"/>
      <c r="AU226" s="61"/>
      <c r="AV226" s="61"/>
      <c r="AW226" s="58"/>
      <c r="AX226" s="61"/>
      <c r="AY226" s="57"/>
      <c r="AZ226" s="61" t="s">
        <v>443</v>
      </c>
      <c r="BA226" s="61"/>
      <c r="BB226" s="61"/>
      <c r="BC226" s="61"/>
      <c r="BD226" s="61"/>
      <c r="BE226" s="61"/>
      <c r="BF226" s="61"/>
      <c r="BG226" s="160">
        <v>21.6</v>
      </c>
      <c r="BH226" s="57"/>
      <c r="BI226" s="61"/>
      <c r="BJ226" s="61"/>
      <c r="BK226" s="57"/>
      <c r="BL226" s="61"/>
      <c r="BM226" s="57"/>
      <c r="BN226" s="61"/>
      <c r="BO226" s="57"/>
      <c r="BP226" s="58"/>
      <c r="BQ226" s="61"/>
      <c r="BR226" s="61"/>
      <c r="BS226" s="57"/>
      <c r="BT226" s="61"/>
      <c r="BU226" s="61"/>
      <c r="BV226" s="61"/>
      <c r="BW226" s="61"/>
      <c r="BX226" s="61"/>
      <c r="BY226" s="61"/>
      <c r="BZ226" s="61"/>
      <c r="CA226" s="61"/>
      <c r="CB226" s="57"/>
      <c r="CC226" s="61"/>
      <c r="CD226" s="61"/>
      <c r="CE226" s="61"/>
      <c r="CF226" s="57"/>
      <c r="CG226" s="61"/>
      <c r="CH226" s="61"/>
      <c r="CI226" s="61"/>
      <c r="CJ226" s="57"/>
      <c r="CK226" s="61"/>
      <c r="CL226" s="61"/>
      <c r="CM226" s="61"/>
      <c r="CN226" s="61"/>
      <c r="CO226" s="61"/>
      <c r="CP226" s="61"/>
      <c r="CQ226" s="61"/>
      <c r="CR226" s="61"/>
      <c r="CS226" s="61"/>
      <c r="CT226" s="61"/>
      <c r="CU226" s="61"/>
      <c r="CV226" s="61"/>
      <c r="CW226" s="61"/>
      <c r="CX226" s="61"/>
      <c r="CY226" s="61"/>
      <c r="CZ226" s="61"/>
      <c r="DA226" s="61"/>
      <c r="DB226" s="61"/>
      <c r="DC226" s="61"/>
      <c r="DD226" s="61"/>
      <c r="DE226" s="61"/>
      <c r="DF226" s="61"/>
      <c r="DG226" s="61"/>
      <c r="DH226" s="61"/>
      <c r="DI226" s="61"/>
      <c r="DJ226" s="61"/>
      <c r="DK226" s="61"/>
      <c r="DL226" s="61"/>
      <c r="DM226" s="61"/>
      <c r="DN226" s="61"/>
      <c r="DO226" s="61"/>
      <c r="DP226" s="61"/>
      <c r="DQ226" s="156"/>
      <c r="DR226" s="156"/>
      <c r="DS226" s="156"/>
      <c r="DT226" s="156"/>
      <c r="DU226" s="156"/>
      <c r="DV226" s="156"/>
      <c r="DW226" s="156"/>
      <c r="DX226" s="156"/>
      <c r="DY226" s="156"/>
      <c r="DZ226" s="59"/>
      <c r="EA226" s="59"/>
      <c r="EB226" s="59"/>
      <c r="EC226" s="59"/>
      <c r="ED226" s="59"/>
      <c r="EE226" s="59"/>
      <c r="EF226" s="59"/>
      <c r="EG226" s="59"/>
    </row>
    <row r="227" spans="1:137" s="97" customFormat="1" ht="15.9" customHeight="1" x14ac:dyDescent="0.3">
      <c r="A227" s="83"/>
      <c r="B227" s="83"/>
      <c r="C227" s="91"/>
      <c r="D227" s="82"/>
      <c r="E227" s="83" t="s">
        <v>444</v>
      </c>
      <c r="F227" s="83"/>
      <c r="G227" s="84" t="s">
        <v>445</v>
      </c>
      <c r="H227" s="84"/>
      <c r="I227" s="203"/>
      <c r="J227" s="167"/>
      <c r="K227" s="220"/>
      <c r="L227" s="92"/>
      <c r="M227" s="280" t="s">
        <v>21</v>
      </c>
      <c r="N227" s="94"/>
      <c r="O227" s="94"/>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94"/>
      <c r="AU227" s="101"/>
      <c r="AV227" s="101"/>
      <c r="AW227" s="94"/>
      <c r="AX227" s="101"/>
      <c r="AY227" s="101"/>
      <c r="AZ227" s="101"/>
      <c r="BA227" s="101"/>
      <c r="BB227" s="101"/>
      <c r="BC227" s="101"/>
      <c r="BD227" s="101"/>
      <c r="BE227" s="101"/>
      <c r="BF227" s="101"/>
      <c r="BG227" s="94"/>
      <c r="BH227" s="94"/>
      <c r="BI227" s="101"/>
      <c r="BJ227" s="101"/>
      <c r="BK227" s="94"/>
      <c r="BL227" s="94"/>
      <c r="BM227" s="94"/>
      <c r="BN227" s="101"/>
      <c r="BO227" s="94"/>
      <c r="BP227" s="95"/>
      <c r="BQ227" s="101"/>
      <c r="BR227" s="94"/>
      <c r="BS227" s="94"/>
      <c r="BT227" s="94"/>
      <c r="BU227" s="94"/>
      <c r="BV227" s="94"/>
      <c r="BW227" s="94"/>
      <c r="BX227" s="94"/>
      <c r="BY227" s="94"/>
      <c r="BZ227" s="94"/>
      <c r="CA227" s="94"/>
      <c r="CB227" s="94"/>
      <c r="CC227" s="93"/>
      <c r="CD227" s="101"/>
      <c r="CE227" s="101"/>
      <c r="CF227" s="94"/>
      <c r="CG227" s="94"/>
      <c r="CH227" s="101"/>
      <c r="CI227" s="94"/>
      <c r="CJ227" s="94"/>
      <c r="CK227" s="101"/>
      <c r="CL227" s="101"/>
      <c r="CM227" s="94"/>
      <c r="CN227" s="101"/>
      <c r="CO227" s="101"/>
      <c r="CP227" s="101"/>
      <c r="CQ227" s="101"/>
      <c r="CR227" s="101"/>
      <c r="CS227" s="101"/>
      <c r="CT227" s="101"/>
      <c r="CU227" s="101"/>
      <c r="CV227" s="101"/>
      <c r="CW227" s="101"/>
      <c r="CX227" s="101"/>
      <c r="CY227" s="101"/>
      <c r="CZ227" s="101"/>
      <c r="DA227" s="101"/>
      <c r="DB227" s="101"/>
      <c r="DC227" s="101"/>
      <c r="DD227" s="101"/>
      <c r="DE227" s="101"/>
      <c r="DF227" s="101"/>
      <c r="DG227" s="101"/>
      <c r="DH227" s="101"/>
      <c r="DI227" s="101"/>
      <c r="DJ227" s="101"/>
      <c r="DK227" s="101"/>
      <c r="DL227" s="101"/>
      <c r="DM227" s="101"/>
      <c r="DN227" s="101"/>
      <c r="DO227" s="101"/>
      <c r="DP227" s="101"/>
      <c r="DQ227" s="161"/>
      <c r="DR227" s="161"/>
      <c r="DS227" s="161"/>
      <c r="DT227" s="161"/>
      <c r="DU227" s="161"/>
      <c r="DV227" s="161"/>
      <c r="DW227" s="161"/>
      <c r="DX227" s="161"/>
      <c r="DY227" s="161"/>
      <c r="DZ227" s="65"/>
      <c r="EA227" s="65"/>
      <c r="EB227" s="65"/>
      <c r="EC227" s="65"/>
      <c r="ED227" s="65"/>
      <c r="EE227" s="65"/>
      <c r="EF227" s="65"/>
      <c r="EG227" s="65"/>
    </row>
    <row r="228" spans="1:137" s="5" customFormat="1" ht="15.9" customHeight="1" outlineLevel="1" x14ac:dyDescent="0.3">
      <c r="A228" s="6" t="s">
        <v>23</v>
      </c>
      <c r="B228" s="6"/>
      <c r="C228" s="50" t="s">
        <v>44</v>
      </c>
      <c r="D228" s="50">
        <v>39.340000000000003</v>
      </c>
      <c r="E228" s="6" t="s">
        <v>444</v>
      </c>
      <c r="F228" s="6" t="s">
        <v>446</v>
      </c>
      <c r="G228" s="11" t="s">
        <v>447</v>
      </c>
      <c r="H228" s="11"/>
      <c r="I228" s="205" cm="1">
        <f t="array" ref="I228">IFERROR(LOOKUP(2,1/(N228:GR228&lt;&gt;""),N$4:DRA$4),"")</f>
        <v>45162</v>
      </c>
      <c r="J228" s="170" cm="1">
        <f t="array" ref="J228">IFERROR(_xlfn.XLOOKUP(TRUE,N228:EH228&lt;&gt;"",N228:EH228,,,-1)," ")</f>
        <v>20</v>
      </c>
      <c r="K228" s="49"/>
      <c r="L228" s="49"/>
      <c r="M228" s="284" t="s">
        <v>120</v>
      </c>
      <c r="N228" s="111"/>
      <c r="O228" s="111"/>
      <c r="P228" s="111"/>
      <c r="Q228" s="111"/>
      <c r="R228" s="111">
        <v>16.2</v>
      </c>
      <c r="S228" s="111"/>
      <c r="T228" s="111"/>
      <c r="U228" s="111"/>
      <c r="V228" s="111"/>
      <c r="W228" s="111"/>
      <c r="X228" s="111">
        <v>16.3</v>
      </c>
      <c r="Y228" s="108"/>
      <c r="Z228" s="211">
        <v>16.2</v>
      </c>
      <c r="AA228" s="62"/>
      <c r="AB228" s="111"/>
      <c r="AC228" s="111"/>
      <c r="AD228" s="111"/>
      <c r="AE228" s="62">
        <v>17.600000000000001</v>
      </c>
      <c r="AF228" s="111"/>
      <c r="AG228" s="211">
        <v>17</v>
      </c>
      <c r="AH228" s="111"/>
      <c r="AI228" s="109"/>
      <c r="AJ228" s="111"/>
      <c r="AK228" s="109"/>
      <c r="AL228" s="62">
        <v>18.399999999999999</v>
      </c>
      <c r="AM228" s="111"/>
      <c r="AN228" s="111"/>
      <c r="AO228" s="171">
        <v>20</v>
      </c>
      <c r="AP228" s="111"/>
      <c r="AQ228" s="111"/>
      <c r="AR228" s="111"/>
      <c r="AS228" s="111"/>
      <c r="AT228" s="111"/>
      <c r="AU228" s="158"/>
      <c r="AV228" s="158"/>
      <c r="AW228" s="111"/>
      <c r="AX228" s="158"/>
      <c r="AY228" s="158"/>
      <c r="AZ228" s="158"/>
      <c r="BA228" s="158"/>
      <c r="BB228" s="158"/>
      <c r="BC228" s="158"/>
      <c r="BD228" s="158"/>
      <c r="BE228" s="158"/>
      <c r="BF228" s="158"/>
      <c r="BG228" s="158"/>
      <c r="BH228" s="111"/>
      <c r="BI228" s="158"/>
      <c r="BJ228" s="158"/>
      <c r="BK228" s="111"/>
      <c r="BL228" s="158"/>
      <c r="BM228" s="111"/>
      <c r="BN228" s="158"/>
      <c r="BO228" s="111"/>
      <c r="BP228" s="112"/>
      <c r="BQ228" s="158"/>
      <c r="BR228" s="158"/>
      <c r="BS228" s="111"/>
      <c r="BT228" s="158"/>
      <c r="BU228" s="158"/>
      <c r="BV228" s="158"/>
      <c r="BW228" s="158"/>
      <c r="BX228" s="158"/>
      <c r="BY228" s="158"/>
      <c r="BZ228" s="158"/>
      <c r="CA228" s="158"/>
      <c r="CB228" s="111"/>
      <c r="CC228" s="158"/>
      <c r="CD228" s="158"/>
      <c r="CE228" s="158"/>
      <c r="CF228" s="111"/>
      <c r="CG228" s="158"/>
      <c r="CH228" s="158"/>
      <c r="CI228" s="158"/>
      <c r="CJ228" s="111"/>
      <c r="CK228" s="158"/>
      <c r="CL228" s="158"/>
      <c r="CM228" s="158"/>
      <c r="CN228" s="158"/>
      <c r="CO228" s="158"/>
      <c r="CP228" s="158"/>
      <c r="CQ228" s="158"/>
      <c r="CR228" s="158"/>
      <c r="CS228" s="158"/>
      <c r="CT228" s="158"/>
      <c r="CU228" s="158"/>
      <c r="CV228" s="158"/>
      <c r="CW228" s="158"/>
      <c r="CX228" s="158"/>
      <c r="CY228" s="158"/>
      <c r="CZ228" s="158"/>
      <c r="DA228" s="158"/>
      <c r="DB228" s="158"/>
      <c r="DC228" s="158"/>
      <c r="DD228" s="158"/>
      <c r="DE228" s="158"/>
      <c r="DF228" s="158"/>
      <c r="DG228" s="158"/>
      <c r="DH228" s="158"/>
      <c r="DI228" s="158"/>
      <c r="DJ228" s="158"/>
      <c r="DK228" s="158"/>
      <c r="DL228" s="158"/>
      <c r="DM228" s="158"/>
      <c r="DN228" s="158"/>
      <c r="DO228" s="158"/>
      <c r="DP228" s="158"/>
      <c r="DQ228" s="158"/>
      <c r="DR228" s="158"/>
      <c r="DS228" s="158"/>
      <c r="DT228" s="158"/>
      <c r="DU228" s="158"/>
      <c r="DV228" s="158"/>
      <c r="DW228" s="158"/>
      <c r="DX228" s="158"/>
      <c r="DY228" s="158"/>
      <c r="DZ228" s="59"/>
      <c r="EA228" s="59"/>
      <c r="EB228" s="59"/>
      <c r="EC228" s="59"/>
      <c r="ED228" s="59"/>
      <c r="EE228" s="59"/>
      <c r="EF228" s="59"/>
      <c r="EG228" s="59"/>
    </row>
    <row r="229" spans="1:137" s="10" customFormat="1" ht="15.9" customHeight="1" outlineLevel="1" x14ac:dyDescent="0.3">
      <c r="A229" s="7" t="s">
        <v>23</v>
      </c>
      <c r="B229" s="7"/>
      <c r="C229" s="8" t="s">
        <v>31</v>
      </c>
      <c r="D229" s="146">
        <v>102.93</v>
      </c>
      <c r="E229" s="7" t="s">
        <v>444</v>
      </c>
      <c r="F229" s="7" t="s">
        <v>448</v>
      </c>
      <c r="G229" s="9" t="s">
        <v>449</v>
      </c>
      <c r="H229" s="9"/>
      <c r="I229" s="204" cm="1">
        <f t="array" ref="I229">IFERROR(LOOKUP(2,1/(N229:GR229&lt;&gt;""),N$4:DRA$4),"")</f>
        <v>45160</v>
      </c>
      <c r="J229" s="169" cm="1">
        <f t="array" ref="J229">IFERROR(_xlfn.XLOOKUP(TRUE,N229:EH229&lt;&gt;"",N229:EH229,,,-1)," ")</f>
        <v>19.2</v>
      </c>
      <c r="K229" s="45">
        <v>19</v>
      </c>
      <c r="L229" s="45"/>
      <c r="M229" s="282" t="s">
        <v>34</v>
      </c>
      <c r="N229" s="57"/>
      <c r="O229" s="57"/>
      <c r="P229" s="57"/>
      <c r="Q229" s="57"/>
      <c r="R229" s="57"/>
      <c r="S229" s="57"/>
      <c r="T229" s="57"/>
      <c r="U229" s="57"/>
      <c r="V229" s="57"/>
      <c r="W229" s="57"/>
      <c r="X229" s="57"/>
      <c r="Y229" s="57"/>
      <c r="Z229" s="57"/>
      <c r="AA229" s="57"/>
      <c r="AB229" s="57"/>
      <c r="AC229" s="57"/>
      <c r="AD229" s="57"/>
      <c r="AE229" s="57"/>
      <c r="AF229" s="57"/>
      <c r="AG229" s="57"/>
      <c r="AH229" s="57">
        <v>18.8</v>
      </c>
      <c r="AI229" s="57"/>
      <c r="AJ229" s="57"/>
      <c r="AK229" s="57"/>
      <c r="AL229" s="57"/>
      <c r="AM229" s="57">
        <v>19.2</v>
      </c>
      <c r="AN229" s="57"/>
      <c r="AO229" s="57"/>
      <c r="AP229" s="57"/>
      <c r="AQ229" s="57"/>
      <c r="AR229" s="57"/>
      <c r="AS229" s="57"/>
      <c r="AT229" s="57"/>
      <c r="AU229" s="61"/>
      <c r="AV229" s="61"/>
      <c r="AW229" s="57"/>
      <c r="AX229" s="61"/>
      <c r="AY229" s="61"/>
      <c r="AZ229" s="61"/>
      <c r="BA229" s="61"/>
      <c r="BB229" s="61"/>
      <c r="BC229" s="61"/>
      <c r="BD229" s="61"/>
      <c r="BE229" s="61"/>
      <c r="BF229" s="61"/>
      <c r="BG229" s="61"/>
      <c r="BH229" s="57"/>
      <c r="BI229" s="61"/>
      <c r="BJ229" s="61"/>
      <c r="BK229" s="57"/>
      <c r="BL229" s="61"/>
      <c r="BM229" s="57"/>
      <c r="BN229" s="61"/>
      <c r="BO229" s="57"/>
      <c r="BP229" s="58"/>
      <c r="BQ229" s="61"/>
      <c r="BR229" s="61"/>
      <c r="BS229" s="57"/>
      <c r="BT229" s="61"/>
      <c r="BU229" s="61"/>
      <c r="BV229" s="61"/>
      <c r="BW229" s="61"/>
      <c r="BX229" s="61"/>
      <c r="BY229" s="61"/>
      <c r="BZ229" s="61"/>
      <c r="CA229" s="61"/>
      <c r="CB229" s="57"/>
      <c r="CC229" s="61"/>
      <c r="CD229" s="61"/>
      <c r="CE229" s="61"/>
      <c r="CF229" s="57"/>
      <c r="CG229" s="61"/>
      <c r="CH229" s="61"/>
      <c r="CI229" s="61"/>
      <c r="CJ229" s="57"/>
      <c r="CK229" s="61"/>
      <c r="CL229" s="61"/>
      <c r="CM229" s="61"/>
      <c r="CN229" s="61"/>
      <c r="CO229" s="61"/>
      <c r="CP229" s="61"/>
      <c r="CQ229" s="61"/>
      <c r="CR229" s="61"/>
      <c r="CS229" s="61"/>
      <c r="CT229" s="61"/>
      <c r="CU229" s="61"/>
      <c r="CV229" s="61"/>
      <c r="CW229" s="61"/>
      <c r="CX229" s="61"/>
      <c r="CY229" s="61"/>
      <c r="CZ229" s="61"/>
      <c r="DA229" s="61"/>
      <c r="DB229" s="61"/>
      <c r="DC229" s="61"/>
      <c r="DD229" s="61"/>
      <c r="DE229" s="61"/>
      <c r="DF229" s="61"/>
      <c r="DG229" s="61"/>
      <c r="DH229" s="61"/>
      <c r="DI229" s="61"/>
      <c r="DJ229" s="61"/>
      <c r="DK229" s="61"/>
      <c r="DL229" s="61"/>
      <c r="DM229" s="61"/>
      <c r="DN229" s="61"/>
      <c r="DO229" s="61"/>
      <c r="DP229" s="61"/>
      <c r="DQ229" s="156"/>
      <c r="DR229" s="156"/>
      <c r="DS229" s="156"/>
      <c r="DT229" s="156"/>
      <c r="DU229" s="156"/>
      <c r="DV229" s="156"/>
      <c r="DW229" s="156"/>
      <c r="DX229" s="156"/>
      <c r="DY229" s="156"/>
      <c r="DZ229" s="59"/>
      <c r="EA229" s="59"/>
      <c r="EB229" s="59"/>
      <c r="EC229" s="59"/>
      <c r="ED229" s="59"/>
      <c r="EE229" s="59"/>
      <c r="EF229" s="59"/>
      <c r="EG229" s="59"/>
    </row>
    <row r="230" spans="1:137" s="10" customFormat="1" ht="15.9" customHeight="1" outlineLevel="1" x14ac:dyDescent="0.3">
      <c r="A230" s="7" t="s">
        <v>23</v>
      </c>
      <c r="B230" s="7"/>
      <c r="C230" s="8" t="s">
        <v>31</v>
      </c>
      <c r="D230" s="146"/>
      <c r="E230" s="7" t="s">
        <v>444</v>
      </c>
      <c r="F230" s="7" t="s">
        <v>448</v>
      </c>
      <c r="G230" s="9" t="s">
        <v>450</v>
      </c>
      <c r="H230" s="9"/>
      <c r="I230" s="204" cm="1">
        <f t="array" ref="I230">IFERROR(LOOKUP(2,1/(N230:GR230&lt;&gt;""),N$4:DRA$4),"")</f>
        <v>45160</v>
      </c>
      <c r="J230" s="169" cm="1">
        <f t="array" ref="J230">IFERROR(_xlfn.XLOOKUP(TRUE,N230:EH230&lt;&gt;"",N230:EH230,,,-1)," ")</f>
        <v>19.399999999999999</v>
      </c>
      <c r="K230" s="45">
        <v>19</v>
      </c>
      <c r="L230" s="45"/>
      <c r="M230" s="282" t="s">
        <v>34</v>
      </c>
      <c r="N230" s="57"/>
      <c r="O230" s="57"/>
      <c r="P230" s="57"/>
      <c r="Q230" s="57"/>
      <c r="R230" s="57"/>
      <c r="S230" s="57"/>
      <c r="T230" s="57"/>
      <c r="U230" s="57"/>
      <c r="V230" s="57"/>
      <c r="W230" s="57"/>
      <c r="X230" s="57"/>
      <c r="Y230" s="57"/>
      <c r="Z230" s="57"/>
      <c r="AA230" s="57"/>
      <c r="AB230" s="57"/>
      <c r="AC230" s="57"/>
      <c r="AD230" s="57"/>
      <c r="AE230" s="57"/>
      <c r="AF230" s="57"/>
      <c r="AG230" s="57"/>
      <c r="AH230" s="57"/>
      <c r="AI230" s="57"/>
      <c r="AJ230" s="57"/>
      <c r="AK230" s="57"/>
      <c r="AL230" s="57"/>
      <c r="AM230" s="57">
        <v>19.399999999999999</v>
      </c>
      <c r="AN230" s="57"/>
      <c r="AO230" s="57"/>
      <c r="AP230" s="57"/>
      <c r="AQ230" s="57"/>
      <c r="AR230" s="57"/>
      <c r="AS230" s="57"/>
      <c r="AT230" s="57"/>
      <c r="AU230" s="61"/>
      <c r="AV230" s="61"/>
      <c r="AW230" s="57"/>
      <c r="AX230" s="61"/>
      <c r="AY230" s="61"/>
      <c r="AZ230" s="61"/>
      <c r="BA230" s="61"/>
      <c r="BB230" s="61"/>
      <c r="BC230" s="61"/>
      <c r="BD230" s="61"/>
      <c r="BE230" s="61"/>
      <c r="BF230" s="61"/>
      <c r="BG230" s="61"/>
      <c r="BH230" s="57"/>
      <c r="BI230" s="61"/>
      <c r="BJ230" s="61"/>
      <c r="BK230" s="57"/>
      <c r="BL230" s="61"/>
      <c r="BM230" s="57"/>
      <c r="BN230" s="61"/>
      <c r="BO230" s="57"/>
      <c r="BP230" s="58"/>
      <c r="BQ230" s="61"/>
      <c r="BR230" s="61"/>
      <c r="BS230" s="57"/>
      <c r="BT230" s="61"/>
      <c r="BU230" s="61"/>
      <c r="BV230" s="61"/>
      <c r="BW230" s="61"/>
      <c r="BX230" s="61"/>
      <c r="BY230" s="61"/>
      <c r="BZ230" s="61"/>
      <c r="CA230" s="61"/>
      <c r="CB230" s="57"/>
      <c r="CC230" s="61"/>
      <c r="CD230" s="61"/>
      <c r="CE230" s="61"/>
      <c r="CF230" s="57"/>
      <c r="CG230" s="61"/>
      <c r="CH230" s="61"/>
      <c r="CI230" s="61"/>
      <c r="CJ230" s="57"/>
      <c r="CK230" s="61"/>
      <c r="CL230" s="61"/>
      <c r="CM230" s="61"/>
      <c r="CN230" s="61"/>
      <c r="CO230" s="61"/>
      <c r="CP230" s="61"/>
      <c r="CQ230" s="61"/>
      <c r="CR230" s="61"/>
      <c r="CS230" s="61"/>
      <c r="CT230" s="61"/>
      <c r="CU230" s="61"/>
      <c r="CV230" s="61"/>
      <c r="CW230" s="61"/>
      <c r="CX230" s="61"/>
      <c r="CY230" s="61"/>
      <c r="CZ230" s="61"/>
      <c r="DA230" s="61"/>
      <c r="DB230" s="61"/>
      <c r="DC230" s="61"/>
      <c r="DD230" s="61"/>
      <c r="DE230" s="61"/>
      <c r="DF230" s="61"/>
      <c r="DG230" s="61"/>
      <c r="DH230" s="61"/>
      <c r="DI230" s="61"/>
      <c r="DJ230" s="61"/>
      <c r="DK230" s="61"/>
      <c r="DL230" s="61"/>
      <c r="DM230" s="61"/>
      <c r="DN230" s="61"/>
      <c r="DO230" s="61"/>
      <c r="DP230" s="61"/>
      <c r="DQ230" s="156"/>
      <c r="DR230" s="156"/>
      <c r="DS230" s="156"/>
      <c r="DT230" s="156"/>
      <c r="DU230" s="156"/>
      <c r="DV230" s="156"/>
      <c r="DW230" s="156"/>
      <c r="DX230" s="156"/>
      <c r="DY230" s="156"/>
      <c r="DZ230" s="65"/>
      <c r="EA230" s="65"/>
      <c r="EB230" s="65"/>
      <c r="EC230" s="65"/>
      <c r="ED230" s="65"/>
      <c r="EE230" s="65"/>
      <c r="EF230" s="65"/>
      <c r="EG230" s="65"/>
    </row>
    <row r="231" spans="1:137" s="10" customFormat="1" ht="15.9" customHeight="1" outlineLevel="1" x14ac:dyDescent="0.3">
      <c r="A231" s="7" t="s">
        <v>23</v>
      </c>
      <c r="B231" s="7"/>
      <c r="C231" s="8" t="s">
        <v>31</v>
      </c>
      <c r="D231" s="146"/>
      <c r="E231" s="7" t="s">
        <v>444</v>
      </c>
      <c r="F231" s="7" t="s">
        <v>448</v>
      </c>
      <c r="G231" s="9" t="s">
        <v>451</v>
      </c>
      <c r="H231" s="9"/>
      <c r="I231" s="204" cm="1">
        <f t="array" ref="I231">IFERROR(LOOKUP(2,1/(N231:GR231&lt;&gt;""),N$4:DRA$4),"")</f>
        <v>45160</v>
      </c>
      <c r="J231" s="169" cm="1">
        <f t="array" ref="J231">IFERROR(_xlfn.XLOOKUP(TRUE,N231:EH231&lt;&gt;"",N231:EH231,,,-1)," ")</f>
        <v>19.5</v>
      </c>
      <c r="K231" s="45">
        <v>19</v>
      </c>
      <c r="L231" s="45"/>
      <c r="M231" s="282" t="s">
        <v>34</v>
      </c>
      <c r="N231" s="57"/>
      <c r="O231" s="57"/>
      <c r="P231" s="57"/>
      <c r="Q231" s="57"/>
      <c r="R231" s="57"/>
      <c r="S231" s="57"/>
      <c r="T231" s="57"/>
      <c r="U231" s="57"/>
      <c r="V231" s="57"/>
      <c r="W231" s="57"/>
      <c r="X231" s="57"/>
      <c r="Y231" s="57"/>
      <c r="Z231" s="57"/>
      <c r="AA231" s="57"/>
      <c r="AB231" s="57"/>
      <c r="AC231" s="57"/>
      <c r="AD231" s="57"/>
      <c r="AE231" s="57"/>
      <c r="AF231" s="57"/>
      <c r="AG231" s="57"/>
      <c r="AH231" s="57"/>
      <c r="AI231" s="57"/>
      <c r="AJ231" s="57"/>
      <c r="AK231" s="57"/>
      <c r="AL231" s="57"/>
      <c r="AM231" s="57">
        <v>19.5</v>
      </c>
      <c r="AN231" s="57"/>
      <c r="AO231" s="57"/>
      <c r="AP231" s="57"/>
      <c r="AQ231" s="57"/>
      <c r="AR231" s="57"/>
      <c r="AS231" s="57"/>
      <c r="AT231" s="57"/>
      <c r="AU231" s="61"/>
      <c r="AV231" s="61"/>
      <c r="AW231" s="57"/>
      <c r="AX231" s="61"/>
      <c r="AY231" s="61"/>
      <c r="AZ231" s="61"/>
      <c r="BA231" s="61"/>
      <c r="BB231" s="61"/>
      <c r="BC231" s="61"/>
      <c r="BD231" s="61"/>
      <c r="BE231" s="61"/>
      <c r="BF231" s="61"/>
      <c r="BG231" s="61"/>
      <c r="BH231" s="57"/>
      <c r="BI231" s="61"/>
      <c r="BJ231" s="61"/>
      <c r="BK231" s="57"/>
      <c r="BL231" s="61"/>
      <c r="BM231" s="57"/>
      <c r="BN231" s="61"/>
      <c r="BO231" s="57"/>
      <c r="BP231" s="58"/>
      <c r="BQ231" s="61"/>
      <c r="BR231" s="61"/>
      <c r="BS231" s="57"/>
      <c r="BT231" s="61"/>
      <c r="BU231" s="61"/>
      <c r="BV231" s="61"/>
      <c r="BW231" s="61"/>
      <c r="BX231" s="61"/>
      <c r="BY231" s="61"/>
      <c r="BZ231" s="61"/>
      <c r="CA231" s="61"/>
      <c r="CB231" s="57"/>
      <c r="CC231" s="61"/>
      <c r="CD231" s="61"/>
      <c r="CE231" s="61"/>
      <c r="CF231" s="57"/>
      <c r="CG231" s="61"/>
      <c r="CH231" s="61"/>
      <c r="CI231" s="61"/>
      <c r="CJ231" s="57"/>
      <c r="CK231" s="61"/>
      <c r="CL231" s="61"/>
      <c r="CM231" s="61"/>
      <c r="CN231" s="61"/>
      <c r="CO231" s="61"/>
      <c r="CP231" s="61"/>
      <c r="CQ231" s="61"/>
      <c r="CR231" s="61"/>
      <c r="CS231" s="61"/>
      <c r="CT231" s="61"/>
      <c r="CU231" s="61"/>
      <c r="CV231" s="61"/>
      <c r="CW231" s="61"/>
      <c r="CX231" s="61"/>
      <c r="CY231" s="61"/>
      <c r="CZ231" s="61"/>
      <c r="DA231" s="61"/>
      <c r="DB231" s="61"/>
      <c r="DC231" s="61"/>
      <c r="DD231" s="61"/>
      <c r="DE231" s="61"/>
      <c r="DF231" s="61"/>
      <c r="DG231" s="61"/>
      <c r="DH231" s="61"/>
      <c r="DI231" s="61"/>
      <c r="DJ231" s="61"/>
      <c r="DK231" s="61"/>
      <c r="DL231" s="61"/>
      <c r="DM231" s="61"/>
      <c r="DN231" s="61"/>
      <c r="DO231" s="61"/>
      <c r="DP231" s="61"/>
      <c r="DQ231" s="156"/>
      <c r="DR231" s="156"/>
      <c r="DS231" s="156"/>
      <c r="DT231" s="156"/>
      <c r="DU231" s="156"/>
      <c r="DV231" s="156"/>
      <c r="DW231" s="156"/>
      <c r="DX231" s="156"/>
      <c r="DY231" s="156"/>
      <c r="DZ231" s="65"/>
      <c r="EA231" s="65"/>
      <c r="EB231" s="65"/>
      <c r="EC231" s="65"/>
      <c r="ED231" s="65"/>
      <c r="EE231" s="65"/>
      <c r="EF231" s="65"/>
      <c r="EG231" s="65"/>
    </row>
    <row r="232" spans="1:137" s="10" customFormat="1" ht="15.9" customHeight="1" outlineLevel="1" x14ac:dyDescent="0.3">
      <c r="A232" s="7" t="s">
        <v>23</v>
      </c>
      <c r="B232" s="7"/>
      <c r="C232" s="8" t="s">
        <v>31</v>
      </c>
      <c r="D232" s="146"/>
      <c r="E232" s="7" t="s">
        <v>444</v>
      </c>
      <c r="F232" s="7" t="s">
        <v>448</v>
      </c>
      <c r="G232" s="9" t="s">
        <v>452</v>
      </c>
      <c r="H232" s="9"/>
      <c r="I232" s="204" t="str" cm="1">
        <f t="array" ref="I232">IFERROR(LOOKUP(2,1/(N232:GR232&lt;&gt;""),N$4:DRA$4),"")</f>
        <v/>
      </c>
      <c r="J232" s="169" t="str" cm="1">
        <f t="array" ref="J232">IFERROR(_xlfn.XLOOKUP(TRUE,N232:EH232&lt;&gt;"",N232:EH232,,,-1)," ")</f>
        <v xml:space="preserve"> </v>
      </c>
      <c r="K232" s="45">
        <v>19</v>
      </c>
      <c r="L232" s="45"/>
      <c r="M232" s="282" t="s">
        <v>34</v>
      </c>
      <c r="N232" s="57"/>
      <c r="O232" s="57"/>
      <c r="P232" s="57"/>
      <c r="Q232" s="57"/>
      <c r="R232" s="57"/>
      <c r="S232" s="57"/>
      <c r="T232" s="57"/>
      <c r="U232" s="57"/>
      <c r="V232" s="57"/>
      <c r="W232" s="57"/>
      <c r="X232" s="57"/>
      <c r="Y232" s="57"/>
      <c r="Z232" s="57"/>
      <c r="AA232" s="57"/>
      <c r="AB232" s="57"/>
      <c r="AC232" s="57"/>
      <c r="AD232" s="57"/>
      <c r="AE232" s="57"/>
      <c r="AF232" s="57"/>
      <c r="AG232" s="57"/>
      <c r="AH232" s="57"/>
      <c r="AI232" s="57"/>
      <c r="AJ232" s="57"/>
      <c r="AK232" s="57"/>
      <c r="AL232" s="57"/>
      <c r="AM232" s="57"/>
      <c r="AN232" s="57"/>
      <c r="AO232" s="57"/>
      <c r="AP232" s="57"/>
      <c r="AQ232" s="57"/>
      <c r="AR232" s="57"/>
      <c r="AS232" s="57"/>
      <c r="AT232" s="57"/>
      <c r="AU232" s="61"/>
      <c r="AV232" s="61"/>
      <c r="AW232" s="57"/>
      <c r="AX232" s="61"/>
      <c r="AY232" s="61"/>
      <c r="AZ232" s="61"/>
      <c r="BA232" s="61"/>
      <c r="BB232" s="61"/>
      <c r="BC232" s="61"/>
      <c r="BD232" s="61"/>
      <c r="BE232" s="61"/>
      <c r="BF232" s="61"/>
      <c r="BG232" s="61"/>
      <c r="BH232" s="57"/>
      <c r="BI232" s="61"/>
      <c r="BJ232" s="61"/>
      <c r="BK232" s="57"/>
      <c r="BL232" s="61"/>
      <c r="BM232" s="57"/>
      <c r="BN232" s="61"/>
      <c r="BO232" s="57"/>
      <c r="BP232" s="58"/>
      <c r="BQ232" s="61"/>
      <c r="BR232" s="61"/>
      <c r="BS232" s="57"/>
      <c r="BT232" s="61"/>
      <c r="BU232" s="61"/>
      <c r="BV232" s="61"/>
      <c r="BW232" s="61"/>
      <c r="BX232" s="61"/>
      <c r="BY232" s="61"/>
      <c r="BZ232" s="61"/>
      <c r="CA232" s="61"/>
      <c r="CB232" s="57"/>
      <c r="CC232" s="61"/>
      <c r="CD232" s="61"/>
      <c r="CE232" s="61"/>
      <c r="CF232" s="57"/>
      <c r="CG232" s="61"/>
      <c r="CH232" s="61"/>
      <c r="CI232" s="61"/>
      <c r="CJ232" s="57"/>
      <c r="CK232" s="61"/>
      <c r="CL232" s="61"/>
      <c r="CM232" s="61"/>
      <c r="CN232" s="61"/>
      <c r="CO232" s="61"/>
      <c r="CP232" s="61"/>
      <c r="CQ232" s="61"/>
      <c r="CR232" s="61"/>
      <c r="CS232" s="61"/>
      <c r="CT232" s="61"/>
      <c r="CU232" s="61"/>
      <c r="CV232" s="61"/>
      <c r="CW232" s="61"/>
      <c r="CX232" s="61"/>
      <c r="CY232" s="61"/>
      <c r="CZ232" s="61"/>
      <c r="DA232" s="61"/>
      <c r="DB232" s="61"/>
      <c r="DC232" s="61"/>
      <c r="DD232" s="61"/>
      <c r="DE232" s="61"/>
      <c r="DF232" s="61"/>
      <c r="DG232" s="61"/>
      <c r="DH232" s="61"/>
      <c r="DI232" s="61"/>
      <c r="DJ232" s="61"/>
      <c r="DK232" s="61"/>
      <c r="DL232" s="61"/>
      <c r="DM232" s="61"/>
      <c r="DN232" s="61"/>
      <c r="DO232" s="61"/>
      <c r="DP232" s="61"/>
      <c r="DQ232" s="156"/>
      <c r="DR232" s="156"/>
      <c r="DS232" s="156"/>
      <c r="DT232" s="156"/>
      <c r="DU232" s="156"/>
      <c r="DV232" s="156"/>
      <c r="DW232" s="156"/>
      <c r="DX232" s="156"/>
      <c r="DY232" s="156"/>
      <c r="DZ232" s="65"/>
      <c r="EA232" s="65"/>
      <c r="EB232" s="65"/>
      <c r="EC232" s="65"/>
      <c r="ED232" s="65"/>
      <c r="EE232" s="65"/>
      <c r="EF232" s="65"/>
      <c r="EG232" s="65"/>
    </row>
    <row r="233" spans="1:137" s="5" customFormat="1" ht="15.9" customHeight="1" outlineLevel="1" x14ac:dyDescent="0.3">
      <c r="A233" s="6" t="s">
        <v>23</v>
      </c>
      <c r="B233" s="6"/>
      <c r="C233" s="50" t="s">
        <v>31</v>
      </c>
      <c r="D233" s="147">
        <v>33.450000000000003</v>
      </c>
      <c r="E233" s="6" t="s">
        <v>444</v>
      </c>
      <c r="F233" s="6" t="s">
        <v>453</v>
      </c>
      <c r="G233" s="11" t="s">
        <v>454</v>
      </c>
      <c r="H233" s="11"/>
      <c r="I233" s="205" cm="1">
        <f t="array" ref="I233">IFERROR(LOOKUP(2,1/(N233:GR233&lt;&gt;""),N$4:DRA$4),"")</f>
        <v>45170</v>
      </c>
      <c r="J233" s="170" cm="1">
        <f t="array" ref="J233">IFERROR(_xlfn.XLOOKUP(TRUE,N233:EH233&lt;&gt;"",N233:EH233,,,-1)," ")</f>
        <v>19.8</v>
      </c>
      <c r="K233" s="49">
        <v>20</v>
      </c>
      <c r="L233" s="49"/>
      <c r="M233" s="284" t="s">
        <v>34</v>
      </c>
      <c r="N233" s="62"/>
      <c r="O233" s="62"/>
      <c r="P233" s="62"/>
      <c r="Q233" s="62"/>
      <c r="R233" s="62"/>
      <c r="S233" s="62"/>
      <c r="T233" s="62"/>
      <c r="U233" s="62"/>
      <c r="V233" s="62"/>
      <c r="W233" s="62"/>
      <c r="X233" s="62"/>
      <c r="Y233" s="62"/>
      <c r="Z233" s="62"/>
      <c r="AA233" s="62"/>
      <c r="AB233" s="62"/>
      <c r="AC233" s="62"/>
      <c r="AD233" s="62"/>
      <c r="AE233" s="62"/>
      <c r="AF233" s="171">
        <v>16</v>
      </c>
      <c r="AG233" s="62"/>
      <c r="AH233" s="62"/>
      <c r="AI233" s="62"/>
      <c r="AJ233" s="62"/>
      <c r="AK233" s="62"/>
      <c r="AL233" s="62"/>
      <c r="AM233" s="62"/>
      <c r="AN233" s="62"/>
      <c r="AO233" s="62"/>
      <c r="AP233" s="62"/>
      <c r="AQ233" s="62"/>
      <c r="AR233" s="62"/>
      <c r="AS233" s="171">
        <v>19.7</v>
      </c>
      <c r="AT233" s="62"/>
      <c r="AU233" s="63"/>
      <c r="AV233" s="63"/>
      <c r="AW233" s="62">
        <v>19.8</v>
      </c>
      <c r="AX233" s="63"/>
      <c r="AY233" s="63"/>
      <c r="AZ233" s="63"/>
      <c r="BA233" s="63"/>
      <c r="BB233" s="63"/>
      <c r="BC233" s="63"/>
      <c r="BD233" s="63"/>
      <c r="BE233" s="63"/>
      <c r="BF233" s="63"/>
      <c r="BG233" s="63"/>
      <c r="BH233" s="62"/>
      <c r="BI233" s="63"/>
      <c r="BJ233" s="63"/>
      <c r="BK233" s="62"/>
      <c r="BL233" s="63"/>
      <c r="BM233" s="62"/>
      <c r="BN233" s="63"/>
      <c r="BO233" s="62"/>
      <c r="BP233" s="64"/>
      <c r="BQ233" s="63"/>
      <c r="BR233" s="63"/>
      <c r="BS233" s="62"/>
      <c r="BT233" s="63"/>
      <c r="BU233" s="63"/>
      <c r="BV233" s="63"/>
      <c r="BW233" s="63"/>
      <c r="BX233" s="63"/>
      <c r="BY233" s="63"/>
      <c r="BZ233" s="63"/>
      <c r="CA233" s="63"/>
      <c r="CB233" s="62"/>
      <c r="CC233" s="63"/>
      <c r="CD233" s="63"/>
      <c r="CE233" s="63"/>
      <c r="CF233" s="62"/>
      <c r="CG233" s="63"/>
      <c r="CH233" s="63"/>
      <c r="CI233" s="63"/>
      <c r="CJ233" s="62"/>
      <c r="CK233" s="63"/>
      <c r="CL233" s="63"/>
      <c r="CM233" s="63"/>
      <c r="CN233" s="63"/>
      <c r="CO233" s="63"/>
      <c r="CP233" s="63"/>
      <c r="CQ233" s="63"/>
      <c r="CR233" s="63"/>
      <c r="CS233" s="63"/>
      <c r="CT233" s="63"/>
      <c r="CU233" s="63"/>
      <c r="CV233" s="63"/>
      <c r="CW233" s="63"/>
      <c r="CX233" s="63"/>
      <c r="CY233" s="63"/>
      <c r="CZ233" s="63"/>
      <c r="DA233" s="63"/>
      <c r="DB233" s="63"/>
      <c r="DC233" s="63"/>
      <c r="DD233" s="63"/>
      <c r="DE233" s="63"/>
      <c r="DF233" s="63"/>
      <c r="DG233" s="63"/>
      <c r="DH233" s="63"/>
      <c r="DI233" s="63"/>
      <c r="DJ233" s="63"/>
      <c r="DK233" s="63"/>
      <c r="DL233" s="63"/>
      <c r="DM233" s="63"/>
      <c r="DN233" s="63"/>
      <c r="DO233" s="63"/>
      <c r="DP233" s="63"/>
      <c r="DQ233" s="158"/>
      <c r="DR233" s="158"/>
      <c r="DS233" s="158"/>
      <c r="DT233" s="158"/>
      <c r="DU233" s="158"/>
      <c r="DV233" s="158"/>
      <c r="DW233" s="158"/>
      <c r="DX233" s="158"/>
      <c r="DY233" s="158"/>
      <c r="DZ233" s="65"/>
      <c r="EA233" s="65"/>
      <c r="EB233" s="65"/>
      <c r="EC233" s="65"/>
      <c r="ED233" s="65"/>
      <c r="EE233" s="65"/>
      <c r="EF233" s="65"/>
      <c r="EG233" s="65"/>
    </row>
    <row r="234" spans="1:137" s="10" customFormat="1" ht="15.9" customHeight="1" outlineLevel="1" x14ac:dyDescent="0.3">
      <c r="A234" s="7" t="s">
        <v>23</v>
      </c>
      <c r="B234" s="7" t="s">
        <v>23</v>
      </c>
      <c r="C234" s="8" t="s">
        <v>24</v>
      </c>
      <c r="D234" s="146">
        <v>9.75</v>
      </c>
      <c r="E234" s="7" t="s">
        <v>444</v>
      </c>
      <c r="F234" s="7" t="s">
        <v>455</v>
      </c>
      <c r="G234" s="9" t="s">
        <v>456</v>
      </c>
      <c r="H234" s="9"/>
      <c r="I234" s="204" cm="1">
        <f t="array" ref="I234">IFERROR(LOOKUP(2,1/(N234:GR234&lt;&gt;""),N$4:DRA$4),"")</f>
        <v>45166</v>
      </c>
      <c r="J234" s="266" cm="1">
        <f t="array" ref="J234">IFERROR(_xlfn.XLOOKUP(TRUE,N234:EH234&lt;&gt;"",N234:EH234,,,-1)," ")</f>
        <v>20</v>
      </c>
      <c r="K234" s="45">
        <v>20</v>
      </c>
      <c r="L234" s="45">
        <v>20.5</v>
      </c>
      <c r="M234" s="282" t="s">
        <v>28</v>
      </c>
      <c r="N234" s="57"/>
      <c r="O234" s="57"/>
      <c r="P234" s="57"/>
      <c r="Q234" s="57"/>
      <c r="R234" s="57"/>
      <c r="S234" s="57"/>
      <c r="T234" s="57"/>
      <c r="U234" s="57">
        <v>15.8</v>
      </c>
      <c r="V234" s="57"/>
      <c r="W234" s="57"/>
      <c r="X234" s="57"/>
      <c r="Y234" s="57"/>
      <c r="Z234" s="57">
        <v>16.600000000000001</v>
      </c>
      <c r="AA234" s="57"/>
      <c r="AB234" s="57"/>
      <c r="AC234" s="57"/>
      <c r="AD234" s="57"/>
      <c r="AE234" s="57"/>
      <c r="AF234" s="57">
        <v>17.5</v>
      </c>
      <c r="AG234" s="57"/>
      <c r="AH234" s="57"/>
      <c r="AI234" s="58"/>
      <c r="AJ234" s="57"/>
      <c r="AK234" s="57"/>
      <c r="AL234" s="58"/>
      <c r="AM234" s="57"/>
      <c r="AN234" s="57"/>
      <c r="AO234" s="57"/>
      <c r="AP234" s="57">
        <v>19</v>
      </c>
      <c r="AQ234" s="58">
        <v>20.100000000000001</v>
      </c>
      <c r="AR234" s="57"/>
      <c r="AS234" s="58">
        <v>20</v>
      </c>
      <c r="AT234" s="57"/>
      <c r="AU234" s="61"/>
      <c r="AV234" s="61"/>
      <c r="AW234" s="57"/>
      <c r="AX234" s="61"/>
      <c r="AY234" s="61"/>
      <c r="AZ234" s="61"/>
      <c r="BA234" s="61"/>
      <c r="BB234" s="61"/>
      <c r="BC234" s="61"/>
      <c r="BD234" s="61"/>
      <c r="BE234" s="61"/>
      <c r="BF234" s="61"/>
      <c r="BG234" s="61"/>
      <c r="BH234" s="57"/>
      <c r="BI234" s="61"/>
      <c r="BJ234" s="61"/>
      <c r="BK234" s="57"/>
      <c r="BL234" s="61"/>
      <c r="BM234" s="57"/>
      <c r="BN234" s="61"/>
      <c r="BO234" s="57"/>
      <c r="BP234" s="58"/>
      <c r="BQ234" s="61"/>
      <c r="BR234" s="61"/>
      <c r="BS234" s="57"/>
      <c r="BT234" s="61"/>
      <c r="BU234" s="61"/>
      <c r="BV234" s="61"/>
      <c r="BW234" s="61"/>
      <c r="BX234" s="61"/>
      <c r="BY234" s="61"/>
      <c r="BZ234" s="61"/>
      <c r="CA234" s="61"/>
      <c r="CB234" s="57"/>
      <c r="CC234" s="61"/>
      <c r="CD234" s="61"/>
      <c r="CE234" s="61"/>
      <c r="CF234" s="57"/>
      <c r="CG234" s="61"/>
      <c r="CH234" s="61"/>
      <c r="CI234" s="61"/>
      <c r="CJ234" s="57"/>
      <c r="CK234" s="61"/>
      <c r="CL234" s="61"/>
      <c r="CM234" s="61"/>
      <c r="CN234" s="61"/>
      <c r="CO234" s="61"/>
      <c r="CP234" s="61"/>
      <c r="CQ234" s="61"/>
      <c r="CR234" s="61"/>
      <c r="CS234" s="61"/>
      <c r="CT234" s="61"/>
      <c r="CU234" s="61"/>
      <c r="CV234" s="61"/>
      <c r="CW234" s="61"/>
      <c r="CX234" s="61"/>
      <c r="CY234" s="61"/>
      <c r="CZ234" s="61"/>
      <c r="DA234" s="61"/>
      <c r="DB234" s="61"/>
      <c r="DC234" s="61"/>
      <c r="DD234" s="61"/>
      <c r="DE234" s="61"/>
      <c r="DF234" s="61"/>
      <c r="DG234" s="61"/>
      <c r="DH234" s="61"/>
      <c r="DI234" s="61"/>
      <c r="DJ234" s="61"/>
      <c r="DK234" s="61"/>
      <c r="DL234" s="61"/>
      <c r="DM234" s="61"/>
      <c r="DN234" s="61"/>
      <c r="DO234" s="61"/>
      <c r="DP234" s="61"/>
      <c r="DQ234" s="156"/>
      <c r="DR234" s="156"/>
      <c r="DS234" s="156"/>
      <c r="DT234" s="156"/>
      <c r="DU234" s="156"/>
      <c r="DV234" s="156"/>
      <c r="DW234" s="156"/>
      <c r="DX234" s="156"/>
      <c r="DY234" s="156"/>
      <c r="DZ234" s="59"/>
      <c r="EA234" s="59"/>
      <c r="EB234" s="59"/>
      <c r="EC234" s="59"/>
      <c r="ED234" s="59"/>
      <c r="EE234" s="59"/>
      <c r="EF234" s="59"/>
      <c r="EG234" s="59"/>
    </row>
    <row r="235" spans="1:137" s="5" customFormat="1" ht="15.9" customHeight="1" outlineLevel="1" x14ac:dyDescent="0.3">
      <c r="A235" s="6" t="s">
        <v>23</v>
      </c>
      <c r="B235" s="6" t="s">
        <v>23</v>
      </c>
      <c r="C235" s="50" t="s">
        <v>24</v>
      </c>
      <c r="D235" s="147">
        <v>42.4</v>
      </c>
      <c r="E235" s="6" t="s">
        <v>444</v>
      </c>
      <c r="F235" s="6" t="s">
        <v>457</v>
      </c>
      <c r="G235" s="11" t="s">
        <v>458</v>
      </c>
      <c r="H235" s="11"/>
      <c r="I235" s="205" cm="1">
        <f t="array" ref="I235">IFERROR(LOOKUP(2,1/(N235:GR235&lt;&gt;""),N$4:DRA$4),"")</f>
        <v>45163</v>
      </c>
      <c r="J235" s="170" cm="1">
        <f t="array" ref="J235">IFERROR(_xlfn.XLOOKUP(TRUE,N235:EH235&lt;&gt;"",N235:EH235,,,-1)," ")</f>
        <v>21.5</v>
      </c>
      <c r="K235" s="49">
        <v>21.5</v>
      </c>
      <c r="L235" s="49"/>
      <c r="M235" s="284" t="s">
        <v>34</v>
      </c>
      <c r="N235" s="62"/>
      <c r="O235" s="62"/>
      <c r="P235" s="62"/>
      <c r="Q235" s="62"/>
      <c r="R235" s="62"/>
      <c r="S235" s="62"/>
      <c r="T235" s="62"/>
      <c r="U235" s="62"/>
      <c r="V235" s="62"/>
      <c r="W235" s="62"/>
      <c r="X235" s="171" t="s">
        <v>459</v>
      </c>
      <c r="Y235" s="62"/>
      <c r="Z235" s="62"/>
      <c r="AA235" s="62"/>
      <c r="AB235" s="62"/>
      <c r="AC235" s="62"/>
      <c r="AD235" s="62"/>
      <c r="AE235" s="62"/>
      <c r="AF235" s="62"/>
      <c r="AG235" s="62"/>
      <c r="AH235" s="62"/>
      <c r="AI235" s="62"/>
      <c r="AJ235" s="62"/>
      <c r="AK235" s="62"/>
      <c r="AL235" s="171" t="s">
        <v>460</v>
      </c>
      <c r="AM235" s="62"/>
      <c r="AN235" s="62"/>
      <c r="AO235" s="62"/>
      <c r="AP235" s="171">
        <v>21.5</v>
      </c>
      <c r="AQ235" s="62"/>
      <c r="AR235" s="62"/>
      <c r="AS235" s="62"/>
      <c r="AT235" s="62"/>
      <c r="AU235" s="63"/>
      <c r="AV235" s="63"/>
      <c r="AW235" s="62"/>
      <c r="AX235" s="63"/>
      <c r="AY235" s="63"/>
      <c r="AZ235" s="63"/>
      <c r="BA235" s="63"/>
      <c r="BB235" s="63"/>
      <c r="BC235" s="63"/>
      <c r="BD235" s="63"/>
      <c r="BE235" s="63"/>
      <c r="BF235" s="63"/>
      <c r="BG235" s="63"/>
      <c r="BH235" s="62"/>
      <c r="BI235" s="63"/>
      <c r="BJ235" s="63"/>
      <c r="BK235" s="62"/>
      <c r="BL235" s="63"/>
      <c r="BM235" s="62"/>
      <c r="BN235" s="63"/>
      <c r="BO235" s="62"/>
      <c r="BP235" s="64"/>
      <c r="BQ235" s="63"/>
      <c r="BR235" s="63"/>
      <c r="BS235" s="62"/>
      <c r="BT235" s="63"/>
      <c r="BU235" s="63"/>
      <c r="BV235" s="63"/>
      <c r="BW235" s="63"/>
      <c r="BX235" s="63"/>
      <c r="BY235" s="63"/>
      <c r="BZ235" s="63"/>
      <c r="CA235" s="63"/>
      <c r="CB235" s="62"/>
      <c r="CC235" s="63"/>
      <c r="CD235" s="63"/>
      <c r="CE235" s="63"/>
      <c r="CF235" s="62"/>
      <c r="CG235" s="63"/>
      <c r="CH235" s="63"/>
      <c r="CI235" s="63"/>
      <c r="CJ235" s="62"/>
      <c r="CK235" s="63"/>
      <c r="CL235" s="63"/>
      <c r="CM235" s="63"/>
      <c r="CN235" s="63"/>
      <c r="CO235" s="63"/>
      <c r="CP235" s="63"/>
      <c r="CQ235" s="63"/>
      <c r="CR235" s="63"/>
      <c r="CS235" s="63"/>
      <c r="CT235" s="63"/>
      <c r="CU235" s="63"/>
      <c r="CV235" s="63"/>
      <c r="CW235" s="63"/>
      <c r="CX235" s="63"/>
      <c r="CY235" s="63"/>
      <c r="CZ235" s="63"/>
      <c r="DA235" s="63"/>
      <c r="DB235" s="63"/>
      <c r="DC235" s="63"/>
      <c r="DD235" s="63"/>
      <c r="DE235" s="63"/>
      <c r="DF235" s="63"/>
      <c r="DG235" s="63"/>
      <c r="DH235" s="63"/>
      <c r="DI235" s="63"/>
      <c r="DJ235" s="63"/>
      <c r="DK235" s="63"/>
      <c r="DL235" s="63"/>
      <c r="DM235" s="63"/>
      <c r="DN235" s="63"/>
      <c r="DO235" s="63"/>
      <c r="DP235" s="63"/>
      <c r="DQ235" s="158"/>
      <c r="DR235" s="158"/>
      <c r="DS235" s="158"/>
      <c r="DT235" s="158"/>
      <c r="DU235" s="158"/>
      <c r="DV235" s="158"/>
      <c r="DW235" s="158"/>
      <c r="DX235" s="158"/>
      <c r="DY235" s="158"/>
      <c r="DZ235" s="65"/>
      <c r="EA235" s="65"/>
      <c r="EB235" s="65"/>
      <c r="EC235" s="65"/>
      <c r="ED235" s="65"/>
      <c r="EE235" s="65"/>
      <c r="EF235" s="65"/>
      <c r="EG235" s="65"/>
    </row>
    <row r="236" spans="1:137" s="10" customFormat="1" ht="15.9" customHeight="1" outlineLevel="1" x14ac:dyDescent="0.3">
      <c r="A236" s="7" t="s">
        <v>22</v>
      </c>
      <c r="B236" s="26" t="s">
        <v>23</v>
      </c>
      <c r="C236" s="8" t="s">
        <v>31</v>
      </c>
      <c r="D236" s="146">
        <v>66.53</v>
      </c>
      <c r="E236" s="7" t="s">
        <v>444</v>
      </c>
      <c r="F236" s="7" t="s">
        <v>461</v>
      </c>
      <c r="G236" s="9" t="s">
        <v>462</v>
      </c>
      <c r="H236" s="9"/>
      <c r="I236" s="204" cm="1">
        <f t="array" ref="I236">IFERROR(LOOKUP(2,1/(N236:GR236&lt;&gt;""),N$4:DRA$4),"")</f>
        <v>45160</v>
      </c>
      <c r="J236" s="169" t="str" cm="1">
        <f t="array" ref="J236">IFERROR(_xlfn.XLOOKUP(TRUE,N236:EH236&lt;&gt;"",N236:EH236,,,-1)," ")</f>
        <v>16.2*</v>
      </c>
      <c r="K236" s="45">
        <v>20</v>
      </c>
      <c r="L236" s="45">
        <v>20.5</v>
      </c>
      <c r="M236" s="282" t="s">
        <v>28</v>
      </c>
      <c r="N236" s="58"/>
      <c r="O236" s="58"/>
      <c r="P236" s="58"/>
      <c r="Q236" s="58"/>
      <c r="R236" s="58"/>
      <c r="S236" s="58"/>
      <c r="T236" s="58"/>
      <c r="U236" s="58"/>
      <c r="V236" s="58"/>
      <c r="W236" s="58"/>
      <c r="X236" s="58"/>
      <c r="Y236" s="58"/>
      <c r="Z236" s="58"/>
      <c r="AA236" s="58"/>
      <c r="AB236" s="57"/>
      <c r="AC236" s="57"/>
      <c r="AD236" s="57"/>
      <c r="AE236" s="57"/>
      <c r="AF236" s="57"/>
      <c r="AG236" s="57"/>
      <c r="AH236" s="57">
        <v>16.100000000000001</v>
      </c>
      <c r="AI236" s="57"/>
      <c r="AJ236" s="57"/>
      <c r="AK236" s="57"/>
      <c r="AL236" s="57"/>
      <c r="AM236" s="57" t="s">
        <v>463</v>
      </c>
      <c r="AN236" s="57"/>
      <c r="AO236" s="57"/>
      <c r="AP236" s="57"/>
      <c r="AQ236" s="57"/>
      <c r="AR236" s="57"/>
      <c r="AS236" s="57"/>
      <c r="AT236" s="57"/>
      <c r="AU236" s="61"/>
      <c r="AV236" s="61"/>
      <c r="AW236" s="57"/>
      <c r="AX236" s="61"/>
      <c r="AY236" s="61"/>
      <c r="AZ236" s="61"/>
      <c r="BA236" s="61"/>
      <c r="BB236" s="61"/>
      <c r="BC236" s="61"/>
      <c r="BD236" s="61"/>
      <c r="BE236" s="61"/>
      <c r="BF236" s="61"/>
      <c r="BG236" s="61"/>
      <c r="BH236" s="57"/>
      <c r="BI236" s="61"/>
      <c r="BJ236" s="61"/>
      <c r="BK236" s="57"/>
      <c r="BL236" s="61"/>
      <c r="BM236" s="57"/>
      <c r="BN236" s="61"/>
      <c r="BO236" s="57"/>
      <c r="BP236" s="57"/>
      <c r="BQ236" s="61"/>
      <c r="BR236" s="61"/>
      <c r="BS236" s="57"/>
      <c r="BT236" s="61"/>
      <c r="BU236" s="61"/>
      <c r="BV236" s="61"/>
      <c r="BW236" s="61"/>
      <c r="BX236" s="61"/>
      <c r="BY236" s="61"/>
      <c r="BZ236" s="61"/>
      <c r="CA236" s="61"/>
      <c r="CB236" s="57"/>
      <c r="CC236" s="61"/>
      <c r="CD236" s="61"/>
      <c r="CE236" s="61"/>
      <c r="CF236" s="57"/>
      <c r="CG236" s="61"/>
      <c r="CH236" s="61"/>
      <c r="CI236" s="61"/>
      <c r="CJ236" s="57"/>
      <c r="CK236" s="61"/>
      <c r="CL236" s="61"/>
      <c r="CM236" s="61"/>
      <c r="CN236" s="61"/>
      <c r="CO236" s="61"/>
      <c r="CP236" s="61"/>
      <c r="CQ236" s="61"/>
      <c r="CR236" s="61"/>
      <c r="CS236" s="61"/>
      <c r="CT236" s="61"/>
      <c r="CU236" s="61"/>
      <c r="CV236" s="61"/>
      <c r="CW236" s="61"/>
      <c r="CX236" s="61"/>
      <c r="CY236" s="61"/>
      <c r="CZ236" s="61"/>
      <c r="DA236" s="61"/>
      <c r="DB236" s="61"/>
      <c r="DC236" s="61"/>
      <c r="DD236" s="61"/>
      <c r="DE236" s="61"/>
      <c r="DF236" s="61"/>
      <c r="DG236" s="61"/>
      <c r="DH236" s="61"/>
      <c r="DI236" s="61"/>
      <c r="DJ236" s="61"/>
      <c r="DK236" s="61"/>
      <c r="DL236" s="61"/>
      <c r="DM236" s="61"/>
      <c r="DN236" s="61"/>
      <c r="DO236" s="61"/>
      <c r="DP236" s="61"/>
      <c r="DQ236" s="156"/>
      <c r="DR236" s="156"/>
      <c r="DS236" s="156"/>
      <c r="DT236" s="156"/>
      <c r="DU236" s="156"/>
      <c r="DV236" s="156"/>
      <c r="DW236" s="156"/>
      <c r="DX236" s="156"/>
      <c r="DY236" s="156"/>
      <c r="DZ236" s="24"/>
      <c r="EA236" s="24"/>
      <c r="EB236" s="24"/>
      <c r="EC236" s="24"/>
      <c r="ED236" s="24"/>
      <c r="EE236" s="24"/>
      <c r="EF236" s="24"/>
      <c r="EG236" s="24"/>
    </row>
    <row r="237" spans="1:137" s="10" customFormat="1" ht="15.9" customHeight="1" outlineLevel="1" x14ac:dyDescent="0.3">
      <c r="A237" s="7" t="s">
        <v>22</v>
      </c>
      <c r="B237" s="7"/>
      <c r="C237" s="8" t="s">
        <v>31</v>
      </c>
      <c r="D237" s="146"/>
      <c r="E237" s="7" t="s">
        <v>444</v>
      </c>
      <c r="F237" s="7" t="s">
        <v>461</v>
      </c>
      <c r="G237" s="9" t="s">
        <v>464</v>
      </c>
      <c r="H237" s="9"/>
      <c r="I237" s="204" cm="1">
        <f t="array" ref="I237">IFERROR(LOOKUP(2,1/(N237:GR237&lt;&gt;""),N$4:DRA$4),"")</f>
        <v>45176</v>
      </c>
      <c r="J237" s="266" cm="1">
        <f t="array" ref="J237">IFERROR(_xlfn.XLOOKUP(TRUE,N237:EH237&lt;&gt;"",N237:EH237,,,-1)," ")</f>
        <v>18.3</v>
      </c>
      <c r="K237" s="45">
        <v>20</v>
      </c>
      <c r="L237" s="45">
        <v>20.5</v>
      </c>
      <c r="M237" s="282" t="s">
        <v>28</v>
      </c>
      <c r="N237" s="57"/>
      <c r="O237" s="57"/>
      <c r="P237" s="57"/>
      <c r="Q237" s="57"/>
      <c r="R237" s="57"/>
      <c r="S237" s="57"/>
      <c r="T237" s="57"/>
      <c r="U237" s="57"/>
      <c r="V237" s="57"/>
      <c r="W237" s="57"/>
      <c r="X237" s="57"/>
      <c r="Y237" s="57"/>
      <c r="Z237" s="57"/>
      <c r="AA237" s="57"/>
      <c r="AB237" s="57"/>
      <c r="AC237" s="57"/>
      <c r="AD237" s="57"/>
      <c r="AE237" s="57"/>
      <c r="AF237" s="57"/>
      <c r="AG237" s="57"/>
      <c r="AH237" s="57"/>
      <c r="AI237" s="57"/>
      <c r="AJ237" s="57"/>
      <c r="AK237" s="57"/>
      <c r="AL237" s="57"/>
      <c r="AM237" s="57"/>
      <c r="AN237" s="57"/>
      <c r="AO237" s="57"/>
      <c r="AP237" s="57"/>
      <c r="AQ237" s="57"/>
      <c r="AR237" s="57"/>
      <c r="AS237" s="57"/>
      <c r="AT237" s="57"/>
      <c r="AU237" s="61">
        <v>18.399999999999999</v>
      </c>
      <c r="AV237" s="61"/>
      <c r="AW237" s="57"/>
      <c r="AX237" s="61"/>
      <c r="AY237" s="61"/>
      <c r="AZ237" s="61"/>
      <c r="BA237" s="61">
        <v>20.399999999999999</v>
      </c>
      <c r="BB237" s="61"/>
      <c r="BC237" s="160">
        <v>18.3</v>
      </c>
      <c r="BD237" s="61"/>
      <c r="BE237" s="61"/>
      <c r="BF237" s="61"/>
      <c r="BG237" s="61"/>
      <c r="BH237" s="57"/>
      <c r="BI237" s="61"/>
      <c r="BJ237" s="61"/>
      <c r="BK237" s="57"/>
      <c r="BL237" s="61"/>
      <c r="BM237" s="57"/>
      <c r="BN237" s="61"/>
      <c r="BO237" s="57"/>
      <c r="BP237" s="58"/>
      <c r="BQ237" s="61"/>
      <c r="BR237" s="61"/>
      <c r="BS237" s="57"/>
      <c r="BT237" s="61"/>
      <c r="BU237" s="61"/>
      <c r="BV237" s="61"/>
      <c r="BW237" s="61"/>
      <c r="BX237" s="61"/>
      <c r="BY237" s="61"/>
      <c r="BZ237" s="61"/>
      <c r="CA237" s="61"/>
      <c r="CB237" s="57"/>
      <c r="CC237" s="61"/>
      <c r="CD237" s="61"/>
      <c r="CE237" s="61"/>
      <c r="CF237" s="57"/>
      <c r="CG237" s="61"/>
      <c r="CH237" s="61"/>
      <c r="CI237" s="61"/>
      <c r="CJ237" s="57"/>
      <c r="CK237" s="61"/>
      <c r="CL237" s="61"/>
      <c r="CM237" s="61"/>
      <c r="CN237" s="61"/>
      <c r="CO237" s="61"/>
      <c r="CP237" s="61"/>
      <c r="CQ237" s="61"/>
      <c r="CR237" s="61"/>
      <c r="CS237" s="61"/>
      <c r="CT237" s="61"/>
      <c r="CU237" s="61"/>
      <c r="CV237" s="61"/>
      <c r="CW237" s="61"/>
      <c r="CX237" s="61"/>
      <c r="CY237" s="61"/>
      <c r="CZ237" s="61"/>
      <c r="DA237" s="61"/>
      <c r="DB237" s="61"/>
      <c r="DC237" s="61"/>
      <c r="DD237" s="61"/>
      <c r="DE237" s="61"/>
      <c r="DF237" s="61"/>
      <c r="DG237" s="61"/>
      <c r="DH237" s="61"/>
      <c r="DI237" s="61"/>
      <c r="DJ237" s="61"/>
      <c r="DK237" s="61"/>
      <c r="DL237" s="61"/>
      <c r="DM237" s="61"/>
      <c r="DN237" s="61"/>
      <c r="DO237" s="61"/>
      <c r="DP237" s="61"/>
      <c r="DQ237" s="156"/>
      <c r="DR237" s="156"/>
      <c r="DS237" s="156"/>
      <c r="DT237" s="156"/>
      <c r="DU237" s="156"/>
      <c r="DV237" s="156"/>
      <c r="DW237" s="156"/>
      <c r="DX237" s="156"/>
      <c r="DY237" s="156"/>
      <c r="DZ237" s="24"/>
      <c r="EA237" s="24"/>
      <c r="EB237" s="24"/>
      <c r="EC237" s="24"/>
      <c r="ED237" s="24"/>
      <c r="EE237" s="24"/>
      <c r="EF237" s="24"/>
      <c r="EG237" s="24"/>
    </row>
    <row r="238" spans="1:137" s="10" customFormat="1" ht="15.9" customHeight="1" outlineLevel="1" x14ac:dyDescent="0.3">
      <c r="A238" s="7" t="s">
        <v>22</v>
      </c>
      <c r="B238" s="7" t="s">
        <v>23</v>
      </c>
      <c r="C238" s="8" t="s">
        <v>31</v>
      </c>
      <c r="D238" s="146"/>
      <c r="E238" s="7" t="s">
        <v>444</v>
      </c>
      <c r="F238" s="7" t="s">
        <v>461</v>
      </c>
      <c r="G238" s="9" t="s">
        <v>465</v>
      </c>
      <c r="H238" s="9"/>
      <c r="I238" s="204" cm="1">
        <f t="array" ref="I238">IFERROR(LOOKUP(2,1/(N238:GR238&lt;&gt;""),N$4:DRA$4),"")</f>
        <v>45176</v>
      </c>
      <c r="J238" s="266" cm="1">
        <f t="array" ref="J238">IFERROR(_xlfn.XLOOKUP(TRUE,N238:EH238&lt;&gt;"",N238:EH238,,,-1)," ")</f>
        <v>19.899999999999999</v>
      </c>
      <c r="K238" s="45">
        <v>20</v>
      </c>
      <c r="L238" s="45">
        <v>20.5</v>
      </c>
      <c r="M238" s="282" t="s">
        <v>28</v>
      </c>
      <c r="N238" s="57"/>
      <c r="O238" s="57"/>
      <c r="P238" s="57"/>
      <c r="Q238" s="57"/>
      <c r="R238" s="57"/>
      <c r="S238" s="57"/>
      <c r="T238" s="57"/>
      <c r="U238" s="57"/>
      <c r="V238" s="57"/>
      <c r="W238" s="57"/>
      <c r="X238" s="57"/>
      <c r="Y238" s="57"/>
      <c r="Z238" s="57"/>
      <c r="AA238" s="57"/>
      <c r="AB238" s="57"/>
      <c r="AC238" s="57"/>
      <c r="AD238" s="57"/>
      <c r="AE238" s="57"/>
      <c r="AF238" s="57"/>
      <c r="AG238" s="57"/>
      <c r="AH238" s="57"/>
      <c r="AI238" s="57"/>
      <c r="AJ238" s="57"/>
      <c r="AK238" s="57"/>
      <c r="AL238" s="57"/>
      <c r="AM238" s="57"/>
      <c r="AN238" s="57"/>
      <c r="AO238" s="57"/>
      <c r="AP238" s="57"/>
      <c r="AQ238" s="57"/>
      <c r="AR238" s="57"/>
      <c r="AS238" s="57"/>
      <c r="AT238" s="57"/>
      <c r="AU238" s="61">
        <v>19.8</v>
      </c>
      <c r="AV238" s="160">
        <v>17.5</v>
      </c>
      <c r="AW238" s="57"/>
      <c r="AX238" s="61"/>
      <c r="AY238" s="61"/>
      <c r="AZ238" s="61"/>
      <c r="BA238" s="61">
        <v>19.399999999999999</v>
      </c>
      <c r="BB238" s="61"/>
      <c r="BC238" s="160">
        <v>19.899999999999999</v>
      </c>
      <c r="BD238" s="61"/>
      <c r="BE238" s="61"/>
      <c r="BF238" s="61"/>
      <c r="BG238" s="61"/>
      <c r="BH238" s="57"/>
      <c r="BI238" s="61"/>
      <c r="BJ238" s="61"/>
      <c r="BK238" s="57"/>
      <c r="BL238" s="61"/>
      <c r="BM238" s="57"/>
      <c r="BN238" s="61"/>
      <c r="BO238" s="57"/>
      <c r="BP238" s="58"/>
      <c r="BQ238" s="61"/>
      <c r="BR238" s="61"/>
      <c r="BS238" s="57"/>
      <c r="BT238" s="61"/>
      <c r="BU238" s="61"/>
      <c r="BV238" s="61"/>
      <c r="BW238" s="61"/>
      <c r="BX238" s="61"/>
      <c r="BY238" s="61"/>
      <c r="BZ238" s="61"/>
      <c r="CA238" s="61"/>
      <c r="CB238" s="57"/>
      <c r="CC238" s="61"/>
      <c r="CD238" s="61"/>
      <c r="CE238" s="61"/>
      <c r="CF238" s="57"/>
      <c r="CG238" s="61"/>
      <c r="CH238" s="61"/>
      <c r="CI238" s="61"/>
      <c r="CJ238" s="57"/>
      <c r="CK238" s="61"/>
      <c r="CL238" s="61"/>
      <c r="CM238" s="61"/>
      <c r="CN238" s="61"/>
      <c r="CO238" s="61"/>
      <c r="CP238" s="61"/>
      <c r="CQ238" s="61"/>
      <c r="CR238" s="61"/>
      <c r="CS238" s="61"/>
      <c r="CT238" s="61"/>
      <c r="CU238" s="61"/>
      <c r="CV238" s="61"/>
      <c r="CW238" s="61"/>
      <c r="CX238" s="61"/>
      <c r="CY238" s="61"/>
      <c r="CZ238" s="61"/>
      <c r="DA238" s="61"/>
      <c r="DB238" s="61"/>
      <c r="DC238" s="61"/>
      <c r="DD238" s="61"/>
      <c r="DE238" s="61"/>
      <c r="DF238" s="61"/>
      <c r="DG238" s="61"/>
      <c r="DH238" s="61"/>
      <c r="DI238" s="61"/>
      <c r="DJ238" s="61"/>
      <c r="DK238" s="61"/>
      <c r="DL238" s="61"/>
      <c r="DM238" s="61"/>
      <c r="DN238" s="61"/>
      <c r="DO238" s="61"/>
      <c r="DP238" s="61"/>
      <c r="DQ238" s="156"/>
      <c r="DR238" s="156"/>
      <c r="DS238" s="156"/>
      <c r="DT238" s="156"/>
      <c r="DU238" s="156"/>
      <c r="DV238" s="156"/>
      <c r="DW238" s="156"/>
      <c r="DX238" s="156"/>
      <c r="DY238" s="156"/>
      <c r="DZ238" s="22"/>
      <c r="EA238" s="22"/>
      <c r="EB238" s="22"/>
      <c r="EC238" s="22"/>
      <c r="ED238" s="22"/>
      <c r="EE238" s="22"/>
      <c r="EF238" s="22"/>
      <c r="EG238" s="22"/>
    </row>
    <row r="239" spans="1:137" s="10" customFormat="1" ht="15.9" customHeight="1" outlineLevel="1" x14ac:dyDescent="0.3">
      <c r="A239" s="7" t="s">
        <v>22</v>
      </c>
      <c r="B239" s="7" t="s">
        <v>23</v>
      </c>
      <c r="C239" s="8" t="s">
        <v>31</v>
      </c>
      <c r="D239" s="146"/>
      <c r="E239" s="7" t="s">
        <v>444</v>
      </c>
      <c r="F239" s="7" t="s">
        <v>461</v>
      </c>
      <c r="G239" s="9" t="s">
        <v>466</v>
      </c>
      <c r="H239" s="9"/>
      <c r="I239" s="204" cm="1">
        <f t="array" ref="I239">IFERROR(LOOKUP(2,1/(N239:GR239&lt;&gt;""),N$4:DRA$4),"")</f>
        <v>45174</v>
      </c>
      <c r="J239" s="169" cm="1">
        <f t="array" ref="J239">IFERROR(_xlfn.XLOOKUP(TRUE,N239:EH239&lt;&gt;"",N239:EH239,,,-1)," ")</f>
        <v>19.600000000000001</v>
      </c>
      <c r="K239" s="45">
        <v>20</v>
      </c>
      <c r="L239" s="45">
        <v>20.5</v>
      </c>
      <c r="M239" s="282" t="s">
        <v>28</v>
      </c>
      <c r="N239" s="57"/>
      <c r="O239" s="57"/>
      <c r="P239" s="57"/>
      <c r="Q239" s="57"/>
      <c r="R239" s="57"/>
      <c r="S239" s="57"/>
      <c r="T239" s="57"/>
      <c r="U239" s="57"/>
      <c r="V239" s="57"/>
      <c r="W239" s="57"/>
      <c r="X239" s="57"/>
      <c r="Y239" s="57"/>
      <c r="Z239" s="57"/>
      <c r="AA239" s="57"/>
      <c r="AB239" s="57"/>
      <c r="AC239" s="57"/>
      <c r="AD239" s="57"/>
      <c r="AE239" s="57"/>
      <c r="AF239" s="57"/>
      <c r="AG239" s="57"/>
      <c r="AH239" s="57"/>
      <c r="AI239" s="57"/>
      <c r="AJ239" s="57"/>
      <c r="AK239" s="58"/>
      <c r="AL239" s="57"/>
      <c r="AM239" s="57"/>
      <c r="AN239" s="57"/>
      <c r="AO239" s="57"/>
      <c r="AP239" s="57"/>
      <c r="AQ239" s="57"/>
      <c r="AR239" s="57"/>
      <c r="AS239" s="57"/>
      <c r="AT239" s="57"/>
      <c r="AU239" s="61">
        <v>19.2</v>
      </c>
      <c r="AV239" s="61"/>
      <c r="AW239" s="57"/>
      <c r="AX239" s="61"/>
      <c r="AY239" s="61"/>
      <c r="AZ239" s="61"/>
      <c r="BA239" s="61">
        <v>19.600000000000001</v>
      </c>
      <c r="BB239" s="61"/>
      <c r="BC239" s="61"/>
      <c r="BD239" s="61"/>
      <c r="BE239" s="61"/>
      <c r="BF239" s="61"/>
      <c r="BG239" s="61"/>
      <c r="BH239" s="57"/>
      <c r="BI239" s="61"/>
      <c r="BJ239" s="61"/>
      <c r="BK239" s="57"/>
      <c r="BL239" s="61"/>
      <c r="BM239" s="57"/>
      <c r="BN239" s="61"/>
      <c r="BO239" s="57"/>
      <c r="BP239" s="58"/>
      <c r="BQ239" s="61"/>
      <c r="BR239" s="61"/>
      <c r="BS239" s="57"/>
      <c r="BT239" s="61"/>
      <c r="BU239" s="61"/>
      <c r="BV239" s="61"/>
      <c r="BW239" s="61"/>
      <c r="BX239" s="61"/>
      <c r="BY239" s="61"/>
      <c r="BZ239" s="61"/>
      <c r="CA239" s="61"/>
      <c r="CB239" s="57"/>
      <c r="CC239" s="61"/>
      <c r="CD239" s="61"/>
      <c r="CE239" s="61"/>
      <c r="CF239" s="57"/>
      <c r="CG239" s="61"/>
      <c r="CH239" s="61"/>
      <c r="CI239" s="61"/>
      <c r="CJ239" s="57"/>
      <c r="CK239" s="61"/>
      <c r="CL239" s="61"/>
      <c r="CM239" s="61"/>
      <c r="CN239" s="61"/>
      <c r="CO239" s="61"/>
      <c r="CP239" s="61"/>
      <c r="CQ239" s="61"/>
      <c r="CR239" s="61"/>
      <c r="CS239" s="61"/>
      <c r="CT239" s="61"/>
      <c r="CU239" s="61"/>
      <c r="CV239" s="61"/>
      <c r="CW239" s="61"/>
      <c r="CX239" s="61"/>
      <c r="CY239" s="61"/>
      <c r="CZ239" s="61"/>
      <c r="DA239" s="61"/>
      <c r="DB239" s="61"/>
      <c r="DC239" s="61"/>
      <c r="DD239" s="61"/>
      <c r="DE239" s="61"/>
      <c r="DF239" s="61"/>
      <c r="DG239" s="61"/>
      <c r="DH239" s="61"/>
      <c r="DI239" s="61"/>
      <c r="DJ239" s="61"/>
      <c r="DK239" s="61"/>
      <c r="DL239" s="61"/>
      <c r="DM239" s="61"/>
      <c r="DN239" s="61"/>
      <c r="DO239" s="61"/>
      <c r="DP239" s="61"/>
      <c r="DQ239" s="156"/>
      <c r="DR239" s="156"/>
      <c r="DS239" s="156"/>
      <c r="DT239" s="156"/>
      <c r="DU239" s="156"/>
      <c r="DV239" s="156"/>
      <c r="DW239" s="156"/>
      <c r="DX239" s="156"/>
      <c r="DY239" s="156"/>
      <c r="DZ239" s="22"/>
      <c r="EA239" s="22"/>
      <c r="EB239" s="22"/>
      <c r="EC239" s="22"/>
      <c r="ED239" s="22"/>
      <c r="EE239" s="22"/>
      <c r="EF239" s="22"/>
      <c r="EG239" s="22"/>
    </row>
    <row r="240" spans="1:137" s="5" customFormat="1" ht="15.9" customHeight="1" outlineLevel="1" x14ac:dyDescent="0.3">
      <c r="A240" s="6" t="s">
        <v>23</v>
      </c>
      <c r="B240" s="6" t="s">
        <v>23</v>
      </c>
      <c r="C240" s="50" t="s">
        <v>24</v>
      </c>
      <c r="D240" s="147">
        <v>20.98</v>
      </c>
      <c r="E240" s="6" t="s">
        <v>444</v>
      </c>
      <c r="F240" s="6" t="s">
        <v>467</v>
      </c>
      <c r="G240" s="11" t="s">
        <v>468</v>
      </c>
      <c r="H240" s="11"/>
      <c r="I240" s="205" cm="1">
        <f t="array" ref="I240">IFERROR(LOOKUP(2,1/(N240:GR240&lt;&gt;""),N$4:DRA$4),"")</f>
        <v>45160</v>
      </c>
      <c r="J240" s="170" cm="1">
        <f t="array" ref="J240">IFERROR(_xlfn.XLOOKUP(TRUE,N240:EH240&lt;&gt;"",N240:EH240,,,-1)," ")</f>
        <v>19.100000000000001</v>
      </c>
      <c r="K240" s="49">
        <v>20</v>
      </c>
      <c r="L240" s="49"/>
      <c r="M240" s="6" t="s">
        <v>34</v>
      </c>
      <c r="N240" s="62"/>
      <c r="O240" s="62"/>
      <c r="P240" s="62"/>
      <c r="Q240" s="62"/>
      <c r="R240" s="62">
        <v>15.2</v>
      </c>
      <c r="S240" s="62"/>
      <c r="T240" s="62"/>
      <c r="U240" s="62"/>
      <c r="V240" s="62"/>
      <c r="W240" s="62"/>
      <c r="X240" s="62"/>
      <c r="Y240" s="62"/>
      <c r="Z240" s="62">
        <v>16.8</v>
      </c>
      <c r="AA240" s="62"/>
      <c r="AB240" s="62"/>
      <c r="AC240" s="62"/>
      <c r="AD240" s="62"/>
      <c r="AE240" s="62">
        <v>17.3</v>
      </c>
      <c r="AF240" s="62"/>
      <c r="AG240" s="62"/>
      <c r="AH240" s="62"/>
      <c r="AI240" s="64"/>
      <c r="AJ240" s="62"/>
      <c r="AK240" s="62"/>
      <c r="AL240" s="62"/>
      <c r="AM240" s="62">
        <v>19.100000000000001</v>
      </c>
      <c r="AN240" s="62"/>
      <c r="AO240" s="62"/>
      <c r="AP240" s="62"/>
      <c r="AQ240" s="62"/>
      <c r="AR240" s="62"/>
      <c r="AS240" s="62"/>
      <c r="AT240" s="62"/>
      <c r="AU240" s="63"/>
      <c r="AV240" s="63"/>
      <c r="AW240" s="62"/>
      <c r="AX240" s="63"/>
      <c r="AY240" s="63"/>
      <c r="AZ240" s="63"/>
      <c r="BA240" s="63"/>
      <c r="BB240" s="63"/>
      <c r="BC240" s="63"/>
      <c r="BD240" s="63"/>
      <c r="BE240" s="63"/>
      <c r="BF240" s="63"/>
      <c r="BG240" s="63"/>
      <c r="BH240" s="62"/>
      <c r="BI240" s="63"/>
      <c r="BJ240" s="63"/>
      <c r="BK240" s="62"/>
      <c r="BL240" s="63"/>
      <c r="BM240" s="62"/>
      <c r="BN240" s="63"/>
      <c r="BO240" s="62"/>
      <c r="BP240" s="64"/>
      <c r="BQ240" s="63"/>
      <c r="BR240" s="63"/>
      <c r="BS240" s="62"/>
      <c r="BT240" s="63"/>
      <c r="BU240" s="63"/>
      <c r="BV240" s="63"/>
      <c r="BW240" s="63"/>
      <c r="BX240" s="63"/>
      <c r="BY240" s="63"/>
      <c r="BZ240" s="63"/>
      <c r="CA240" s="63"/>
      <c r="CB240" s="62"/>
      <c r="CC240" s="63"/>
      <c r="CD240" s="63"/>
      <c r="CE240" s="63"/>
      <c r="CF240" s="62"/>
      <c r="CG240" s="63"/>
      <c r="CH240" s="63"/>
      <c r="CI240" s="63"/>
      <c r="CJ240" s="62"/>
      <c r="CK240" s="63"/>
      <c r="CL240" s="63"/>
      <c r="CM240" s="63"/>
      <c r="CN240" s="63"/>
      <c r="CO240" s="63"/>
      <c r="CP240" s="63"/>
      <c r="CQ240" s="63"/>
      <c r="CR240" s="63"/>
      <c r="CS240" s="63"/>
      <c r="CT240" s="63"/>
      <c r="CU240" s="63"/>
      <c r="CV240" s="63"/>
      <c r="CW240" s="63"/>
      <c r="CX240" s="63"/>
      <c r="CY240" s="63"/>
      <c r="CZ240" s="63"/>
      <c r="DA240" s="63"/>
      <c r="DB240" s="63"/>
      <c r="DC240" s="63"/>
      <c r="DD240" s="63"/>
      <c r="DE240" s="63"/>
      <c r="DF240" s="63"/>
      <c r="DG240" s="63"/>
      <c r="DH240" s="63"/>
      <c r="DI240" s="63"/>
      <c r="DJ240" s="63"/>
      <c r="DK240" s="63"/>
      <c r="DL240" s="63"/>
      <c r="DM240" s="63"/>
      <c r="DN240" s="63"/>
      <c r="DO240" s="63"/>
      <c r="DP240" s="63"/>
      <c r="DQ240" s="158"/>
      <c r="DR240" s="158"/>
      <c r="DS240" s="158"/>
      <c r="DT240" s="158"/>
      <c r="DU240" s="158"/>
      <c r="DV240" s="158"/>
      <c r="DW240" s="158"/>
      <c r="DX240" s="158"/>
      <c r="DY240" s="158"/>
      <c r="DZ240" s="65"/>
      <c r="EA240" s="65"/>
      <c r="EB240" s="65"/>
      <c r="EC240" s="65"/>
      <c r="ED240" s="65"/>
      <c r="EE240" s="65"/>
      <c r="EF240" s="65"/>
      <c r="EG240" s="65"/>
    </row>
    <row r="241" spans="1:137" s="10" customFormat="1" ht="15.9" customHeight="1" outlineLevel="1" x14ac:dyDescent="0.3">
      <c r="A241" s="7" t="s">
        <v>23</v>
      </c>
      <c r="B241" s="7" t="s">
        <v>23</v>
      </c>
      <c r="C241" s="8" t="s">
        <v>31</v>
      </c>
      <c r="D241" s="146">
        <v>45.11</v>
      </c>
      <c r="E241" s="7" t="s">
        <v>444</v>
      </c>
      <c r="F241" s="7" t="s">
        <v>469</v>
      </c>
      <c r="G241" s="9" t="s">
        <v>470</v>
      </c>
      <c r="H241" s="9"/>
      <c r="I241" s="204" cm="1">
        <f t="array" ref="I241">IFERROR(LOOKUP(2,1/(N241:GR241&lt;&gt;""),N$4:DRA$4),"")</f>
        <v>45170</v>
      </c>
      <c r="J241" s="169" cm="1">
        <f t="array" ref="J241">IFERROR(_xlfn.XLOOKUP(TRUE,N241:EH241&lt;&gt;"",N241:EH241,,,-1)," ")</f>
        <v>21.5</v>
      </c>
      <c r="K241" s="45">
        <v>22</v>
      </c>
      <c r="L241" s="45"/>
      <c r="M241" s="282" t="s">
        <v>34</v>
      </c>
      <c r="N241" s="57"/>
      <c r="O241" s="57"/>
      <c r="P241" s="57"/>
      <c r="Q241" s="57"/>
      <c r="R241" s="57"/>
      <c r="S241" s="57"/>
      <c r="T241" s="57"/>
      <c r="U241" s="57"/>
      <c r="V241" s="57"/>
      <c r="W241" s="57"/>
      <c r="X241" s="57"/>
      <c r="Y241" s="57"/>
      <c r="Z241" s="57"/>
      <c r="AA241" s="57"/>
      <c r="AB241" s="57"/>
      <c r="AC241" s="57"/>
      <c r="AD241" s="57"/>
      <c r="AE241" s="57"/>
      <c r="AF241" s="57"/>
      <c r="AG241" s="57"/>
      <c r="AH241" s="57">
        <v>16.600000000000001</v>
      </c>
      <c r="AI241" s="57"/>
      <c r="AJ241" s="57"/>
      <c r="AK241" s="57"/>
      <c r="AL241" s="57"/>
      <c r="AM241" s="57"/>
      <c r="AN241" s="57">
        <v>18.600000000000001</v>
      </c>
      <c r="AO241" s="57"/>
      <c r="AP241" s="57"/>
      <c r="AQ241" s="57"/>
      <c r="AR241" s="57"/>
      <c r="AS241" s="57"/>
      <c r="AT241" s="57"/>
      <c r="AU241" s="61"/>
      <c r="AV241" s="61"/>
      <c r="AW241" s="57">
        <v>21.5</v>
      </c>
      <c r="AX241" s="61"/>
      <c r="AY241" s="61"/>
      <c r="AZ241" s="61"/>
      <c r="BA241" s="61"/>
      <c r="BB241" s="61"/>
      <c r="BC241" s="61"/>
      <c r="BD241" s="61"/>
      <c r="BE241" s="61"/>
      <c r="BF241" s="61"/>
      <c r="BG241" s="61"/>
      <c r="BH241" s="57"/>
      <c r="BI241" s="61"/>
      <c r="BJ241" s="61"/>
      <c r="BK241" s="57"/>
      <c r="BL241" s="61"/>
      <c r="BM241" s="57"/>
      <c r="BN241" s="61"/>
      <c r="BO241" s="57"/>
      <c r="BP241" s="58"/>
      <c r="BQ241" s="61"/>
      <c r="BR241" s="61"/>
      <c r="BS241" s="57"/>
      <c r="BT241" s="61"/>
      <c r="BU241" s="61"/>
      <c r="BV241" s="61"/>
      <c r="BW241" s="61"/>
      <c r="BX241" s="61"/>
      <c r="BY241" s="61"/>
      <c r="BZ241" s="61"/>
      <c r="CA241" s="61"/>
      <c r="CB241" s="57"/>
      <c r="CC241" s="61"/>
      <c r="CD241" s="61"/>
      <c r="CE241" s="61"/>
      <c r="CF241" s="57"/>
      <c r="CG241" s="61"/>
      <c r="CH241" s="61"/>
      <c r="CI241" s="61"/>
      <c r="CJ241" s="57"/>
      <c r="CK241" s="61"/>
      <c r="CL241" s="61"/>
      <c r="CM241" s="61"/>
      <c r="CN241" s="61"/>
      <c r="CO241" s="61"/>
      <c r="CP241" s="61"/>
      <c r="CQ241" s="61"/>
      <c r="CR241" s="61"/>
      <c r="CS241" s="61"/>
      <c r="CT241" s="61"/>
      <c r="CU241" s="61"/>
      <c r="CV241" s="61"/>
      <c r="CW241" s="61"/>
      <c r="CX241" s="61"/>
      <c r="CY241" s="61"/>
      <c r="CZ241" s="61"/>
      <c r="DA241" s="61"/>
      <c r="DB241" s="61"/>
      <c r="DC241" s="61"/>
      <c r="DD241" s="61"/>
      <c r="DE241" s="61"/>
      <c r="DF241" s="61"/>
      <c r="DG241" s="61"/>
      <c r="DH241" s="61"/>
      <c r="DI241" s="61"/>
      <c r="DJ241" s="61"/>
      <c r="DK241" s="61"/>
      <c r="DL241" s="61"/>
      <c r="DM241" s="61"/>
      <c r="DN241" s="61"/>
      <c r="DO241" s="61"/>
      <c r="DP241" s="61"/>
      <c r="DQ241" s="156"/>
      <c r="DR241" s="156"/>
      <c r="DS241" s="156"/>
      <c r="DT241" s="156"/>
      <c r="DU241" s="156"/>
      <c r="DV241" s="156"/>
      <c r="DW241" s="156"/>
      <c r="DX241" s="156"/>
      <c r="DY241" s="156"/>
      <c r="DZ241" s="22"/>
      <c r="EA241" s="22"/>
      <c r="EB241" s="22"/>
      <c r="EC241" s="22"/>
      <c r="ED241" s="22"/>
      <c r="EE241" s="22"/>
      <c r="EF241" s="22"/>
      <c r="EG241" s="22"/>
    </row>
    <row r="242" spans="1:137" s="5" customFormat="1" ht="15.9" customHeight="1" outlineLevel="1" x14ac:dyDescent="0.3">
      <c r="A242" s="6" t="s">
        <v>23</v>
      </c>
      <c r="B242" s="6" t="s">
        <v>23</v>
      </c>
      <c r="C242" s="50" t="s">
        <v>31</v>
      </c>
      <c r="D242" s="147">
        <v>34.89</v>
      </c>
      <c r="E242" s="6" t="s">
        <v>444</v>
      </c>
      <c r="F242" s="6" t="s">
        <v>471</v>
      </c>
      <c r="G242" s="11" t="s">
        <v>472</v>
      </c>
      <c r="H242" s="11"/>
      <c r="I242" s="205" cm="1">
        <f t="array" ref="I242">IFERROR(LOOKUP(2,1/(N242:GR242&lt;&gt;""),N$4:DRA$4),"")</f>
        <v>45176</v>
      </c>
      <c r="J242" s="170" cm="1">
        <f t="array" ref="J242">IFERROR(_xlfn.XLOOKUP(TRUE,N242:EH242&lt;&gt;"",N242:EH242,,,-1)," ")</f>
        <v>20.8</v>
      </c>
      <c r="K242" s="49">
        <v>20</v>
      </c>
      <c r="L242" s="49"/>
      <c r="M242" s="284" t="s">
        <v>473</v>
      </c>
      <c r="N242" s="62"/>
      <c r="O242" s="62"/>
      <c r="P242" s="62"/>
      <c r="Q242" s="62"/>
      <c r="R242" s="62"/>
      <c r="S242" s="62"/>
      <c r="T242" s="62"/>
      <c r="U242" s="62"/>
      <c r="V242" s="62"/>
      <c r="W242" s="62"/>
      <c r="X242" s="62"/>
      <c r="Y242" s="62"/>
      <c r="Z242" s="62"/>
      <c r="AA242" s="62"/>
      <c r="AB242" s="62">
        <v>15.4</v>
      </c>
      <c r="AC242" s="62"/>
      <c r="AD242" s="62"/>
      <c r="AE242" s="62"/>
      <c r="AF242" s="64"/>
      <c r="AG242" s="62"/>
      <c r="AH242" s="62">
        <v>16</v>
      </c>
      <c r="AI242" s="62"/>
      <c r="AJ242" s="62"/>
      <c r="AK242" s="62"/>
      <c r="AL242" s="62"/>
      <c r="AM242" s="62"/>
      <c r="AN242" s="62">
        <v>16.8</v>
      </c>
      <c r="AO242" s="62"/>
      <c r="AP242" s="64"/>
      <c r="AQ242" s="62"/>
      <c r="AR242" s="62"/>
      <c r="AS242" s="62"/>
      <c r="AT242" s="62"/>
      <c r="AU242" s="63"/>
      <c r="AV242" s="63"/>
      <c r="AW242" s="62"/>
      <c r="AX242" s="63"/>
      <c r="AY242" s="63"/>
      <c r="AZ242" s="63"/>
      <c r="BA242" s="63"/>
      <c r="BB242" s="63"/>
      <c r="BC242" s="159">
        <v>20.8</v>
      </c>
      <c r="BD242" s="63"/>
      <c r="BE242" s="63"/>
      <c r="BF242" s="63"/>
      <c r="BG242" s="63"/>
      <c r="BH242" s="62"/>
      <c r="BI242" s="63"/>
      <c r="BJ242" s="63"/>
      <c r="BK242" s="62"/>
      <c r="BL242" s="63"/>
      <c r="BM242" s="62"/>
      <c r="BN242" s="63"/>
      <c r="BO242" s="62"/>
      <c r="BP242" s="64"/>
      <c r="BQ242" s="63"/>
      <c r="BR242" s="63"/>
      <c r="BS242" s="62"/>
      <c r="BT242" s="63"/>
      <c r="BU242" s="63"/>
      <c r="BV242" s="63"/>
      <c r="BW242" s="63"/>
      <c r="BX242" s="63"/>
      <c r="BY242" s="63"/>
      <c r="BZ242" s="63"/>
      <c r="CA242" s="63"/>
      <c r="CB242" s="62"/>
      <c r="CC242" s="63"/>
      <c r="CD242" s="63"/>
      <c r="CE242" s="63"/>
      <c r="CF242" s="62"/>
      <c r="CG242" s="63"/>
      <c r="CH242" s="63"/>
      <c r="CI242" s="63"/>
      <c r="CJ242" s="62"/>
      <c r="CK242" s="63"/>
      <c r="CL242" s="63"/>
      <c r="CM242" s="63"/>
      <c r="CN242" s="63"/>
      <c r="CO242" s="63"/>
      <c r="CP242" s="63"/>
      <c r="CQ242" s="63"/>
      <c r="CR242" s="63"/>
      <c r="CS242" s="63"/>
      <c r="CT242" s="63"/>
      <c r="CU242" s="63"/>
      <c r="CV242" s="63"/>
      <c r="CW242" s="63"/>
      <c r="CX242" s="63"/>
      <c r="CY242" s="63"/>
      <c r="CZ242" s="63"/>
      <c r="DA242" s="63"/>
      <c r="DB242" s="63"/>
      <c r="DC242" s="63"/>
      <c r="DD242" s="63"/>
      <c r="DE242" s="63"/>
      <c r="DF242" s="63"/>
      <c r="DG242" s="63"/>
      <c r="DH242" s="63"/>
      <c r="DI242" s="63"/>
      <c r="DJ242" s="63"/>
      <c r="DK242" s="63"/>
      <c r="DL242" s="63"/>
      <c r="DM242" s="63"/>
      <c r="DN242" s="63"/>
      <c r="DO242" s="63"/>
      <c r="DP242" s="63"/>
      <c r="DQ242" s="158"/>
      <c r="DR242" s="158"/>
      <c r="DS242" s="158"/>
      <c r="DT242" s="158"/>
      <c r="DU242" s="158"/>
      <c r="DV242" s="158"/>
      <c r="DW242" s="158"/>
      <c r="DX242" s="158"/>
      <c r="DY242" s="158"/>
      <c r="DZ242" s="22"/>
      <c r="EA242" s="22"/>
      <c r="EB242" s="22"/>
      <c r="EC242" s="22"/>
      <c r="ED242" s="22"/>
      <c r="EE242" s="22"/>
      <c r="EF242" s="22"/>
      <c r="EG242" s="22"/>
    </row>
    <row r="243" spans="1:137" s="97" customFormat="1" ht="15.9" customHeight="1" x14ac:dyDescent="0.3">
      <c r="A243" s="83"/>
      <c r="B243" s="83"/>
      <c r="C243" s="91"/>
      <c r="D243" s="82"/>
      <c r="E243" s="83" t="s">
        <v>474</v>
      </c>
      <c r="F243" s="83"/>
      <c r="G243" s="84" t="s">
        <v>475</v>
      </c>
      <c r="H243" s="84"/>
      <c r="I243" s="203"/>
      <c r="J243" s="167"/>
      <c r="K243" s="220"/>
      <c r="L243" s="92"/>
      <c r="M243" s="288" t="s">
        <v>21</v>
      </c>
      <c r="N243" s="94"/>
      <c r="O243" s="94"/>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94"/>
      <c r="AU243" s="101"/>
      <c r="AV243" s="101"/>
      <c r="AW243" s="94"/>
      <c r="AX243" s="101"/>
      <c r="AY243" s="94"/>
      <c r="AZ243" s="94"/>
      <c r="BA243" s="101"/>
      <c r="BB243" s="101"/>
      <c r="BC243" s="101"/>
      <c r="BD243" s="94"/>
      <c r="BE243" s="94"/>
      <c r="BF243" s="94"/>
      <c r="BG243" s="94"/>
      <c r="BH243" s="94"/>
      <c r="BI243" s="101"/>
      <c r="BJ243" s="101"/>
      <c r="BK243" s="94"/>
      <c r="BL243" s="94"/>
      <c r="BM243" s="94"/>
      <c r="BN243" s="101"/>
      <c r="BO243" s="94"/>
      <c r="BP243" s="95"/>
      <c r="BQ243" s="101"/>
      <c r="BR243" s="94"/>
      <c r="BS243" s="94"/>
      <c r="BT243" s="94"/>
      <c r="BU243" s="94"/>
      <c r="BV243" s="94"/>
      <c r="BW243" s="94"/>
      <c r="BX243" s="94"/>
      <c r="BY243" s="94"/>
      <c r="BZ243" s="94"/>
      <c r="CA243" s="94"/>
      <c r="CB243" s="94"/>
      <c r="CC243" s="93"/>
      <c r="CD243" s="101"/>
      <c r="CE243" s="101"/>
      <c r="CF243" s="94"/>
      <c r="CG243" s="94"/>
      <c r="CH243" s="101"/>
      <c r="CI243" s="94"/>
      <c r="CJ243" s="94"/>
      <c r="CK243" s="101"/>
      <c r="CL243" s="101"/>
      <c r="CM243" s="94"/>
      <c r="CN243" s="101"/>
      <c r="CO243" s="101"/>
      <c r="CP243" s="101"/>
      <c r="CQ243" s="101"/>
      <c r="CR243" s="101"/>
      <c r="CS243" s="101"/>
      <c r="CT243" s="101"/>
      <c r="CU243" s="101"/>
      <c r="CV243" s="101"/>
      <c r="CW243" s="101"/>
      <c r="CX243" s="101"/>
      <c r="CY243" s="101"/>
      <c r="CZ243" s="101"/>
      <c r="DA243" s="101"/>
      <c r="DB243" s="101"/>
      <c r="DC243" s="101"/>
      <c r="DD243" s="101"/>
      <c r="DE243" s="101"/>
      <c r="DF243" s="101"/>
      <c r="DG243" s="101"/>
      <c r="DH243" s="101"/>
      <c r="DI243" s="101"/>
      <c r="DJ243" s="101"/>
      <c r="DK243" s="101"/>
      <c r="DL243" s="101"/>
      <c r="DM243" s="101"/>
      <c r="DN243" s="101"/>
      <c r="DO243" s="101"/>
      <c r="DP243" s="101"/>
      <c r="DQ243" s="161"/>
      <c r="DR243" s="161"/>
      <c r="DS243" s="161"/>
      <c r="DT243" s="161"/>
      <c r="DU243" s="161"/>
      <c r="DV243" s="161"/>
      <c r="DW243" s="161"/>
      <c r="DX243" s="161"/>
      <c r="DY243" s="161"/>
      <c r="DZ243" s="59"/>
      <c r="EA243" s="59"/>
      <c r="EB243" s="59"/>
      <c r="EC243" s="59"/>
      <c r="ED243" s="59"/>
      <c r="EE243" s="59"/>
      <c r="EF243" s="59"/>
      <c r="EG243" s="59"/>
    </row>
    <row r="244" spans="1:137" s="5" customFormat="1" ht="15.9" customHeight="1" outlineLevel="1" x14ac:dyDescent="0.3">
      <c r="A244" s="6" t="s">
        <v>22</v>
      </c>
      <c r="B244" s="51" t="s">
        <v>23</v>
      </c>
      <c r="C244" s="50" t="s">
        <v>31</v>
      </c>
      <c r="D244" s="147"/>
      <c r="E244" s="6" t="s">
        <v>474</v>
      </c>
      <c r="F244" s="6" t="s">
        <v>476</v>
      </c>
      <c r="G244" s="11" t="s">
        <v>477</v>
      </c>
      <c r="H244" s="11"/>
      <c r="I244" s="205" cm="1">
        <f t="array" ref="I244">IFERROR(LOOKUP(2,1/(N244:GR244&lt;&gt;""),N$4:DRA$4),"")</f>
        <v>45188</v>
      </c>
      <c r="J244" s="168" t="str" cm="1">
        <f t="array" ref="J244">IFERROR(_xlfn.XLOOKUP(TRUE,N244:EH244&lt;&gt;"",N244:EH244,,,-1)," ")</f>
        <v>22.5*</v>
      </c>
      <c r="K244" s="48">
        <v>21.5</v>
      </c>
      <c r="L244" s="48">
        <v>21.5</v>
      </c>
      <c r="M244" s="284" t="s">
        <v>151</v>
      </c>
      <c r="N244" s="62"/>
      <c r="O244" s="62"/>
      <c r="P244" s="62"/>
      <c r="Q244" s="62"/>
      <c r="R244" s="62"/>
      <c r="S244" s="62"/>
      <c r="T244" s="62"/>
      <c r="U244" s="62"/>
      <c r="V244" s="62"/>
      <c r="W244" s="62"/>
      <c r="X244" s="62"/>
      <c r="Y244" s="62">
        <v>15.2</v>
      </c>
      <c r="Z244" s="62"/>
      <c r="AA244" s="62"/>
      <c r="AB244" s="62"/>
      <c r="AC244" s="62"/>
      <c r="AD244" s="62"/>
      <c r="AE244" s="64"/>
      <c r="AF244" s="62">
        <v>16</v>
      </c>
      <c r="AG244" s="62"/>
      <c r="AH244" s="62"/>
      <c r="AI244" s="62"/>
      <c r="AJ244" s="62"/>
      <c r="AK244" s="62"/>
      <c r="AL244" s="62"/>
      <c r="AM244" s="62">
        <v>17.2</v>
      </c>
      <c r="AN244" s="62"/>
      <c r="AO244" s="62"/>
      <c r="AP244" s="62"/>
      <c r="AQ244" s="64"/>
      <c r="AR244" s="62"/>
      <c r="AS244" s="62"/>
      <c r="AT244" s="62">
        <v>18.8</v>
      </c>
      <c r="AU244" s="63"/>
      <c r="AV244" s="63"/>
      <c r="AW244" s="62"/>
      <c r="AX244" s="63">
        <v>20.399999999999999</v>
      </c>
      <c r="AY244" s="62"/>
      <c r="AZ244" s="62"/>
      <c r="BA244" s="63"/>
      <c r="BB244" s="63"/>
      <c r="BC244" s="63"/>
      <c r="BD244" s="62"/>
      <c r="BE244" s="62"/>
      <c r="BF244" s="63"/>
      <c r="BG244" s="63"/>
      <c r="BH244" s="62"/>
      <c r="BI244" s="63"/>
      <c r="BJ244" s="63"/>
      <c r="BK244" s="62"/>
      <c r="BL244" s="63"/>
      <c r="BM244" s="62"/>
      <c r="BN244" s="63"/>
      <c r="BO244" s="62" t="s">
        <v>255</v>
      </c>
      <c r="BP244" s="64"/>
      <c r="BQ244" s="63"/>
      <c r="BR244" s="63"/>
      <c r="BS244" s="62"/>
      <c r="BT244" s="63"/>
      <c r="BU244" s="63"/>
      <c r="BV244" s="63"/>
      <c r="BW244" s="63"/>
      <c r="BX244" s="63"/>
      <c r="BY244" s="63"/>
      <c r="BZ244" s="63"/>
      <c r="CA244" s="63"/>
      <c r="CB244" s="62"/>
      <c r="CC244" s="63"/>
      <c r="CD244" s="63"/>
      <c r="CE244" s="63"/>
      <c r="CF244" s="62"/>
      <c r="CG244" s="63"/>
      <c r="CH244" s="63"/>
      <c r="CI244" s="63"/>
      <c r="CJ244" s="62"/>
      <c r="CK244" s="63"/>
      <c r="CL244" s="63"/>
      <c r="CM244" s="63"/>
      <c r="CN244" s="63"/>
      <c r="CO244" s="63"/>
      <c r="CP244" s="63"/>
      <c r="CQ244" s="63"/>
      <c r="CR244" s="63"/>
      <c r="CS244" s="63"/>
      <c r="CT244" s="63"/>
      <c r="CU244" s="63"/>
      <c r="CV244" s="63"/>
      <c r="CW244" s="63"/>
      <c r="CX244" s="63"/>
      <c r="CY244" s="63"/>
      <c r="CZ244" s="63"/>
      <c r="DA244" s="63"/>
      <c r="DB244" s="63"/>
      <c r="DC244" s="63"/>
      <c r="DD244" s="63"/>
      <c r="DE244" s="63"/>
      <c r="DF244" s="63"/>
      <c r="DG244" s="63"/>
      <c r="DH244" s="63"/>
      <c r="DI244" s="63"/>
      <c r="DJ244" s="63"/>
      <c r="DK244" s="63"/>
      <c r="DL244" s="63"/>
      <c r="DM244" s="63"/>
      <c r="DN244" s="63"/>
      <c r="DO244" s="63"/>
      <c r="DP244" s="63"/>
      <c r="DQ244" s="158"/>
      <c r="DR244" s="158"/>
      <c r="DS244" s="158"/>
      <c r="DT244" s="158"/>
      <c r="DU244" s="158"/>
      <c r="DV244" s="158"/>
      <c r="DW244" s="158"/>
      <c r="DX244" s="158"/>
      <c r="DY244" s="158"/>
      <c r="DZ244" s="59"/>
      <c r="EA244" s="59"/>
      <c r="EB244" s="59"/>
      <c r="EC244" s="59"/>
      <c r="ED244" s="59"/>
      <c r="EE244" s="59"/>
      <c r="EF244" s="59"/>
      <c r="EG244" s="59"/>
    </row>
    <row r="245" spans="1:137" s="5" customFormat="1" ht="15.9" customHeight="1" outlineLevel="1" x14ac:dyDescent="0.3">
      <c r="A245" s="6" t="s">
        <v>22</v>
      </c>
      <c r="B245" s="51" t="s">
        <v>23</v>
      </c>
      <c r="C245" s="50" t="s">
        <v>31</v>
      </c>
      <c r="D245" s="147"/>
      <c r="E245" s="6" t="s">
        <v>474</v>
      </c>
      <c r="F245" s="6" t="s">
        <v>476</v>
      </c>
      <c r="G245" s="11" t="s">
        <v>478</v>
      </c>
      <c r="H245" s="11"/>
      <c r="I245" s="205" cm="1">
        <f t="array" ref="I245">IFERROR(LOOKUP(2,1/(N245:GR245&lt;&gt;""),N$4:DRA$4),"")</f>
        <v>45171</v>
      </c>
      <c r="J245" s="315" cm="1">
        <f t="array" ref="J245">IFERROR(_xlfn.XLOOKUP(TRUE,N245:EH245&lt;&gt;"",N245:EH245,,,-1)," ")</f>
        <v>21.3</v>
      </c>
      <c r="K245" s="48">
        <v>21.5</v>
      </c>
      <c r="L245" s="48">
        <v>21.5</v>
      </c>
      <c r="M245" s="284" t="s">
        <v>151</v>
      </c>
      <c r="N245" s="62"/>
      <c r="O245" s="62"/>
      <c r="P245" s="62"/>
      <c r="Q245" s="62"/>
      <c r="R245" s="62"/>
      <c r="S245" s="62"/>
      <c r="T245" s="62"/>
      <c r="U245" s="62"/>
      <c r="V245" s="62"/>
      <c r="W245" s="62"/>
      <c r="X245" s="62"/>
      <c r="Y245" s="62">
        <v>15.8</v>
      </c>
      <c r="Z245" s="62"/>
      <c r="AA245" s="62"/>
      <c r="AB245" s="62"/>
      <c r="AC245" s="62"/>
      <c r="AD245" s="62"/>
      <c r="AE245" s="64"/>
      <c r="AF245" s="62">
        <v>17</v>
      </c>
      <c r="AG245" s="62"/>
      <c r="AH245" s="62"/>
      <c r="AI245" s="62"/>
      <c r="AJ245" s="62"/>
      <c r="AK245" s="62"/>
      <c r="AL245" s="62"/>
      <c r="AM245" s="62">
        <v>18.5</v>
      </c>
      <c r="AN245" s="62"/>
      <c r="AO245" s="62"/>
      <c r="AP245" s="62"/>
      <c r="AQ245" s="64"/>
      <c r="AR245" s="62"/>
      <c r="AS245" s="62"/>
      <c r="AT245" s="62">
        <v>20.6</v>
      </c>
      <c r="AU245" s="63"/>
      <c r="AV245" s="63"/>
      <c r="AW245" s="62"/>
      <c r="AX245" s="159">
        <v>21.3</v>
      </c>
      <c r="AY245" s="62"/>
      <c r="AZ245" s="62"/>
      <c r="BA245" s="63"/>
      <c r="BB245" s="63"/>
      <c r="BC245" s="63"/>
      <c r="BD245" s="62"/>
      <c r="BE245" s="62"/>
      <c r="BF245" s="63"/>
      <c r="BG245" s="63"/>
      <c r="BH245" s="62"/>
      <c r="BI245" s="63"/>
      <c r="BJ245" s="63"/>
      <c r="BK245" s="62"/>
      <c r="BL245" s="63"/>
      <c r="BM245" s="62"/>
      <c r="BN245" s="63"/>
      <c r="BO245" s="62"/>
      <c r="BP245" s="64"/>
      <c r="BQ245" s="63"/>
      <c r="BR245" s="63"/>
      <c r="BS245" s="62"/>
      <c r="BT245" s="63"/>
      <c r="BU245" s="63"/>
      <c r="BV245" s="63"/>
      <c r="BW245" s="63"/>
      <c r="BX245" s="63"/>
      <c r="BY245" s="63"/>
      <c r="BZ245" s="63"/>
      <c r="CA245" s="63"/>
      <c r="CB245" s="62"/>
      <c r="CC245" s="63"/>
      <c r="CD245" s="63"/>
      <c r="CE245" s="63"/>
      <c r="CF245" s="62"/>
      <c r="CG245" s="63"/>
      <c r="CH245" s="63"/>
      <c r="CI245" s="63"/>
      <c r="CJ245" s="62"/>
      <c r="CK245" s="63"/>
      <c r="CL245" s="63"/>
      <c r="CM245" s="63"/>
      <c r="CN245" s="63"/>
      <c r="CO245" s="63"/>
      <c r="CP245" s="63"/>
      <c r="CQ245" s="63"/>
      <c r="CR245" s="63"/>
      <c r="CS245" s="63"/>
      <c r="CT245" s="63"/>
      <c r="CU245" s="63"/>
      <c r="CV245" s="63"/>
      <c r="CW245" s="63"/>
      <c r="CX245" s="63"/>
      <c r="CY245" s="63"/>
      <c r="CZ245" s="63"/>
      <c r="DA245" s="63"/>
      <c r="DB245" s="63"/>
      <c r="DC245" s="63"/>
      <c r="DD245" s="63"/>
      <c r="DE245" s="63"/>
      <c r="DF245" s="63"/>
      <c r="DG245" s="63"/>
      <c r="DH245" s="63"/>
      <c r="DI245" s="63"/>
      <c r="DJ245" s="63"/>
      <c r="DK245" s="63"/>
      <c r="DL245" s="63"/>
      <c r="DM245" s="63"/>
      <c r="DN245" s="63"/>
      <c r="DO245" s="63"/>
      <c r="DP245" s="63"/>
      <c r="DQ245" s="158"/>
      <c r="DR245" s="158"/>
      <c r="DS245" s="158"/>
      <c r="DT245" s="158"/>
      <c r="DU245" s="158"/>
      <c r="DV245" s="158"/>
      <c r="DW245" s="158"/>
      <c r="DX245" s="158"/>
      <c r="DY245" s="158"/>
      <c r="DZ245" s="65"/>
      <c r="EA245" s="65"/>
      <c r="EB245" s="65"/>
      <c r="EC245" s="65"/>
      <c r="ED245" s="65"/>
      <c r="EE245" s="65"/>
      <c r="EF245" s="65"/>
      <c r="EG245" s="65"/>
    </row>
    <row r="246" spans="1:137" s="5" customFormat="1" ht="15.9" customHeight="1" outlineLevel="1" x14ac:dyDescent="0.3">
      <c r="A246" s="6" t="s">
        <v>22</v>
      </c>
      <c r="B246" s="51" t="s">
        <v>23</v>
      </c>
      <c r="C246" s="50" t="s">
        <v>31</v>
      </c>
      <c r="D246" s="147">
        <v>46</v>
      </c>
      <c r="E246" s="6" t="s">
        <v>474</v>
      </c>
      <c r="F246" s="6" t="s">
        <v>476</v>
      </c>
      <c r="G246" s="11" t="s">
        <v>479</v>
      </c>
      <c r="H246" s="11"/>
      <c r="I246" s="205" t="str" cm="1">
        <f t="array" ref="I246">IFERROR(LOOKUP(2,1/(N246:GR246&lt;&gt;""),N$4:DRA$4),"")</f>
        <v/>
      </c>
      <c r="J246" s="170" t="str" cm="1">
        <f t="array" ref="J246">IFERROR(_xlfn.XLOOKUP(TRUE,N246:EH246&lt;&gt;"",N246:EH246,,,-1)," ")</f>
        <v xml:space="preserve"> </v>
      </c>
      <c r="K246" s="48">
        <v>21.5</v>
      </c>
      <c r="L246" s="48">
        <v>21.5</v>
      </c>
      <c r="M246" s="284" t="s">
        <v>151</v>
      </c>
      <c r="N246" s="62"/>
      <c r="O246" s="62"/>
      <c r="P246" s="62"/>
      <c r="Q246" s="62"/>
      <c r="R246" s="62"/>
      <c r="S246" s="62"/>
      <c r="T246" s="62"/>
      <c r="U246" s="62"/>
      <c r="V246" s="62"/>
      <c r="W246" s="62"/>
      <c r="X246" s="62"/>
      <c r="Y246" s="62"/>
      <c r="Z246" s="62"/>
      <c r="AA246" s="62"/>
      <c r="AB246" s="62"/>
      <c r="AC246" s="62"/>
      <c r="AD246" s="62"/>
      <c r="AE246" s="62"/>
      <c r="AF246" s="62"/>
      <c r="AG246" s="62"/>
      <c r="AH246" s="62"/>
      <c r="AI246" s="62"/>
      <c r="AJ246" s="62"/>
      <c r="AK246" s="62"/>
      <c r="AL246" s="62"/>
      <c r="AM246" s="62"/>
      <c r="AN246" s="62"/>
      <c r="AO246" s="62"/>
      <c r="AP246" s="62"/>
      <c r="AQ246" s="62"/>
      <c r="AR246" s="62"/>
      <c r="AS246" s="62"/>
      <c r="AT246" s="62"/>
      <c r="AU246" s="63"/>
      <c r="AV246" s="63"/>
      <c r="AW246" s="62"/>
      <c r="AX246" s="63"/>
      <c r="AY246" s="62"/>
      <c r="AZ246" s="62"/>
      <c r="BA246" s="63"/>
      <c r="BB246" s="63"/>
      <c r="BC246" s="63"/>
      <c r="BD246" s="62"/>
      <c r="BE246" s="62"/>
      <c r="BF246" s="63"/>
      <c r="BG246" s="63"/>
      <c r="BH246" s="62"/>
      <c r="BI246" s="63"/>
      <c r="BJ246" s="63"/>
      <c r="BK246" s="62"/>
      <c r="BL246" s="63"/>
      <c r="BM246" s="62"/>
      <c r="BN246" s="63"/>
      <c r="BO246" s="62"/>
      <c r="BP246" s="64"/>
      <c r="BQ246" s="63"/>
      <c r="BR246" s="63"/>
      <c r="BS246" s="62"/>
      <c r="BT246" s="63"/>
      <c r="BU246" s="63"/>
      <c r="BV246" s="63"/>
      <c r="BW246" s="63"/>
      <c r="BX246" s="63"/>
      <c r="BY246" s="63"/>
      <c r="BZ246" s="63"/>
      <c r="CA246" s="63"/>
      <c r="CB246" s="62"/>
      <c r="CC246" s="63"/>
      <c r="CD246" s="63"/>
      <c r="CE246" s="63"/>
      <c r="CF246" s="62"/>
      <c r="CG246" s="63"/>
      <c r="CH246" s="63"/>
      <c r="CI246" s="63"/>
      <c r="CJ246" s="62"/>
      <c r="CK246" s="63"/>
      <c r="CL246" s="63"/>
      <c r="CM246" s="63"/>
      <c r="CN246" s="63"/>
      <c r="CO246" s="63"/>
      <c r="CP246" s="63"/>
      <c r="CQ246" s="63"/>
      <c r="CR246" s="63"/>
      <c r="CS246" s="63"/>
      <c r="CT246" s="63"/>
      <c r="CU246" s="63"/>
      <c r="CV246" s="63"/>
      <c r="CW246" s="63"/>
      <c r="CX246" s="63"/>
      <c r="CY246" s="63"/>
      <c r="CZ246" s="63"/>
      <c r="DA246" s="63"/>
      <c r="DB246" s="63"/>
      <c r="DC246" s="63"/>
      <c r="DD246" s="63"/>
      <c r="DE246" s="63"/>
      <c r="DF246" s="63"/>
      <c r="DG246" s="63"/>
      <c r="DH246" s="63"/>
      <c r="DI246" s="63"/>
      <c r="DJ246" s="63"/>
      <c r="DK246" s="63"/>
      <c r="DL246" s="63"/>
      <c r="DM246" s="63"/>
      <c r="DN246" s="63"/>
      <c r="DO246" s="63"/>
      <c r="DP246" s="63"/>
      <c r="DQ246" s="158"/>
      <c r="DR246" s="158"/>
      <c r="DS246" s="158"/>
      <c r="DT246" s="158"/>
      <c r="DU246" s="158"/>
      <c r="DV246" s="158"/>
      <c r="DW246" s="158"/>
      <c r="DX246" s="158"/>
      <c r="DY246" s="158"/>
      <c r="DZ246" s="59"/>
      <c r="EA246" s="59"/>
      <c r="EB246" s="59"/>
      <c r="EC246" s="59"/>
      <c r="ED246" s="59"/>
      <c r="EE246" s="59"/>
      <c r="EF246" s="59"/>
      <c r="EG246" s="59"/>
    </row>
    <row r="247" spans="1:137" s="10" customFormat="1" ht="15.9" customHeight="1" outlineLevel="1" x14ac:dyDescent="0.3">
      <c r="A247" s="7" t="s">
        <v>23</v>
      </c>
      <c r="B247" s="27" t="s">
        <v>23</v>
      </c>
      <c r="C247" s="8" t="s">
        <v>31</v>
      </c>
      <c r="D247" s="146">
        <v>46.69</v>
      </c>
      <c r="E247" s="7" t="s">
        <v>474</v>
      </c>
      <c r="F247" s="7" t="s">
        <v>480</v>
      </c>
      <c r="G247" s="9" t="s">
        <v>481</v>
      </c>
      <c r="H247" s="9"/>
      <c r="I247" s="204" cm="1">
        <f t="array" ref="I247">IFERROR(LOOKUP(2,1/(N247:GR247&lt;&gt;""),N$4:DRA$4),"")</f>
        <v>45180</v>
      </c>
      <c r="J247" s="227" cm="1">
        <f t="array" ref="J247">IFERROR(_xlfn.XLOOKUP(TRUE,N247:EH247&lt;&gt;"",N247:EH247,,,-1)," ")</f>
        <v>25</v>
      </c>
      <c r="K247" s="45">
        <v>24</v>
      </c>
      <c r="L247" s="45">
        <v>24.5</v>
      </c>
      <c r="M247" s="282" t="s">
        <v>482</v>
      </c>
      <c r="N247" s="57"/>
      <c r="O247" s="57"/>
      <c r="P247" s="57"/>
      <c r="Q247" s="57"/>
      <c r="R247" s="57"/>
      <c r="S247" s="57"/>
      <c r="T247" s="57"/>
      <c r="U247" s="57"/>
      <c r="V247" s="57"/>
      <c r="W247" s="57"/>
      <c r="X247" s="57"/>
      <c r="Y247" s="57">
        <v>16.3</v>
      </c>
      <c r="Z247" s="57"/>
      <c r="AA247" s="57"/>
      <c r="AB247" s="57"/>
      <c r="AC247" s="57"/>
      <c r="AD247" s="57"/>
      <c r="AE247" s="57"/>
      <c r="AF247" s="57"/>
      <c r="AG247" s="57"/>
      <c r="AH247" s="57">
        <v>18.899999999999999</v>
      </c>
      <c r="AI247" s="57"/>
      <c r="AJ247" s="57"/>
      <c r="AK247" s="57"/>
      <c r="AL247" s="57"/>
      <c r="AM247" s="58"/>
      <c r="AN247" s="57"/>
      <c r="AO247" s="57">
        <v>21.2</v>
      </c>
      <c r="AP247" s="58"/>
      <c r="AQ247" s="57"/>
      <c r="AR247" s="57"/>
      <c r="AS247" s="57"/>
      <c r="AT247" s="57"/>
      <c r="AU247" s="61"/>
      <c r="AV247" s="61"/>
      <c r="AW247" s="57">
        <v>23</v>
      </c>
      <c r="AX247" s="61"/>
      <c r="AY247" s="57"/>
      <c r="AZ247" s="57"/>
      <c r="BA247" s="160">
        <v>21.4</v>
      </c>
      <c r="BB247" s="61"/>
      <c r="BC247" s="61"/>
      <c r="BD247" s="61"/>
      <c r="BE247" s="61"/>
      <c r="BF247" s="61"/>
      <c r="BG247" s="61">
        <v>25</v>
      </c>
      <c r="BH247" s="57"/>
      <c r="BI247" s="61"/>
      <c r="BJ247" s="61"/>
      <c r="BK247" s="57"/>
      <c r="BL247" s="61"/>
      <c r="BM247" s="57"/>
      <c r="BN247" s="61"/>
      <c r="BO247" s="57"/>
      <c r="BP247" s="58"/>
      <c r="BQ247" s="61"/>
      <c r="BR247" s="61"/>
      <c r="BS247" s="57"/>
      <c r="BT247" s="61"/>
      <c r="BU247" s="61"/>
      <c r="BV247" s="61"/>
      <c r="BW247" s="61"/>
      <c r="BX247" s="61"/>
      <c r="BY247" s="61"/>
      <c r="BZ247" s="61"/>
      <c r="CA247" s="61"/>
      <c r="CB247" s="57"/>
      <c r="CC247" s="61"/>
      <c r="CD247" s="61"/>
      <c r="CE247" s="61"/>
      <c r="CF247" s="57"/>
      <c r="CG247" s="61"/>
      <c r="CH247" s="61"/>
      <c r="CI247" s="61"/>
      <c r="CJ247" s="57"/>
      <c r="CK247" s="61"/>
      <c r="CL247" s="61"/>
      <c r="CM247" s="61"/>
      <c r="CN247" s="61"/>
      <c r="CO247" s="61"/>
      <c r="CP247" s="61"/>
      <c r="CQ247" s="61"/>
      <c r="CR247" s="61"/>
      <c r="CS247" s="61"/>
      <c r="CT247" s="61"/>
      <c r="CU247" s="61"/>
      <c r="CV247" s="61"/>
      <c r="CW247" s="61"/>
      <c r="CX247" s="61"/>
      <c r="CY247" s="61"/>
      <c r="CZ247" s="61"/>
      <c r="DA247" s="61"/>
      <c r="DB247" s="61"/>
      <c r="DC247" s="61"/>
      <c r="DD247" s="61"/>
      <c r="DE247" s="61"/>
      <c r="DF247" s="61"/>
      <c r="DG247" s="61"/>
      <c r="DH247" s="61"/>
      <c r="DI247" s="61"/>
      <c r="DJ247" s="61"/>
      <c r="DK247" s="61"/>
      <c r="DL247" s="61"/>
      <c r="DM247" s="61"/>
      <c r="DN247" s="61"/>
      <c r="DO247" s="61"/>
      <c r="DP247" s="61"/>
      <c r="DQ247" s="156"/>
      <c r="DR247" s="156"/>
      <c r="DS247" s="156"/>
      <c r="DT247" s="156"/>
      <c r="DU247" s="156"/>
      <c r="DV247" s="156"/>
      <c r="DW247" s="156"/>
      <c r="DX247" s="156"/>
      <c r="DY247" s="156"/>
      <c r="DZ247" s="59"/>
      <c r="EA247" s="59"/>
      <c r="EB247" s="59"/>
      <c r="EC247" s="59"/>
      <c r="ED247" s="59"/>
      <c r="EE247" s="59"/>
      <c r="EF247" s="59"/>
      <c r="EG247" s="59"/>
    </row>
    <row r="248" spans="1:137" s="10" customFormat="1" ht="15.9" customHeight="1" outlineLevel="1" x14ac:dyDescent="0.3">
      <c r="A248" s="7" t="s">
        <v>23</v>
      </c>
      <c r="B248" s="27" t="s">
        <v>23</v>
      </c>
      <c r="C248" s="8" t="s">
        <v>31</v>
      </c>
      <c r="D248" s="146"/>
      <c r="E248" s="7" t="s">
        <v>474</v>
      </c>
      <c r="F248" s="7" t="s">
        <v>483</v>
      </c>
      <c r="G248" s="9" t="s">
        <v>484</v>
      </c>
      <c r="H248" s="9"/>
      <c r="I248" s="204" cm="1">
        <f t="array" ref="I248">IFERROR(LOOKUP(2,1/(N248:GR248&lt;&gt;""),N$4:DRA$4),"")</f>
        <v>45180</v>
      </c>
      <c r="J248" s="227" t="str" cm="1">
        <f t="array" ref="J248">IFERROR(_xlfn.XLOOKUP(TRUE,N248:EH248&lt;&gt;"",N248:EH248,,,-1)," ")</f>
        <v>25.6, 26.4</v>
      </c>
      <c r="K248" s="45">
        <v>24</v>
      </c>
      <c r="L248" s="45">
        <v>24.5</v>
      </c>
      <c r="M248" s="282" t="s">
        <v>482</v>
      </c>
      <c r="N248" s="57"/>
      <c r="O248" s="57"/>
      <c r="P248" s="57"/>
      <c r="Q248" s="57"/>
      <c r="R248" s="57"/>
      <c r="S248" s="57"/>
      <c r="T248" s="57"/>
      <c r="U248" s="57"/>
      <c r="V248" s="57"/>
      <c r="W248" s="57"/>
      <c r="X248" s="57"/>
      <c r="Y248" s="57">
        <v>17.5</v>
      </c>
      <c r="Z248" s="57"/>
      <c r="AA248" s="57"/>
      <c r="AB248" s="57"/>
      <c r="AC248" s="57"/>
      <c r="AD248" s="57"/>
      <c r="AE248" s="57"/>
      <c r="AF248" s="57"/>
      <c r="AG248" s="57"/>
      <c r="AH248" s="57">
        <v>19.8</v>
      </c>
      <c r="AI248" s="57"/>
      <c r="AJ248" s="57"/>
      <c r="AK248" s="57"/>
      <c r="AL248" s="57"/>
      <c r="AM248" s="57"/>
      <c r="AN248" s="57"/>
      <c r="AO248" s="57">
        <v>21.1</v>
      </c>
      <c r="AP248" s="57"/>
      <c r="AQ248" s="57"/>
      <c r="AR248" s="57"/>
      <c r="AS248" s="57"/>
      <c r="AT248" s="57"/>
      <c r="AU248" s="61"/>
      <c r="AV248" s="61"/>
      <c r="AW248" s="57">
        <v>23.2</v>
      </c>
      <c r="AX248" s="61"/>
      <c r="AY248" s="57"/>
      <c r="AZ248" s="57"/>
      <c r="BA248" s="61"/>
      <c r="BB248" s="61"/>
      <c r="BC248" s="61"/>
      <c r="BD248" s="61"/>
      <c r="BE248" s="61"/>
      <c r="BF248" s="61"/>
      <c r="BG248" s="61" t="s">
        <v>485</v>
      </c>
      <c r="BH248" s="57"/>
      <c r="BI248" s="61"/>
      <c r="BJ248" s="61"/>
      <c r="BK248" s="57"/>
      <c r="BL248" s="61"/>
      <c r="BM248" s="57"/>
      <c r="BN248" s="61"/>
      <c r="BO248" s="57"/>
      <c r="BP248" s="58"/>
      <c r="BQ248" s="61"/>
      <c r="BR248" s="61"/>
      <c r="BS248" s="57"/>
      <c r="BT248" s="61"/>
      <c r="BU248" s="61"/>
      <c r="BV248" s="61"/>
      <c r="BW248" s="61"/>
      <c r="BX248" s="61"/>
      <c r="BY248" s="61"/>
      <c r="BZ248" s="61"/>
      <c r="CA248" s="61"/>
      <c r="CB248" s="57"/>
      <c r="CC248" s="61"/>
      <c r="CD248" s="61"/>
      <c r="CE248" s="61"/>
      <c r="CF248" s="57"/>
      <c r="CG248" s="61"/>
      <c r="CH248" s="61"/>
      <c r="CI248" s="61"/>
      <c r="CJ248" s="57"/>
      <c r="CK248" s="61"/>
      <c r="CL248" s="61"/>
      <c r="CM248" s="61"/>
      <c r="CN248" s="61"/>
      <c r="CO248" s="61"/>
      <c r="CP248" s="61"/>
      <c r="CQ248" s="61"/>
      <c r="CR248" s="61"/>
      <c r="CS248" s="61"/>
      <c r="CT248" s="61"/>
      <c r="CU248" s="61"/>
      <c r="CV248" s="61"/>
      <c r="CW248" s="61"/>
      <c r="CX248" s="61"/>
      <c r="CY248" s="61"/>
      <c r="CZ248" s="61"/>
      <c r="DA248" s="61"/>
      <c r="DB248" s="61"/>
      <c r="DC248" s="61"/>
      <c r="DD248" s="61"/>
      <c r="DE248" s="61"/>
      <c r="DF248" s="61"/>
      <c r="DG248" s="61"/>
      <c r="DH248" s="61"/>
      <c r="DI248" s="61"/>
      <c r="DJ248" s="61"/>
      <c r="DK248" s="61"/>
      <c r="DL248" s="61"/>
      <c r="DM248" s="61"/>
      <c r="DN248" s="61"/>
      <c r="DO248" s="61"/>
      <c r="DP248" s="61"/>
      <c r="DQ248" s="156"/>
      <c r="DR248" s="156"/>
      <c r="DS248" s="156"/>
      <c r="DT248" s="156"/>
      <c r="DU248" s="156"/>
      <c r="DV248" s="156"/>
      <c r="DW248" s="156"/>
      <c r="DX248" s="156"/>
      <c r="DY248" s="156"/>
      <c r="DZ248" s="59"/>
      <c r="EA248" s="59"/>
      <c r="EB248" s="59"/>
      <c r="EC248" s="59"/>
      <c r="ED248" s="59"/>
      <c r="EE248" s="59"/>
      <c r="EF248" s="59"/>
      <c r="EG248" s="59"/>
    </row>
    <row r="249" spans="1:137" s="10" customFormat="1" ht="15.9" customHeight="1" outlineLevel="1" x14ac:dyDescent="0.3">
      <c r="A249" s="7" t="s">
        <v>23</v>
      </c>
      <c r="B249" s="27" t="s">
        <v>23</v>
      </c>
      <c r="C249" s="8" t="s">
        <v>31</v>
      </c>
      <c r="D249" s="146"/>
      <c r="E249" s="7" t="s">
        <v>474</v>
      </c>
      <c r="F249" s="7" t="s">
        <v>483</v>
      </c>
      <c r="G249" s="9" t="s">
        <v>486</v>
      </c>
      <c r="H249" s="9"/>
      <c r="I249" s="204" cm="1">
        <f t="array" ref="I249">IFERROR(LOOKUP(2,1/(N249:GR249&lt;&gt;""),N$4:DRA$4),"")</f>
        <v>45155</v>
      </c>
      <c r="J249" s="169" cm="1">
        <f t="array" ref="J249">IFERROR(_xlfn.XLOOKUP(TRUE,N249:EH249&lt;&gt;"",N249:EH249,,,-1)," ")</f>
        <v>19</v>
      </c>
      <c r="K249" s="45">
        <v>24</v>
      </c>
      <c r="L249" s="45">
        <v>24.5</v>
      </c>
      <c r="M249" s="282" t="s">
        <v>482</v>
      </c>
      <c r="N249" s="57"/>
      <c r="O249" s="57"/>
      <c r="P249" s="57"/>
      <c r="Q249" s="57"/>
      <c r="R249" s="57"/>
      <c r="S249" s="57"/>
      <c r="T249" s="57"/>
      <c r="U249" s="57"/>
      <c r="V249" s="57"/>
      <c r="W249" s="57"/>
      <c r="X249" s="57"/>
      <c r="Y249" s="57"/>
      <c r="Z249" s="57"/>
      <c r="AA249" s="57"/>
      <c r="AB249" s="57"/>
      <c r="AC249" s="57"/>
      <c r="AD249" s="57"/>
      <c r="AE249" s="57"/>
      <c r="AF249" s="57"/>
      <c r="AG249" s="57"/>
      <c r="AH249" s="57">
        <v>19</v>
      </c>
      <c r="AI249" s="57"/>
      <c r="AJ249" s="57"/>
      <c r="AK249" s="57"/>
      <c r="AL249" s="57"/>
      <c r="AM249" s="57"/>
      <c r="AN249" s="57"/>
      <c r="AO249" s="57"/>
      <c r="AP249" s="57"/>
      <c r="AQ249" s="57"/>
      <c r="AR249" s="57"/>
      <c r="AS249" s="57"/>
      <c r="AT249" s="57"/>
      <c r="AU249" s="61"/>
      <c r="AV249" s="61"/>
      <c r="AW249" s="57"/>
      <c r="AX249" s="61"/>
      <c r="AY249" s="57"/>
      <c r="AZ249" s="57"/>
      <c r="BA249" s="61"/>
      <c r="BB249" s="61"/>
      <c r="BC249" s="61"/>
      <c r="BD249" s="61"/>
      <c r="BE249" s="61"/>
      <c r="BF249" s="61"/>
      <c r="BG249" s="61"/>
      <c r="BH249" s="57"/>
      <c r="BI249" s="61"/>
      <c r="BJ249" s="61"/>
      <c r="BK249" s="57"/>
      <c r="BL249" s="61"/>
      <c r="BM249" s="57"/>
      <c r="BN249" s="61"/>
      <c r="BO249" s="57"/>
      <c r="BP249" s="58"/>
      <c r="BQ249" s="61"/>
      <c r="BR249" s="61"/>
      <c r="BS249" s="57"/>
      <c r="BT249" s="61"/>
      <c r="BU249" s="61"/>
      <c r="BV249" s="61"/>
      <c r="BW249" s="61"/>
      <c r="BX249" s="61"/>
      <c r="BY249" s="61"/>
      <c r="BZ249" s="61"/>
      <c r="CA249" s="61"/>
      <c r="CB249" s="57"/>
      <c r="CC249" s="61"/>
      <c r="CD249" s="61"/>
      <c r="CE249" s="61"/>
      <c r="CF249" s="57"/>
      <c r="CG249" s="61"/>
      <c r="CH249" s="61"/>
      <c r="CI249" s="61"/>
      <c r="CJ249" s="57"/>
      <c r="CK249" s="61"/>
      <c r="CL249" s="61"/>
      <c r="CM249" s="61"/>
      <c r="CN249" s="61"/>
      <c r="CO249" s="61"/>
      <c r="CP249" s="61"/>
      <c r="CQ249" s="61"/>
      <c r="CR249" s="61"/>
      <c r="CS249" s="61"/>
      <c r="CT249" s="61"/>
      <c r="CU249" s="61"/>
      <c r="CV249" s="61"/>
      <c r="CW249" s="61"/>
      <c r="CX249" s="61"/>
      <c r="CY249" s="61"/>
      <c r="CZ249" s="61"/>
      <c r="DA249" s="61"/>
      <c r="DB249" s="61"/>
      <c r="DC249" s="61"/>
      <c r="DD249" s="61"/>
      <c r="DE249" s="61"/>
      <c r="DF249" s="61"/>
      <c r="DG249" s="61"/>
      <c r="DH249" s="61"/>
      <c r="DI249" s="61"/>
      <c r="DJ249" s="61"/>
      <c r="DK249" s="61"/>
      <c r="DL249" s="61"/>
      <c r="DM249" s="61"/>
      <c r="DN249" s="61"/>
      <c r="DO249" s="61"/>
      <c r="DP249" s="61"/>
      <c r="DQ249" s="156"/>
      <c r="DR249" s="156"/>
      <c r="DS249" s="156"/>
      <c r="DT249" s="156"/>
      <c r="DU249" s="156"/>
      <c r="DV249" s="156"/>
      <c r="DW249" s="156"/>
      <c r="DX249" s="156"/>
      <c r="DY249" s="156"/>
      <c r="DZ249" s="65"/>
      <c r="EA249" s="65"/>
      <c r="EB249" s="65"/>
      <c r="EC249" s="65"/>
      <c r="ED249" s="65"/>
      <c r="EE249" s="65"/>
      <c r="EF249" s="65"/>
      <c r="EG249" s="65"/>
    </row>
    <row r="250" spans="1:137" s="10" customFormat="1" ht="15.9" customHeight="1" outlineLevel="1" x14ac:dyDescent="0.3">
      <c r="A250" s="7" t="s">
        <v>23</v>
      </c>
      <c r="B250" s="27" t="s">
        <v>23</v>
      </c>
      <c r="C250" s="8" t="s">
        <v>31</v>
      </c>
      <c r="D250" s="146"/>
      <c r="E250" s="7" t="s">
        <v>474</v>
      </c>
      <c r="F250" s="7" t="s">
        <v>487</v>
      </c>
      <c r="G250" s="9" t="s">
        <v>488</v>
      </c>
      <c r="H250" s="9"/>
      <c r="I250" s="204" cm="1">
        <f t="array" ref="I250">IFERROR(LOOKUP(2,1/(N250:GR250&lt;&gt;""),N$4:DRA$4),"")</f>
        <v>45180</v>
      </c>
      <c r="J250" s="227" cm="1">
        <f t="array" ref="J250">IFERROR(_xlfn.XLOOKUP(TRUE,N250:EH250&lt;&gt;"",N250:EH250,,,-1)," ")</f>
        <v>24.6</v>
      </c>
      <c r="K250" s="45">
        <v>24</v>
      </c>
      <c r="L250" s="45">
        <v>24.5</v>
      </c>
      <c r="M250" s="282" t="s">
        <v>482</v>
      </c>
      <c r="N250" s="57"/>
      <c r="O250" s="57"/>
      <c r="P250" s="57"/>
      <c r="Q250" s="57"/>
      <c r="R250" s="57"/>
      <c r="S250" s="57"/>
      <c r="T250" s="57"/>
      <c r="U250" s="57"/>
      <c r="V250" s="57"/>
      <c r="W250" s="57"/>
      <c r="X250" s="57"/>
      <c r="Y250" s="57">
        <v>15.4</v>
      </c>
      <c r="Z250" s="57"/>
      <c r="AA250" s="57"/>
      <c r="AB250" s="57"/>
      <c r="AC250" s="57"/>
      <c r="AD250" s="57"/>
      <c r="AE250" s="57"/>
      <c r="AF250" s="57"/>
      <c r="AG250" s="57"/>
      <c r="AH250" s="57">
        <v>18.3</v>
      </c>
      <c r="AI250" s="57"/>
      <c r="AJ250" s="57"/>
      <c r="AK250" s="57"/>
      <c r="AL250" s="57"/>
      <c r="AM250" s="58"/>
      <c r="AN250" s="57"/>
      <c r="AO250" s="57">
        <v>20</v>
      </c>
      <c r="AP250" s="58"/>
      <c r="AQ250" s="57"/>
      <c r="AR250" s="57"/>
      <c r="AS250" s="57"/>
      <c r="AT250" s="57"/>
      <c r="AU250" s="61"/>
      <c r="AV250" s="61"/>
      <c r="AW250" s="57">
        <v>22.2</v>
      </c>
      <c r="AX250" s="61"/>
      <c r="AY250" s="57"/>
      <c r="AZ250" s="57"/>
      <c r="BA250" s="160">
        <v>21.2</v>
      </c>
      <c r="BB250" s="61"/>
      <c r="BC250" s="61"/>
      <c r="BD250" s="61"/>
      <c r="BE250" s="61"/>
      <c r="BF250" s="61"/>
      <c r="BG250" s="61">
        <v>24.6</v>
      </c>
      <c r="BH250" s="57"/>
      <c r="BI250" s="61"/>
      <c r="BJ250" s="61"/>
      <c r="BK250" s="57"/>
      <c r="BL250" s="61"/>
      <c r="BM250" s="57"/>
      <c r="BN250" s="61"/>
      <c r="BO250" s="57"/>
      <c r="BP250" s="58"/>
      <c r="BQ250" s="61"/>
      <c r="BR250" s="61"/>
      <c r="BS250" s="57"/>
      <c r="BT250" s="61"/>
      <c r="BU250" s="61"/>
      <c r="BV250" s="61"/>
      <c r="BW250" s="61"/>
      <c r="BX250" s="61"/>
      <c r="BY250" s="61"/>
      <c r="BZ250" s="61"/>
      <c r="CA250" s="61"/>
      <c r="CB250" s="57"/>
      <c r="CC250" s="61"/>
      <c r="CD250" s="61"/>
      <c r="CE250" s="61"/>
      <c r="CF250" s="57"/>
      <c r="CG250" s="61"/>
      <c r="CH250" s="61"/>
      <c r="CI250" s="61"/>
      <c r="CJ250" s="57"/>
      <c r="CK250" s="61"/>
      <c r="CL250" s="61"/>
      <c r="CM250" s="61"/>
      <c r="CN250" s="61"/>
      <c r="CO250" s="61"/>
      <c r="CP250" s="61"/>
      <c r="CQ250" s="61"/>
      <c r="CR250" s="61"/>
      <c r="CS250" s="61"/>
      <c r="CT250" s="61"/>
      <c r="CU250" s="61"/>
      <c r="CV250" s="61"/>
      <c r="CW250" s="61"/>
      <c r="CX250" s="61"/>
      <c r="CY250" s="61"/>
      <c r="CZ250" s="61"/>
      <c r="DA250" s="61"/>
      <c r="DB250" s="61"/>
      <c r="DC250" s="61"/>
      <c r="DD250" s="61"/>
      <c r="DE250" s="61"/>
      <c r="DF250" s="61"/>
      <c r="DG250" s="61"/>
      <c r="DH250" s="61"/>
      <c r="DI250" s="61"/>
      <c r="DJ250" s="61"/>
      <c r="DK250" s="61"/>
      <c r="DL250" s="61"/>
      <c r="DM250" s="61"/>
      <c r="DN250" s="61"/>
      <c r="DO250" s="61"/>
      <c r="DP250" s="61"/>
      <c r="DQ250" s="156"/>
      <c r="DR250" s="156"/>
      <c r="DS250" s="156"/>
      <c r="DT250" s="156"/>
      <c r="DU250" s="156"/>
      <c r="DV250" s="156"/>
      <c r="DW250" s="156"/>
      <c r="DX250" s="156"/>
      <c r="DY250" s="156"/>
      <c r="DZ250" s="22"/>
      <c r="EA250" s="22"/>
      <c r="EB250" s="22"/>
      <c r="EC250" s="22"/>
      <c r="ED250" s="22"/>
      <c r="EE250" s="22"/>
      <c r="EF250" s="22"/>
      <c r="EG250" s="22"/>
    </row>
    <row r="251" spans="1:137" s="10" customFormat="1" ht="15.9" customHeight="1" outlineLevel="1" x14ac:dyDescent="0.3">
      <c r="A251" s="7" t="s">
        <v>23</v>
      </c>
      <c r="B251" s="27" t="s">
        <v>23</v>
      </c>
      <c r="C251" s="8" t="s">
        <v>31</v>
      </c>
      <c r="D251" s="146"/>
      <c r="E251" s="7" t="s">
        <v>474</v>
      </c>
      <c r="F251" s="7" t="s">
        <v>489</v>
      </c>
      <c r="G251" s="9" t="s">
        <v>490</v>
      </c>
      <c r="H251" s="9"/>
      <c r="I251" s="204" cm="1">
        <f t="array" ref="I251">IFERROR(LOOKUP(2,1/(N251:GR251&lt;&gt;""),N$4:DRA$4),"")</f>
        <v>45180</v>
      </c>
      <c r="J251" s="218" cm="1">
        <f t="array" ref="J251">IFERROR(_xlfn.XLOOKUP(TRUE,N251:EH251&lt;&gt;"",N251:EH251,,,-1)," ")</f>
        <v>24.7</v>
      </c>
      <c r="K251" s="45">
        <v>24</v>
      </c>
      <c r="L251" s="45">
        <v>24.5</v>
      </c>
      <c r="M251" s="282" t="s">
        <v>482</v>
      </c>
      <c r="N251" s="57"/>
      <c r="O251" s="57"/>
      <c r="P251" s="57"/>
      <c r="Q251" s="57"/>
      <c r="R251" s="57"/>
      <c r="S251" s="57"/>
      <c r="T251" s="57"/>
      <c r="U251" s="57"/>
      <c r="V251" s="57"/>
      <c r="W251" s="57"/>
      <c r="X251" s="57"/>
      <c r="Y251" s="57">
        <v>17.2</v>
      </c>
      <c r="Z251" s="57"/>
      <c r="AA251" s="57"/>
      <c r="AB251" s="57"/>
      <c r="AC251" s="57"/>
      <c r="AD251" s="57"/>
      <c r="AE251" s="57"/>
      <c r="AF251" s="57"/>
      <c r="AG251" s="57"/>
      <c r="AH251" s="57">
        <v>19.3</v>
      </c>
      <c r="AI251" s="57"/>
      <c r="AJ251" s="57"/>
      <c r="AK251" s="57"/>
      <c r="AL251" s="57"/>
      <c r="AM251" s="57"/>
      <c r="AN251" s="57"/>
      <c r="AO251" s="57">
        <v>20.9</v>
      </c>
      <c r="AP251" s="58"/>
      <c r="AQ251" s="57"/>
      <c r="AR251" s="57"/>
      <c r="AS251" s="57"/>
      <c r="AT251" s="57"/>
      <c r="AU251" s="61"/>
      <c r="AV251" s="61"/>
      <c r="AW251" s="57">
        <v>23.5</v>
      </c>
      <c r="AX251" s="61"/>
      <c r="AY251" s="57"/>
      <c r="AZ251" s="57"/>
      <c r="BA251" s="61"/>
      <c r="BB251" s="61"/>
      <c r="BC251" s="61"/>
      <c r="BD251" s="61"/>
      <c r="BE251" s="61"/>
      <c r="BF251" s="61"/>
      <c r="BG251" s="61">
        <v>24.7</v>
      </c>
      <c r="BH251" s="57"/>
      <c r="BI251" s="61"/>
      <c r="BJ251" s="61"/>
      <c r="BK251" s="57"/>
      <c r="BL251" s="61"/>
      <c r="BM251" s="57"/>
      <c r="BN251" s="61"/>
      <c r="BO251" s="57"/>
      <c r="BP251" s="58"/>
      <c r="BQ251" s="61"/>
      <c r="BR251" s="61"/>
      <c r="BS251" s="57"/>
      <c r="BT251" s="61"/>
      <c r="BU251" s="61"/>
      <c r="BV251" s="61"/>
      <c r="BW251" s="61"/>
      <c r="BX251" s="61"/>
      <c r="BY251" s="61"/>
      <c r="BZ251" s="61"/>
      <c r="CA251" s="61"/>
      <c r="CB251" s="57"/>
      <c r="CC251" s="61"/>
      <c r="CD251" s="61"/>
      <c r="CE251" s="61"/>
      <c r="CF251" s="57"/>
      <c r="CG251" s="61"/>
      <c r="CH251" s="61"/>
      <c r="CI251" s="61"/>
      <c r="CJ251" s="57"/>
      <c r="CK251" s="61"/>
      <c r="CL251" s="61"/>
      <c r="CM251" s="61"/>
      <c r="CN251" s="61"/>
      <c r="CO251" s="61"/>
      <c r="CP251" s="61"/>
      <c r="CQ251" s="61"/>
      <c r="CR251" s="61"/>
      <c r="CS251" s="61"/>
      <c r="CT251" s="61"/>
      <c r="CU251" s="61"/>
      <c r="CV251" s="61"/>
      <c r="CW251" s="61"/>
      <c r="CX251" s="61"/>
      <c r="CY251" s="61"/>
      <c r="CZ251" s="61"/>
      <c r="DA251" s="61"/>
      <c r="DB251" s="61"/>
      <c r="DC251" s="61"/>
      <c r="DD251" s="61"/>
      <c r="DE251" s="61"/>
      <c r="DF251" s="61"/>
      <c r="DG251" s="61"/>
      <c r="DH251" s="61"/>
      <c r="DI251" s="61"/>
      <c r="DJ251" s="61"/>
      <c r="DK251" s="61"/>
      <c r="DL251" s="61"/>
      <c r="DM251" s="61"/>
      <c r="DN251" s="61"/>
      <c r="DO251" s="61"/>
      <c r="DP251" s="61"/>
      <c r="DQ251" s="156"/>
      <c r="DR251" s="156"/>
      <c r="DS251" s="156"/>
      <c r="DT251" s="156"/>
      <c r="DU251" s="156"/>
      <c r="DV251" s="156"/>
      <c r="DW251" s="156"/>
      <c r="DX251" s="156"/>
      <c r="DY251" s="156"/>
      <c r="DZ251" s="22"/>
      <c r="EA251" s="22"/>
      <c r="EB251" s="22"/>
      <c r="EC251" s="22"/>
      <c r="ED251" s="22"/>
      <c r="EE251" s="22"/>
      <c r="EF251" s="22"/>
      <c r="EG251" s="22"/>
    </row>
    <row r="252" spans="1:137" s="5" customFormat="1" ht="15.9" customHeight="1" outlineLevel="1" x14ac:dyDescent="0.3">
      <c r="A252" s="6" t="s">
        <v>22</v>
      </c>
      <c r="B252" s="6"/>
      <c r="C252" s="50" t="s">
        <v>31</v>
      </c>
      <c r="D252" s="147">
        <v>38.21</v>
      </c>
      <c r="E252" s="6" t="s">
        <v>474</v>
      </c>
      <c r="F252" s="6" t="s">
        <v>491</v>
      </c>
      <c r="G252" s="11" t="s">
        <v>492</v>
      </c>
      <c r="H252" s="11"/>
      <c r="I252" s="205" cm="1">
        <f t="array" ref="I252">IFERROR(LOOKUP(2,1/(N252:GR252&lt;&gt;""),N$4:DRA$4),"")</f>
        <v>45196</v>
      </c>
      <c r="J252" s="170" cm="1">
        <f t="array" ref="J252">IFERROR(_xlfn.XLOOKUP(TRUE,N252:EH252&lt;&gt;"",N252:EH252,,,-1)," ")</f>
        <v>22.7</v>
      </c>
      <c r="K252" s="49"/>
      <c r="L252" s="49"/>
      <c r="M252" s="284" t="s">
        <v>493</v>
      </c>
      <c r="N252" s="62"/>
      <c r="O252" s="62"/>
      <c r="P252" s="62"/>
      <c r="Q252" s="62"/>
      <c r="R252" s="62"/>
      <c r="S252" s="62"/>
      <c r="T252" s="62"/>
      <c r="U252" s="62"/>
      <c r="V252" s="62"/>
      <c r="W252" s="62"/>
      <c r="X252" s="62"/>
      <c r="Y252" s="62"/>
      <c r="Z252" s="62"/>
      <c r="AA252" s="62"/>
      <c r="AB252" s="62"/>
      <c r="AC252" s="62"/>
      <c r="AD252" s="62"/>
      <c r="AE252" s="62"/>
      <c r="AF252" s="62"/>
      <c r="AG252" s="62"/>
      <c r="AH252" s="62"/>
      <c r="AI252" s="62"/>
      <c r="AJ252" s="62"/>
      <c r="AK252" s="62"/>
      <c r="AL252" s="62"/>
      <c r="AM252" s="62"/>
      <c r="AN252" s="62"/>
      <c r="AO252" s="62"/>
      <c r="AP252" s="62"/>
      <c r="AQ252" s="62"/>
      <c r="AR252" s="62"/>
      <c r="AS252" s="171">
        <v>18.399999999999999</v>
      </c>
      <c r="AT252" s="62"/>
      <c r="AU252" s="63"/>
      <c r="AV252" s="63"/>
      <c r="AW252" s="62"/>
      <c r="AX252" s="63"/>
      <c r="AY252" s="62"/>
      <c r="AZ252" s="62"/>
      <c r="BA252" s="63"/>
      <c r="BB252" s="63"/>
      <c r="BC252" s="63"/>
      <c r="BD252" s="63"/>
      <c r="BE252" s="63"/>
      <c r="BF252" s="63"/>
      <c r="BG252" s="63"/>
      <c r="BH252" s="62"/>
      <c r="BI252" s="63"/>
      <c r="BJ252" s="63"/>
      <c r="BK252" s="62"/>
      <c r="BL252" s="63"/>
      <c r="BM252" s="62"/>
      <c r="BN252" s="63"/>
      <c r="BO252" s="62"/>
      <c r="BP252" s="64"/>
      <c r="BQ252" s="63">
        <v>21</v>
      </c>
      <c r="BR252" s="63"/>
      <c r="BS252" s="62"/>
      <c r="BT252" s="63"/>
      <c r="BU252" s="63"/>
      <c r="BV252" s="63"/>
      <c r="BW252" s="318">
        <v>22.7</v>
      </c>
      <c r="BX252" s="63"/>
      <c r="BY252" s="63"/>
      <c r="BZ252" s="63"/>
      <c r="CA252" s="63"/>
      <c r="CB252" s="62"/>
      <c r="CC252" s="51"/>
      <c r="CD252" s="63"/>
      <c r="CE252" s="63"/>
      <c r="CF252" s="62"/>
      <c r="CG252" s="63"/>
      <c r="CH252" s="63"/>
      <c r="CI252" s="63"/>
      <c r="CJ252" s="62"/>
      <c r="CK252" s="63"/>
      <c r="CL252" s="63"/>
      <c r="CM252" s="63"/>
      <c r="CN252" s="63"/>
      <c r="CO252" s="63"/>
      <c r="CP252" s="63"/>
      <c r="CQ252" s="63"/>
      <c r="CR252" s="63"/>
      <c r="CS252" s="63"/>
      <c r="CT252" s="63"/>
      <c r="CU252" s="63"/>
      <c r="CV252" s="63"/>
      <c r="CW252" s="63"/>
      <c r="CX252" s="63"/>
      <c r="CY252" s="63"/>
      <c r="CZ252" s="63"/>
      <c r="DA252" s="63"/>
      <c r="DB252" s="63"/>
      <c r="DC252" s="63"/>
      <c r="DD252" s="63"/>
      <c r="DE252" s="63"/>
      <c r="DF252" s="63"/>
      <c r="DG252" s="63"/>
      <c r="DH252" s="63"/>
      <c r="DI252" s="63"/>
      <c r="DJ252" s="63"/>
      <c r="DK252" s="63"/>
      <c r="DL252" s="63"/>
      <c r="DM252" s="63"/>
      <c r="DN252" s="63"/>
      <c r="DO252" s="63"/>
      <c r="DP252" s="63"/>
      <c r="DQ252" s="158"/>
      <c r="DR252" s="158"/>
      <c r="DS252" s="158"/>
      <c r="DT252" s="158"/>
      <c r="DU252" s="158"/>
      <c r="DV252" s="158"/>
      <c r="DW252" s="158"/>
      <c r="DX252" s="158"/>
      <c r="DY252" s="158"/>
      <c r="DZ252" s="65"/>
      <c r="EA252" s="65"/>
      <c r="EB252" s="65"/>
      <c r="EC252" s="65"/>
      <c r="ED252" s="65"/>
      <c r="EE252" s="65"/>
      <c r="EF252" s="65"/>
      <c r="EG252" s="65"/>
    </row>
    <row r="253" spans="1:137" s="10" customFormat="1" ht="15.9" customHeight="1" outlineLevel="1" x14ac:dyDescent="0.3">
      <c r="A253" s="7" t="s">
        <v>22</v>
      </c>
      <c r="B253" s="7"/>
      <c r="C253" s="8" t="s">
        <v>31</v>
      </c>
      <c r="D253" s="146">
        <v>9.48</v>
      </c>
      <c r="E253" s="7" t="s">
        <v>474</v>
      </c>
      <c r="F253" s="7" t="s">
        <v>494</v>
      </c>
      <c r="G253" s="9" t="s">
        <v>495</v>
      </c>
      <c r="H253" s="9"/>
      <c r="I253" s="204" cm="1">
        <f t="array" ref="I253">IFERROR(LOOKUP(2,1/(N253:GR253&lt;&gt;""),N$4:DRA$4),"")</f>
        <v>45196</v>
      </c>
      <c r="J253" s="169" cm="1">
        <f t="array" ref="J253">IFERROR(_xlfn.XLOOKUP(TRUE,N253:EH253&lt;&gt;"",N253:EH253,,,-1)," ")</f>
        <v>21.7</v>
      </c>
      <c r="K253" s="45"/>
      <c r="L253" s="45"/>
      <c r="M253" s="282" t="s">
        <v>493</v>
      </c>
      <c r="N253" s="57"/>
      <c r="O253" s="57"/>
      <c r="P253" s="57"/>
      <c r="Q253" s="57"/>
      <c r="R253" s="57"/>
      <c r="S253" s="57"/>
      <c r="T253" s="57"/>
      <c r="U253" s="57"/>
      <c r="V253" s="57"/>
      <c r="W253" s="57"/>
      <c r="X253" s="57"/>
      <c r="Y253" s="57"/>
      <c r="Z253" s="57"/>
      <c r="AA253" s="57"/>
      <c r="AB253" s="57"/>
      <c r="AC253" s="57"/>
      <c r="AD253" s="57"/>
      <c r="AE253" s="57"/>
      <c r="AF253" s="57"/>
      <c r="AG253" s="57"/>
      <c r="AH253" s="57"/>
      <c r="AI253" s="57"/>
      <c r="AJ253" s="57"/>
      <c r="AK253" s="57"/>
      <c r="AL253" s="57"/>
      <c r="AM253" s="57"/>
      <c r="AN253" s="57"/>
      <c r="AO253" s="57"/>
      <c r="AP253" s="57"/>
      <c r="AQ253" s="57"/>
      <c r="AR253" s="57"/>
      <c r="AS253" s="171">
        <v>19.2</v>
      </c>
      <c r="AT253" s="57"/>
      <c r="AU253" s="61"/>
      <c r="AV253" s="61"/>
      <c r="AW253" s="57"/>
      <c r="AX253" s="61"/>
      <c r="AY253" s="57"/>
      <c r="AZ253" s="57"/>
      <c r="BA253" s="61"/>
      <c r="BB253" s="61"/>
      <c r="BC253" s="61"/>
      <c r="BD253" s="61"/>
      <c r="BE253" s="61"/>
      <c r="BF253" s="61"/>
      <c r="BG253" s="61"/>
      <c r="BH253" s="57"/>
      <c r="BI253" s="61"/>
      <c r="BJ253" s="61"/>
      <c r="BK253" s="57"/>
      <c r="BL253" s="61"/>
      <c r="BM253" s="57"/>
      <c r="BN253" s="61"/>
      <c r="BO253" s="57"/>
      <c r="BP253" s="58"/>
      <c r="BQ253" s="61">
        <v>22.7</v>
      </c>
      <c r="BR253" s="61"/>
      <c r="BS253" s="57"/>
      <c r="BT253" s="61"/>
      <c r="BU253" s="61"/>
      <c r="BV253" s="61"/>
      <c r="BW253" s="318">
        <v>21.7</v>
      </c>
      <c r="BX253" s="61"/>
      <c r="BY253" s="61"/>
      <c r="BZ253" s="61"/>
      <c r="CA253" s="61"/>
      <c r="CB253" s="57"/>
      <c r="CC253" s="27"/>
      <c r="CD253" s="61"/>
      <c r="CE253" s="61"/>
      <c r="CF253" s="57"/>
      <c r="CG253" s="61"/>
      <c r="CH253" s="61"/>
      <c r="CI253" s="61"/>
      <c r="CJ253" s="57"/>
      <c r="CK253" s="61"/>
      <c r="CL253" s="61"/>
      <c r="CM253" s="61"/>
      <c r="CN253" s="61"/>
      <c r="CO253" s="61"/>
      <c r="CP253" s="61"/>
      <c r="CQ253" s="61"/>
      <c r="CR253" s="61"/>
      <c r="CS253" s="61"/>
      <c r="CT253" s="61"/>
      <c r="CU253" s="61"/>
      <c r="CV253" s="61"/>
      <c r="CW253" s="61"/>
      <c r="CX253" s="61"/>
      <c r="CY253" s="61"/>
      <c r="CZ253" s="61"/>
      <c r="DA253" s="61"/>
      <c r="DB253" s="61"/>
      <c r="DC253" s="61"/>
      <c r="DD253" s="61"/>
      <c r="DE253" s="61"/>
      <c r="DF253" s="61"/>
      <c r="DG253" s="61"/>
      <c r="DH253" s="61"/>
      <c r="DI253" s="61"/>
      <c r="DJ253" s="61"/>
      <c r="DK253" s="61"/>
      <c r="DL253" s="61"/>
      <c r="DM253" s="61"/>
      <c r="DN253" s="61"/>
      <c r="DO253" s="61"/>
      <c r="DP253" s="61"/>
      <c r="DQ253" s="156"/>
      <c r="DR253" s="156"/>
      <c r="DS253" s="156"/>
      <c r="DT253" s="156"/>
      <c r="DU253" s="156"/>
      <c r="DV253" s="156"/>
      <c r="DW253" s="156"/>
      <c r="DX253" s="156"/>
      <c r="DY253" s="156"/>
      <c r="DZ253" s="65"/>
      <c r="EA253" s="65"/>
      <c r="EB253" s="65"/>
      <c r="EC253" s="65"/>
      <c r="ED253" s="65"/>
      <c r="EE253" s="65"/>
      <c r="EF253" s="65"/>
      <c r="EG253" s="65"/>
    </row>
    <row r="254" spans="1:137" s="5" customFormat="1" ht="15.9" customHeight="1" outlineLevel="1" x14ac:dyDescent="0.3">
      <c r="A254" s="6" t="s">
        <v>22</v>
      </c>
      <c r="B254" s="6"/>
      <c r="C254" s="50" t="s">
        <v>31</v>
      </c>
      <c r="D254" s="147">
        <v>34.880000000000003</v>
      </c>
      <c r="E254" s="6" t="s">
        <v>474</v>
      </c>
      <c r="F254" s="6" t="s">
        <v>496</v>
      </c>
      <c r="G254" s="11" t="s">
        <v>497</v>
      </c>
      <c r="H254" s="11"/>
      <c r="I254" s="205" t="str" cm="1">
        <f t="array" ref="I254">IFERROR(LOOKUP(2,1/(N254:GR254&lt;&gt;""),N$4:DRA$4),"")</f>
        <v/>
      </c>
      <c r="J254" s="170" t="str" cm="1">
        <f t="array" ref="J254">IFERROR(_xlfn.XLOOKUP(TRUE,N254:EH254&lt;&gt;"",N254:EH254,,,-1)," ")</f>
        <v xml:space="preserve"> </v>
      </c>
      <c r="K254" s="49"/>
      <c r="L254" s="49"/>
      <c r="M254" s="284" t="s">
        <v>493</v>
      </c>
      <c r="N254" s="62"/>
      <c r="O254" s="62"/>
      <c r="P254" s="62"/>
      <c r="Q254" s="62"/>
      <c r="R254" s="62"/>
      <c r="S254" s="62"/>
      <c r="T254" s="62"/>
      <c r="U254" s="62"/>
      <c r="V254" s="62"/>
      <c r="W254" s="62"/>
      <c r="X254" s="62"/>
      <c r="Y254" s="62"/>
      <c r="Z254" s="62"/>
      <c r="AA254" s="62"/>
      <c r="AB254" s="62"/>
      <c r="AC254" s="62"/>
      <c r="AD254" s="62"/>
      <c r="AE254" s="62"/>
      <c r="AF254" s="62"/>
      <c r="AG254" s="62"/>
      <c r="AH254" s="62"/>
      <c r="AI254" s="62"/>
      <c r="AJ254" s="62"/>
      <c r="AK254" s="62"/>
      <c r="AL254" s="62"/>
      <c r="AM254" s="62"/>
      <c r="AN254" s="62"/>
      <c r="AO254" s="62"/>
      <c r="AP254" s="62"/>
      <c r="AQ254" s="62"/>
      <c r="AR254" s="62"/>
      <c r="AS254" s="62"/>
      <c r="AT254" s="62"/>
      <c r="AU254" s="63"/>
      <c r="AV254" s="63"/>
      <c r="AW254" s="62"/>
      <c r="AX254" s="63"/>
      <c r="AY254" s="62"/>
      <c r="AZ254" s="62"/>
      <c r="BA254" s="63"/>
      <c r="BB254" s="63"/>
      <c r="BC254" s="63"/>
      <c r="BD254" s="62"/>
      <c r="BE254" s="62"/>
      <c r="BF254" s="62"/>
      <c r="BG254" s="62"/>
      <c r="BH254" s="62"/>
      <c r="BI254" s="63"/>
      <c r="BJ254" s="63"/>
      <c r="BK254" s="62"/>
      <c r="BL254" s="62"/>
      <c r="BM254" s="62"/>
      <c r="BN254" s="63"/>
      <c r="BO254" s="62"/>
      <c r="BP254" s="64"/>
      <c r="BQ254" s="63"/>
      <c r="BR254" s="63"/>
      <c r="BS254" s="62"/>
      <c r="BT254" s="63"/>
      <c r="BU254" s="63"/>
      <c r="BV254" s="63"/>
      <c r="BW254" s="63"/>
      <c r="BX254" s="63"/>
      <c r="BY254" s="63"/>
      <c r="BZ254" s="63"/>
      <c r="CA254" s="63"/>
      <c r="CB254" s="62"/>
      <c r="CC254" s="51"/>
      <c r="CD254" s="63"/>
      <c r="CE254" s="63"/>
      <c r="CF254" s="62"/>
      <c r="CG254" s="63"/>
      <c r="CH254" s="63"/>
      <c r="CI254" s="63"/>
      <c r="CJ254" s="62"/>
      <c r="CK254" s="63"/>
      <c r="CL254" s="63"/>
      <c r="CM254" s="63"/>
      <c r="CN254" s="63"/>
      <c r="CO254" s="63"/>
      <c r="CP254" s="63"/>
      <c r="CQ254" s="63"/>
      <c r="CR254" s="63"/>
      <c r="CS254" s="63"/>
      <c r="CT254" s="63"/>
      <c r="CU254" s="63"/>
      <c r="CV254" s="63"/>
      <c r="CW254" s="63"/>
      <c r="CX254" s="63"/>
      <c r="CY254" s="63"/>
      <c r="CZ254" s="63"/>
      <c r="DA254" s="63"/>
      <c r="DB254" s="63"/>
      <c r="DC254" s="63"/>
      <c r="DD254" s="63"/>
      <c r="DE254" s="63"/>
      <c r="DF254" s="63"/>
      <c r="DG254" s="63"/>
      <c r="DH254" s="63"/>
      <c r="DI254" s="63"/>
      <c r="DJ254" s="63"/>
      <c r="DK254" s="63"/>
      <c r="DL254" s="63"/>
      <c r="DM254" s="63"/>
      <c r="DN254" s="63"/>
      <c r="DO254" s="63"/>
      <c r="DP254" s="63"/>
      <c r="DQ254" s="158"/>
      <c r="DR254" s="158"/>
      <c r="DS254" s="158"/>
      <c r="DT254" s="158"/>
      <c r="DU254" s="158"/>
      <c r="DV254" s="158"/>
      <c r="DW254" s="158"/>
      <c r="DX254" s="158"/>
      <c r="DY254" s="158"/>
      <c r="DZ254" s="59"/>
      <c r="EA254" s="59"/>
      <c r="EB254" s="59"/>
      <c r="EC254" s="59"/>
      <c r="ED254" s="59"/>
      <c r="EE254" s="59"/>
      <c r="EF254" s="59"/>
      <c r="EG254" s="59"/>
    </row>
    <row r="255" spans="1:137" s="5" customFormat="1" ht="15.9" customHeight="1" outlineLevel="1" x14ac:dyDescent="0.3">
      <c r="A255" s="6" t="s">
        <v>22</v>
      </c>
      <c r="B255" s="6"/>
      <c r="C255" s="50" t="s">
        <v>31</v>
      </c>
      <c r="D255" s="147"/>
      <c r="E255" s="6" t="s">
        <v>474</v>
      </c>
      <c r="F255" s="6" t="s">
        <v>496</v>
      </c>
      <c r="G255" s="11" t="s">
        <v>498</v>
      </c>
      <c r="H255" s="11"/>
      <c r="I255" s="205" cm="1">
        <f t="array" ref="I255">IFERROR(LOOKUP(2,1/(N255:GR255&lt;&gt;""),N$4:DRA$4),"")</f>
        <v>45196</v>
      </c>
      <c r="J255" s="170" cm="1">
        <f t="array" ref="J255">IFERROR(_xlfn.XLOOKUP(TRUE,N255:EH255&lt;&gt;"",N255:EH255,,,-1)," ")</f>
        <v>25.4</v>
      </c>
      <c r="K255" s="49"/>
      <c r="L255" s="49"/>
      <c r="M255" s="284" t="s">
        <v>493</v>
      </c>
      <c r="N255" s="62"/>
      <c r="O255" s="62"/>
      <c r="P255" s="62"/>
      <c r="Q255" s="62"/>
      <c r="R255" s="62"/>
      <c r="S255" s="62"/>
      <c r="T255" s="62"/>
      <c r="U255" s="62"/>
      <c r="V255" s="62"/>
      <c r="W255" s="62"/>
      <c r="X255" s="62"/>
      <c r="Y255" s="62"/>
      <c r="Z255" s="62"/>
      <c r="AA255" s="62"/>
      <c r="AB255" s="62"/>
      <c r="AC255" s="62"/>
      <c r="AD255" s="62"/>
      <c r="AE255" s="62"/>
      <c r="AF255" s="62"/>
      <c r="AG255" s="62"/>
      <c r="AH255" s="62"/>
      <c r="AI255" s="62"/>
      <c r="AJ255" s="62"/>
      <c r="AK255" s="62"/>
      <c r="AL255" s="62"/>
      <c r="AM255" s="62"/>
      <c r="AN255" s="62"/>
      <c r="AO255" s="62"/>
      <c r="AP255" s="62"/>
      <c r="AQ255" s="62"/>
      <c r="AR255" s="62"/>
      <c r="AS255" s="62"/>
      <c r="AT255" s="62"/>
      <c r="AU255" s="63"/>
      <c r="AV255" s="63"/>
      <c r="AW255" s="62"/>
      <c r="AX255" s="63"/>
      <c r="AY255" s="62"/>
      <c r="AZ255" s="62"/>
      <c r="BA255" s="63"/>
      <c r="BB255" s="63"/>
      <c r="BC255" s="63"/>
      <c r="BD255" s="62"/>
      <c r="BE255" s="62"/>
      <c r="BF255" s="62"/>
      <c r="BG255" s="62"/>
      <c r="BH255" s="62"/>
      <c r="BI255" s="63"/>
      <c r="BJ255" s="63"/>
      <c r="BK255" s="62"/>
      <c r="BL255" s="62"/>
      <c r="BM255" s="62"/>
      <c r="BN255" s="63"/>
      <c r="BO255" s="62"/>
      <c r="BP255" s="64"/>
      <c r="BQ255" s="63"/>
      <c r="BR255" s="63"/>
      <c r="BS255" s="62"/>
      <c r="BT255" s="63"/>
      <c r="BU255" s="63"/>
      <c r="BV255" s="63"/>
      <c r="BW255" s="171">
        <v>25.4</v>
      </c>
      <c r="BX255" s="63"/>
      <c r="BY255" s="63"/>
      <c r="BZ255" s="63"/>
      <c r="CA255" s="63"/>
      <c r="CB255" s="62"/>
      <c r="CC255" s="51"/>
      <c r="CD255" s="63"/>
      <c r="CE255" s="63"/>
      <c r="CF255" s="62"/>
      <c r="CG255" s="63"/>
      <c r="CH255" s="63"/>
      <c r="CI255" s="63"/>
      <c r="CJ255" s="62"/>
      <c r="CK255" s="63"/>
      <c r="CL255" s="63"/>
      <c r="CM255" s="63"/>
      <c r="CN255" s="63"/>
      <c r="CO255" s="63"/>
      <c r="CP255" s="63"/>
      <c r="CQ255" s="63"/>
      <c r="CR255" s="63"/>
      <c r="CS255" s="63"/>
      <c r="CT255" s="63"/>
      <c r="CU255" s="63"/>
      <c r="CV255" s="63"/>
      <c r="CW255" s="63"/>
      <c r="CX255" s="63"/>
      <c r="CY255" s="63"/>
      <c r="CZ255" s="63"/>
      <c r="DA255" s="63"/>
      <c r="DB255" s="63"/>
      <c r="DC255" s="63"/>
      <c r="DD255" s="63"/>
      <c r="DE255" s="63"/>
      <c r="DF255" s="63"/>
      <c r="DG255" s="63"/>
      <c r="DH255" s="63"/>
      <c r="DI255" s="63"/>
      <c r="DJ255" s="63"/>
      <c r="DK255" s="63"/>
      <c r="DL255" s="63"/>
      <c r="DM255" s="63"/>
      <c r="DN255" s="63"/>
      <c r="DO255" s="63"/>
      <c r="DP255" s="63"/>
      <c r="DQ255" s="158"/>
      <c r="DR255" s="158"/>
      <c r="DS255" s="158"/>
      <c r="DT255" s="158"/>
      <c r="DU255" s="158"/>
      <c r="DV255" s="158"/>
      <c r="DW255" s="158"/>
      <c r="DX255" s="158"/>
      <c r="DY255" s="158"/>
      <c r="DZ255" s="65"/>
      <c r="EA255" s="65"/>
      <c r="EB255" s="65"/>
      <c r="EC255" s="65"/>
      <c r="ED255" s="65"/>
      <c r="EE255" s="65"/>
      <c r="EF255" s="65"/>
      <c r="EG255" s="65"/>
    </row>
    <row r="256" spans="1:137" s="5" customFormat="1" ht="15.9" customHeight="1" outlineLevel="1" x14ac:dyDescent="0.3">
      <c r="A256" s="6" t="s">
        <v>22</v>
      </c>
      <c r="B256" s="6"/>
      <c r="C256" s="50" t="s">
        <v>31</v>
      </c>
      <c r="D256" s="147"/>
      <c r="E256" s="6" t="s">
        <v>474</v>
      </c>
      <c r="F256" s="6" t="s">
        <v>496</v>
      </c>
      <c r="G256" s="11" t="s">
        <v>499</v>
      </c>
      <c r="H256" s="11"/>
      <c r="I256" s="205" cm="1">
        <f t="array" ref="I256">IFERROR(LOOKUP(2,1/(N256:GR256&lt;&gt;""),N$4:DRA$4),"")</f>
        <v>45196</v>
      </c>
      <c r="J256" s="170" cm="1">
        <f t="array" ref="J256">IFERROR(_xlfn.XLOOKUP(TRUE,N256:EH256&lt;&gt;"",N256:EH256,,,-1)," ")</f>
        <v>20.7</v>
      </c>
      <c r="K256" s="49"/>
      <c r="L256" s="49"/>
      <c r="M256" s="284" t="s">
        <v>493</v>
      </c>
      <c r="N256" s="62"/>
      <c r="O256" s="62"/>
      <c r="P256" s="62"/>
      <c r="Q256" s="62"/>
      <c r="R256" s="62"/>
      <c r="S256" s="62"/>
      <c r="T256" s="62"/>
      <c r="U256" s="62"/>
      <c r="V256" s="62"/>
      <c r="W256" s="62"/>
      <c r="X256" s="62"/>
      <c r="Y256" s="62"/>
      <c r="Z256" s="62"/>
      <c r="AA256" s="62"/>
      <c r="AB256" s="62"/>
      <c r="AC256" s="62"/>
      <c r="AD256" s="62"/>
      <c r="AE256" s="62"/>
      <c r="AF256" s="62"/>
      <c r="AG256" s="62"/>
      <c r="AH256" s="62"/>
      <c r="AI256" s="62"/>
      <c r="AJ256" s="62"/>
      <c r="AK256" s="62"/>
      <c r="AL256" s="62"/>
      <c r="AM256" s="62"/>
      <c r="AN256" s="62"/>
      <c r="AO256" s="62"/>
      <c r="AP256" s="62"/>
      <c r="AQ256" s="62"/>
      <c r="AR256" s="62"/>
      <c r="AS256" s="62"/>
      <c r="AT256" s="62"/>
      <c r="AU256" s="63"/>
      <c r="AV256" s="63"/>
      <c r="AW256" s="62"/>
      <c r="AX256" s="63"/>
      <c r="AY256" s="62"/>
      <c r="AZ256" s="62"/>
      <c r="BA256" s="63"/>
      <c r="BB256" s="63"/>
      <c r="BC256" s="63"/>
      <c r="BD256" s="62"/>
      <c r="BE256" s="62"/>
      <c r="BF256" s="62"/>
      <c r="BG256" s="62"/>
      <c r="BH256" s="62"/>
      <c r="BI256" s="63"/>
      <c r="BJ256" s="63"/>
      <c r="BK256" s="62"/>
      <c r="BL256" s="62"/>
      <c r="BM256" s="62"/>
      <c r="BN256" s="63"/>
      <c r="BO256" s="62"/>
      <c r="BP256" s="64"/>
      <c r="BQ256" s="63"/>
      <c r="BR256" s="63"/>
      <c r="BS256" s="62"/>
      <c r="BT256" s="63"/>
      <c r="BU256" s="63"/>
      <c r="BV256" s="63"/>
      <c r="BW256" s="171">
        <v>20.7</v>
      </c>
      <c r="BX256" s="63"/>
      <c r="BY256" s="63"/>
      <c r="BZ256" s="63"/>
      <c r="CA256" s="63"/>
      <c r="CB256" s="62"/>
      <c r="CC256" s="51"/>
      <c r="CD256" s="63"/>
      <c r="CE256" s="63"/>
      <c r="CF256" s="62"/>
      <c r="CG256" s="63"/>
      <c r="CH256" s="63"/>
      <c r="CI256" s="63"/>
      <c r="CJ256" s="62"/>
      <c r="CK256" s="63"/>
      <c r="CL256" s="63"/>
      <c r="CM256" s="63"/>
      <c r="CN256" s="63"/>
      <c r="CO256" s="63"/>
      <c r="CP256" s="63"/>
      <c r="CQ256" s="63"/>
      <c r="CR256" s="63"/>
      <c r="CS256" s="63"/>
      <c r="CT256" s="63"/>
      <c r="CU256" s="63"/>
      <c r="CV256" s="63"/>
      <c r="CW256" s="63"/>
      <c r="CX256" s="63"/>
      <c r="CY256" s="63"/>
      <c r="CZ256" s="63"/>
      <c r="DA256" s="63"/>
      <c r="DB256" s="63"/>
      <c r="DC256" s="63"/>
      <c r="DD256" s="63"/>
      <c r="DE256" s="63"/>
      <c r="DF256" s="63"/>
      <c r="DG256" s="63"/>
      <c r="DH256" s="63"/>
      <c r="DI256" s="63"/>
      <c r="DJ256" s="63"/>
      <c r="DK256" s="63"/>
      <c r="DL256" s="63"/>
      <c r="DM256" s="63"/>
      <c r="DN256" s="63"/>
      <c r="DO256" s="63"/>
      <c r="DP256" s="63"/>
      <c r="DQ256" s="158"/>
      <c r="DR256" s="158"/>
      <c r="DS256" s="158"/>
      <c r="DT256" s="158"/>
      <c r="DU256" s="158"/>
      <c r="DV256" s="158"/>
      <c r="DW256" s="158"/>
      <c r="DX256" s="158"/>
      <c r="DY256" s="158"/>
      <c r="DZ256" s="65"/>
      <c r="EA256" s="65"/>
      <c r="EB256" s="65"/>
      <c r="EC256" s="65"/>
      <c r="ED256" s="65"/>
      <c r="EE256" s="65"/>
      <c r="EF256" s="65"/>
      <c r="EG256" s="65"/>
    </row>
    <row r="257" spans="1:137" s="10" customFormat="1" ht="15.9" customHeight="1" outlineLevel="1" x14ac:dyDescent="0.3">
      <c r="A257" s="7" t="s">
        <v>22</v>
      </c>
      <c r="B257" s="7"/>
      <c r="C257" s="8" t="s">
        <v>31</v>
      </c>
      <c r="D257" s="146">
        <v>9.64</v>
      </c>
      <c r="E257" s="7" t="s">
        <v>474</v>
      </c>
      <c r="F257" s="7" t="s">
        <v>500</v>
      </c>
      <c r="G257" s="9" t="s">
        <v>501</v>
      </c>
      <c r="H257" s="9"/>
      <c r="I257" s="204" cm="1">
        <f t="array" ref="I257">IFERROR(LOOKUP(2,1/(N257:GR257&lt;&gt;""),N$4:DRA$4),"")</f>
        <v>45166</v>
      </c>
      <c r="J257" s="169" cm="1">
        <f t="array" ref="J257">IFERROR(_xlfn.XLOOKUP(TRUE,N257:EH257&lt;&gt;"",N257:EH257,,,-1)," ")</f>
        <v>20.8</v>
      </c>
      <c r="K257" s="45"/>
      <c r="L257" s="45"/>
      <c r="M257" s="282" t="s">
        <v>493</v>
      </c>
      <c r="N257" s="57"/>
      <c r="O257" s="57"/>
      <c r="P257" s="57"/>
      <c r="Q257" s="57"/>
      <c r="R257" s="57"/>
      <c r="S257" s="57"/>
      <c r="T257" s="57"/>
      <c r="U257" s="57"/>
      <c r="V257" s="57"/>
      <c r="W257" s="57"/>
      <c r="X257" s="57"/>
      <c r="Y257" s="57"/>
      <c r="Z257" s="57"/>
      <c r="AA257" s="57"/>
      <c r="AB257" s="57"/>
      <c r="AC257" s="57"/>
      <c r="AD257" s="57"/>
      <c r="AE257" s="57"/>
      <c r="AF257" s="57"/>
      <c r="AG257" s="57"/>
      <c r="AH257" s="57"/>
      <c r="AI257" s="57"/>
      <c r="AJ257" s="57"/>
      <c r="AK257" s="57"/>
      <c r="AL257" s="57"/>
      <c r="AM257" s="57"/>
      <c r="AN257" s="57"/>
      <c r="AO257" s="57"/>
      <c r="AP257" s="57"/>
      <c r="AQ257" s="57"/>
      <c r="AR257" s="57"/>
      <c r="AS257" s="171">
        <v>20.8</v>
      </c>
      <c r="AT257" s="57"/>
      <c r="AU257" s="61"/>
      <c r="AV257" s="61"/>
      <c r="AW257" s="57"/>
      <c r="AX257" s="61"/>
      <c r="AY257" s="57"/>
      <c r="AZ257" s="57"/>
      <c r="BA257" s="61"/>
      <c r="BB257" s="61"/>
      <c r="BC257" s="61"/>
      <c r="BD257" s="57"/>
      <c r="BE257" s="57"/>
      <c r="BF257" s="61"/>
      <c r="BG257" s="61"/>
      <c r="BH257" s="57"/>
      <c r="BI257" s="61"/>
      <c r="BJ257" s="61"/>
      <c r="BK257" s="57"/>
      <c r="BL257" s="61"/>
      <c r="BM257" s="57"/>
      <c r="BN257" s="61"/>
      <c r="BO257" s="57"/>
      <c r="BP257" s="58"/>
      <c r="BQ257" s="61"/>
      <c r="BR257" s="61"/>
      <c r="BS257" s="57"/>
      <c r="BT257" s="61"/>
      <c r="BU257" s="61"/>
      <c r="BV257" s="61"/>
      <c r="BW257" s="61"/>
      <c r="BX257" s="61"/>
      <c r="BY257" s="61"/>
      <c r="BZ257" s="61"/>
      <c r="CA257" s="61"/>
      <c r="CB257" s="57"/>
      <c r="CC257" s="61"/>
      <c r="CD257" s="61"/>
      <c r="CE257" s="61"/>
      <c r="CF257" s="57"/>
      <c r="CG257" s="61"/>
      <c r="CH257" s="61"/>
      <c r="CI257" s="61"/>
      <c r="CJ257" s="57"/>
      <c r="CK257" s="61"/>
      <c r="CL257" s="61"/>
      <c r="CM257" s="61"/>
      <c r="CN257" s="61"/>
      <c r="CO257" s="61"/>
      <c r="CP257" s="61"/>
      <c r="CQ257" s="61"/>
      <c r="CR257" s="61"/>
      <c r="CS257" s="61"/>
      <c r="CT257" s="61"/>
      <c r="CU257" s="61"/>
      <c r="CV257" s="61"/>
      <c r="CW257" s="61"/>
      <c r="CX257" s="61"/>
      <c r="CY257" s="61"/>
      <c r="CZ257" s="61"/>
      <c r="DA257" s="61"/>
      <c r="DB257" s="61"/>
      <c r="DC257" s="61"/>
      <c r="DD257" s="61"/>
      <c r="DE257" s="61"/>
      <c r="DF257" s="61"/>
      <c r="DG257" s="61"/>
      <c r="DH257" s="61"/>
      <c r="DI257" s="61"/>
      <c r="DJ257" s="61"/>
      <c r="DK257" s="61"/>
      <c r="DL257" s="61"/>
      <c r="DM257" s="61"/>
      <c r="DN257" s="61"/>
      <c r="DO257" s="61"/>
      <c r="DP257" s="61"/>
      <c r="DQ257" s="156"/>
      <c r="DR257" s="156"/>
      <c r="DS257" s="156"/>
      <c r="DT257" s="156"/>
      <c r="DU257" s="156"/>
      <c r="DV257" s="156"/>
      <c r="DW257" s="156"/>
      <c r="DX257" s="156"/>
      <c r="DY257" s="156"/>
      <c r="DZ257" s="59"/>
      <c r="EA257" s="59"/>
      <c r="EB257" s="59"/>
      <c r="EC257" s="59"/>
      <c r="ED257" s="59"/>
      <c r="EE257" s="59"/>
      <c r="EF257" s="59"/>
      <c r="EG257" s="59"/>
    </row>
    <row r="258" spans="1:137" s="5" customFormat="1" ht="15.9" customHeight="1" outlineLevel="1" x14ac:dyDescent="0.3">
      <c r="A258" s="6" t="s">
        <v>22</v>
      </c>
      <c r="B258" s="6"/>
      <c r="C258" s="50" t="s">
        <v>31</v>
      </c>
      <c r="D258" s="147">
        <v>15.18</v>
      </c>
      <c r="E258" s="6" t="s">
        <v>474</v>
      </c>
      <c r="F258" s="6" t="s">
        <v>502</v>
      </c>
      <c r="G258" s="11" t="s">
        <v>503</v>
      </c>
      <c r="H258" s="11"/>
      <c r="I258" s="205" cm="1">
        <f t="array" ref="I258">IFERROR(LOOKUP(2,1/(N258:GR258&lt;&gt;""),N$4:DRA$4),"")</f>
        <v>45196</v>
      </c>
      <c r="J258" s="170" cm="1">
        <f t="array" ref="J258">IFERROR(_xlfn.XLOOKUP(TRUE,N258:EH258&lt;&gt;"",N258:EH258,,,-1)," ")</f>
        <v>23.2</v>
      </c>
      <c r="K258" s="49"/>
      <c r="L258" s="49"/>
      <c r="M258" s="284" t="s">
        <v>493</v>
      </c>
      <c r="N258" s="62"/>
      <c r="O258" s="62"/>
      <c r="P258" s="62"/>
      <c r="Q258" s="62"/>
      <c r="R258" s="62"/>
      <c r="S258" s="62"/>
      <c r="T258" s="62"/>
      <c r="U258" s="62"/>
      <c r="V258" s="62"/>
      <c r="W258" s="62"/>
      <c r="X258" s="62"/>
      <c r="Y258" s="64"/>
      <c r="Z258" s="62"/>
      <c r="AA258" s="62"/>
      <c r="AB258" s="62"/>
      <c r="AC258" s="62"/>
      <c r="AD258" s="62"/>
      <c r="AE258" s="62"/>
      <c r="AF258" s="62"/>
      <c r="AG258" s="62"/>
      <c r="AH258" s="62"/>
      <c r="AI258" s="62"/>
      <c r="AJ258" s="62"/>
      <c r="AK258" s="62"/>
      <c r="AL258" s="62"/>
      <c r="AM258" s="62"/>
      <c r="AN258" s="62"/>
      <c r="AO258" s="62"/>
      <c r="AP258" s="62"/>
      <c r="AQ258" s="62"/>
      <c r="AR258" s="62"/>
      <c r="AS258" s="171">
        <v>19.600000000000001</v>
      </c>
      <c r="AT258" s="62"/>
      <c r="AU258" s="63"/>
      <c r="AV258" s="63"/>
      <c r="AW258" s="62"/>
      <c r="AX258" s="63"/>
      <c r="AY258" s="62"/>
      <c r="AZ258" s="62"/>
      <c r="BA258" s="63"/>
      <c r="BB258" s="63"/>
      <c r="BC258" s="63"/>
      <c r="BD258" s="62"/>
      <c r="BE258" s="62"/>
      <c r="BF258" s="63"/>
      <c r="BG258" s="63"/>
      <c r="BH258" s="62"/>
      <c r="BI258" s="63"/>
      <c r="BJ258" s="63"/>
      <c r="BK258" s="62"/>
      <c r="BL258" s="63"/>
      <c r="BM258" s="62"/>
      <c r="BN258" s="63"/>
      <c r="BO258" s="62"/>
      <c r="BP258" s="64"/>
      <c r="BQ258" s="63">
        <v>23.3</v>
      </c>
      <c r="BR258" s="63"/>
      <c r="BS258" s="62"/>
      <c r="BT258" s="63"/>
      <c r="BU258" s="63"/>
      <c r="BV258" s="63"/>
      <c r="BW258" s="318">
        <v>23.2</v>
      </c>
      <c r="BX258" s="63"/>
      <c r="BY258" s="63"/>
      <c r="BZ258" s="63"/>
      <c r="CA258" s="63"/>
      <c r="CB258" s="62"/>
      <c r="CC258" s="51"/>
      <c r="CD258" s="63"/>
      <c r="CE258" s="63"/>
      <c r="CF258" s="62"/>
      <c r="CG258" s="63"/>
      <c r="CH258" s="63"/>
      <c r="CI258" s="63"/>
      <c r="CJ258" s="62"/>
      <c r="CK258" s="63"/>
      <c r="CL258" s="63"/>
      <c r="CM258" s="63"/>
      <c r="CN258" s="63"/>
      <c r="CO258" s="63"/>
      <c r="CP258" s="63"/>
      <c r="CQ258" s="63"/>
      <c r="CR258" s="63"/>
      <c r="CS258" s="63"/>
      <c r="CT258" s="63"/>
      <c r="CU258" s="63"/>
      <c r="CV258" s="63"/>
      <c r="CW258" s="63"/>
      <c r="CX258" s="63"/>
      <c r="CY258" s="63"/>
      <c r="CZ258" s="63"/>
      <c r="DA258" s="63"/>
      <c r="DB258" s="63"/>
      <c r="DC258" s="63"/>
      <c r="DD258" s="63"/>
      <c r="DE258" s="63"/>
      <c r="DF258" s="63"/>
      <c r="DG258" s="63"/>
      <c r="DH258" s="63"/>
      <c r="DI258" s="63"/>
      <c r="DJ258" s="63"/>
      <c r="DK258" s="63"/>
      <c r="DL258" s="63"/>
      <c r="DM258" s="63"/>
      <c r="DN258" s="63"/>
      <c r="DO258" s="63"/>
      <c r="DP258" s="63"/>
      <c r="DQ258" s="158"/>
      <c r="DR258" s="158"/>
      <c r="DS258" s="158"/>
      <c r="DT258" s="158"/>
      <c r="DU258" s="158"/>
      <c r="DV258" s="158"/>
      <c r="DW258" s="158"/>
      <c r="DX258" s="158"/>
      <c r="DY258" s="158"/>
      <c r="DZ258" s="22"/>
      <c r="EA258" s="22"/>
      <c r="EB258" s="22"/>
      <c r="EC258" s="22"/>
      <c r="ED258" s="22"/>
      <c r="EE258" s="22"/>
      <c r="EF258" s="22"/>
      <c r="EG258" s="22"/>
    </row>
    <row r="259" spans="1:137" s="5" customFormat="1" ht="15.9" customHeight="1" outlineLevel="1" x14ac:dyDescent="0.3">
      <c r="A259" s="6" t="s">
        <v>22</v>
      </c>
      <c r="B259" s="6"/>
      <c r="C259" s="50" t="s">
        <v>31</v>
      </c>
      <c r="D259" s="147"/>
      <c r="E259" s="6" t="s">
        <v>474</v>
      </c>
      <c r="F259" s="6" t="s">
        <v>502</v>
      </c>
      <c r="G259" s="11" t="s">
        <v>504</v>
      </c>
      <c r="H259" s="11"/>
      <c r="I259" s="205" t="str" cm="1">
        <f t="array" ref="I259">IFERROR(LOOKUP(2,1/(N259:GR259&lt;&gt;""),N$4:DRA$4),"")</f>
        <v/>
      </c>
      <c r="J259" s="170" t="str" cm="1">
        <f t="array" ref="J259">IFERROR(_xlfn.XLOOKUP(TRUE,N259:EH259&lt;&gt;"",N259:EH259,,,-1)," ")</f>
        <v xml:space="preserve"> </v>
      </c>
      <c r="K259" s="49"/>
      <c r="L259" s="49"/>
      <c r="M259" s="284" t="s">
        <v>493</v>
      </c>
      <c r="N259" s="62"/>
      <c r="O259" s="62"/>
      <c r="P259" s="62"/>
      <c r="Q259" s="62"/>
      <c r="R259" s="62"/>
      <c r="S259" s="62"/>
      <c r="T259" s="62"/>
      <c r="U259" s="62"/>
      <c r="V259" s="62"/>
      <c r="W259" s="62"/>
      <c r="X259" s="62"/>
      <c r="Y259" s="62"/>
      <c r="Z259" s="62"/>
      <c r="AA259" s="62"/>
      <c r="AB259" s="62"/>
      <c r="AC259" s="62"/>
      <c r="AD259" s="62"/>
      <c r="AE259" s="62"/>
      <c r="AF259" s="62"/>
      <c r="AG259" s="62"/>
      <c r="AH259" s="62"/>
      <c r="AI259" s="62"/>
      <c r="AJ259" s="62"/>
      <c r="AK259" s="62"/>
      <c r="AL259" s="62"/>
      <c r="AM259" s="62"/>
      <c r="AN259" s="62"/>
      <c r="AO259" s="62"/>
      <c r="AP259" s="62"/>
      <c r="AQ259" s="62"/>
      <c r="AR259" s="62"/>
      <c r="AS259" s="62"/>
      <c r="AT259" s="62"/>
      <c r="AU259" s="63"/>
      <c r="AV259" s="63"/>
      <c r="AW259" s="62"/>
      <c r="AX259" s="63"/>
      <c r="AY259" s="62"/>
      <c r="AZ259" s="62"/>
      <c r="BA259" s="63"/>
      <c r="BB259" s="63"/>
      <c r="BC259" s="63"/>
      <c r="BD259" s="62"/>
      <c r="BE259" s="62"/>
      <c r="BF259" s="63"/>
      <c r="BG259" s="63"/>
      <c r="BH259" s="62"/>
      <c r="BI259" s="63"/>
      <c r="BJ259" s="63"/>
      <c r="BK259" s="62"/>
      <c r="BL259" s="63"/>
      <c r="BM259" s="62"/>
      <c r="BN259" s="63"/>
      <c r="BO259" s="62"/>
      <c r="BP259" s="64"/>
      <c r="BQ259" s="63"/>
      <c r="BR259" s="63"/>
      <c r="BS259" s="62"/>
      <c r="BT259" s="63"/>
      <c r="BU259" s="63"/>
      <c r="BV259" s="63"/>
      <c r="BW259" s="63"/>
      <c r="BX259" s="63"/>
      <c r="BY259" s="63"/>
      <c r="BZ259" s="63"/>
      <c r="CA259" s="63"/>
      <c r="CB259" s="62"/>
      <c r="CC259" s="51"/>
      <c r="CD259" s="63"/>
      <c r="CE259" s="63"/>
      <c r="CF259" s="62"/>
      <c r="CG259" s="63"/>
      <c r="CH259" s="63"/>
      <c r="CI259" s="63"/>
      <c r="CJ259" s="62"/>
      <c r="CK259" s="63"/>
      <c r="CL259" s="63"/>
      <c r="CM259" s="63"/>
      <c r="CN259" s="63"/>
      <c r="CO259" s="63"/>
      <c r="CP259" s="63"/>
      <c r="CQ259" s="63"/>
      <c r="CR259" s="63"/>
      <c r="CS259" s="63"/>
      <c r="CT259" s="63"/>
      <c r="CU259" s="63"/>
      <c r="CV259" s="63"/>
      <c r="CW259" s="63"/>
      <c r="CX259" s="63"/>
      <c r="CY259" s="63"/>
      <c r="CZ259" s="63"/>
      <c r="DA259" s="63"/>
      <c r="DB259" s="63"/>
      <c r="DC259" s="63"/>
      <c r="DD259" s="63"/>
      <c r="DE259" s="63"/>
      <c r="DF259" s="63"/>
      <c r="DG259" s="63"/>
      <c r="DH259" s="63"/>
      <c r="DI259" s="63"/>
      <c r="DJ259" s="63"/>
      <c r="DK259" s="63"/>
      <c r="DL259" s="63"/>
      <c r="DM259" s="63"/>
      <c r="DN259" s="63"/>
      <c r="DO259" s="63"/>
      <c r="DP259" s="63"/>
      <c r="DQ259" s="158"/>
      <c r="DR259" s="158"/>
      <c r="DS259" s="158"/>
      <c r="DT259" s="158"/>
      <c r="DU259" s="158"/>
      <c r="DV259" s="158"/>
      <c r="DW259" s="158"/>
      <c r="DX259" s="158"/>
      <c r="DY259" s="158"/>
      <c r="DZ259" s="22"/>
      <c r="EA259" s="22"/>
      <c r="EB259" s="22"/>
      <c r="EC259" s="22"/>
      <c r="ED259" s="22"/>
      <c r="EE259" s="22"/>
      <c r="EF259" s="22"/>
      <c r="EG259" s="22"/>
    </row>
    <row r="260" spans="1:137" s="5" customFormat="1" ht="15.9" customHeight="1" outlineLevel="1" x14ac:dyDescent="0.3">
      <c r="A260" s="6" t="s">
        <v>22</v>
      </c>
      <c r="B260" s="6"/>
      <c r="C260" s="50" t="s">
        <v>31</v>
      </c>
      <c r="D260" s="147"/>
      <c r="E260" s="6" t="s">
        <v>474</v>
      </c>
      <c r="F260" s="6" t="s">
        <v>502</v>
      </c>
      <c r="G260" s="11" t="s">
        <v>505</v>
      </c>
      <c r="H260" s="11"/>
      <c r="I260" s="205" t="str" cm="1">
        <f t="array" ref="I260">IFERROR(LOOKUP(2,1/(N260:GR260&lt;&gt;""),N$4:DRA$4),"")</f>
        <v/>
      </c>
      <c r="J260" s="170" t="str" cm="1">
        <f t="array" ref="J260">IFERROR(_xlfn.XLOOKUP(TRUE,N260:EH260&lt;&gt;"",N260:EH260,,,-1)," ")</f>
        <v xml:space="preserve"> </v>
      </c>
      <c r="K260" s="49"/>
      <c r="L260" s="49"/>
      <c r="M260" s="284" t="s">
        <v>493</v>
      </c>
      <c r="N260" s="62"/>
      <c r="O260" s="62"/>
      <c r="P260" s="62"/>
      <c r="Q260" s="62"/>
      <c r="R260" s="62"/>
      <c r="S260" s="62"/>
      <c r="T260" s="62"/>
      <c r="U260" s="62"/>
      <c r="V260" s="62"/>
      <c r="W260" s="62"/>
      <c r="X260" s="62"/>
      <c r="Y260" s="62"/>
      <c r="Z260" s="62"/>
      <c r="AA260" s="62"/>
      <c r="AB260" s="62"/>
      <c r="AC260" s="62"/>
      <c r="AD260" s="62"/>
      <c r="AE260" s="62"/>
      <c r="AF260" s="62"/>
      <c r="AG260" s="62"/>
      <c r="AH260" s="62"/>
      <c r="AI260" s="62"/>
      <c r="AJ260" s="62"/>
      <c r="AK260" s="62"/>
      <c r="AL260" s="62"/>
      <c r="AM260" s="62"/>
      <c r="AN260" s="62"/>
      <c r="AO260" s="62"/>
      <c r="AP260" s="62"/>
      <c r="AQ260" s="62"/>
      <c r="AR260" s="62"/>
      <c r="AS260" s="62"/>
      <c r="AT260" s="62"/>
      <c r="AU260" s="63"/>
      <c r="AV260" s="63"/>
      <c r="AW260" s="62"/>
      <c r="AX260" s="63"/>
      <c r="AY260" s="62"/>
      <c r="AZ260" s="62"/>
      <c r="BA260" s="63"/>
      <c r="BB260" s="63"/>
      <c r="BC260" s="63"/>
      <c r="BD260" s="62"/>
      <c r="BE260" s="62"/>
      <c r="BF260" s="63"/>
      <c r="BG260" s="63"/>
      <c r="BH260" s="62"/>
      <c r="BI260" s="63"/>
      <c r="BJ260" s="63"/>
      <c r="BK260" s="62"/>
      <c r="BL260" s="63"/>
      <c r="BM260" s="62"/>
      <c r="BN260" s="63"/>
      <c r="BO260" s="62"/>
      <c r="BP260" s="64"/>
      <c r="BQ260" s="63"/>
      <c r="BR260" s="63"/>
      <c r="BS260" s="62"/>
      <c r="BT260" s="63"/>
      <c r="BU260" s="63"/>
      <c r="BV260" s="63"/>
      <c r="BW260" s="63"/>
      <c r="BX260" s="63"/>
      <c r="BY260" s="63"/>
      <c r="BZ260" s="63"/>
      <c r="CA260" s="63"/>
      <c r="CB260" s="62"/>
      <c r="CC260" s="51"/>
      <c r="CD260" s="63"/>
      <c r="CE260" s="63"/>
      <c r="CF260" s="62"/>
      <c r="CG260" s="63"/>
      <c r="CH260" s="63"/>
      <c r="CI260" s="63"/>
      <c r="CJ260" s="62"/>
      <c r="CK260" s="63"/>
      <c r="CL260" s="63"/>
      <c r="CM260" s="63"/>
      <c r="CN260" s="63"/>
      <c r="CO260" s="63"/>
      <c r="CP260" s="63"/>
      <c r="CQ260" s="63"/>
      <c r="CR260" s="63"/>
      <c r="CS260" s="63"/>
      <c r="CT260" s="63"/>
      <c r="CU260" s="63"/>
      <c r="CV260" s="63"/>
      <c r="CW260" s="63"/>
      <c r="CX260" s="63"/>
      <c r="CY260" s="63"/>
      <c r="CZ260" s="63"/>
      <c r="DA260" s="63"/>
      <c r="DB260" s="63"/>
      <c r="DC260" s="63"/>
      <c r="DD260" s="63"/>
      <c r="DE260" s="63"/>
      <c r="DF260" s="63"/>
      <c r="DG260" s="63"/>
      <c r="DH260" s="63"/>
      <c r="DI260" s="63"/>
      <c r="DJ260" s="63"/>
      <c r="DK260" s="63"/>
      <c r="DL260" s="63"/>
      <c r="DM260" s="63"/>
      <c r="DN260" s="63"/>
      <c r="DO260" s="63"/>
      <c r="DP260" s="63"/>
      <c r="DQ260" s="158"/>
      <c r="DR260" s="158"/>
      <c r="DS260" s="158"/>
      <c r="DT260" s="158"/>
      <c r="DU260" s="158"/>
      <c r="DV260" s="158"/>
      <c r="DW260" s="158"/>
      <c r="DX260" s="158"/>
      <c r="DY260" s="158"/>
      <c r="DZ260" s="59"/>
      <c r="EA260" s="59"/>
      <c r="EB260" s="59"/>
      <c r="EC260" s="59"/>
      <c r="ED260" s="59"/>
      <c r="EE260" s="59"/>
      <c r="EF260" s="59"/>
      <c r="EG260" s="59"/>
    </row>
    <row r="261" spans="1:137" s="10" customFormat="1" ht="15.9" customHeight="1" outlineLevel="1" x14ac:dyDescent="0.3">
      <c r="A261" s="7" t="s">
        <v>22</v>
      </c>
      <c r="B261" s="7"/>
      <c r="C261" s="8" t="s">
        <v>31</v>
      </c>
      <c r="D261" s="146">
        <v>4.53</v>
      </c>
      <c r="E261" s="7" t="s">
        <v>474</v>
      </c>
      <c r="F261" s="7" t="s">
        <v>506</v>
      </c>
      <c r="G261" s="9" t="s">
        <v>507</v>
      </c>
      <c r="H261" s="9"/>
      <c r="I261" s="204" cm="1">
        <f t="array" ref="I261">IFERROR(LOOKUP(2,1/(N261:GR261&lt;&gt;""),N$4:DRA$4),"")</f>
        <v>45196</v>
      </c>
      <c r="J261" s="169" cm="1">
        <f t="array" ref="J261">IFERROR(_xlfn.XLOOKUP(TRUE,N261:EH261&lt;&gt;"",N261:EH261,,,-1)," ")</f>
        <v>21.1</v>
      </c>
      <c r="K261" s="45"/>
      <c r="L261" s="45"/>
      <c r="M261" s="282" t="s">
        <v>493</v>
      </c>
      <c r="N261" s="57"/>
      <c r="O261" s="57"/>
      <c r="P261" s="57"/>
      <c r="Q261" s="57"/>
      <c r="R261" s="57"/>
      <c r="S261" s="57"/>
      <c r="T261" s="57"/>
      <c r="U261" s="57"/>
      <c r="V261" s="57"/>
      <c r="W261" s="57"/>
      <c r="X261" s="57"/>
      <c r="Y261" s="57"/>
      <c r="Z261" s="57"/>
      <c r="AA261" s="57"/>
      <c r="AB261" s="57"/>
      <c r="AC261" s="57"/>
      <c r="AD261" s="57"/>
      <c r="AE261" s="57"/>
      <c r="AF261" s="57"/>
      <c r="AG261" s="57"/>
      <c r="AH261" s="57"/>
      <c r="AI261" s="57"/>
      <c r="AJ261" s="57"/>
      <c r="AK261" s="57"/>
      <c r="AL261" s="57"/>
      <c r="AM261" s="57"/>
      <c r="AN261" s="57"/>
      <c r="AO261" s="57"/>
      <c r="AP261" s="57"/>
      <c r="AQ261" s="57"/>
      <c r="AR261" s="57"/>
      <c r="AS261" s="171">
        <v>18.899999999999999</v>
      </c>
      <c r="AT261" s="57"/>
      <c r="AU261" s="61"/>
      <c r="AV261" s="61"/>
      <c r="AW261" s="57"/>
      <c r="AX261" s="61"/>
      <c r="AY261" s="57"/>
      <c r="AZ261" s="57"/>
      <c r="BA261" s="61"/>
      <c r="BB261" s="61"/>
      <c r="BC261" s="61"/>
      <c r="BD261" s="61"/>
      <c r="BE261" s="61"/>
      <c r="BF261" s="61"/>
      <c r="BG261" s="61"/>
      <c r="BH261" s="57"/>
      <c r="BI261" s="61"/>
      <c r="BJ261" s="61"/>
      <c r="BK261" s="57"/>
      <c r="BL261" s="61"/>
      <c r="BM261" s="57"/>
      <c r="BN261" s="61"/>
      <c r="BO261" s="57"/>
      <c r="BP261" s="58"/>
      <c r="BQ261" s="61">
        <v>22.3</v>
      </c>
      <c r="BR261" s="61"/>
      <c r="BS261" s="57"/>
      <c r="BT261" s="61"/>
      <c r="BU261" s="61"/>
      <c r="BV261" s="61"/>
      <c r="BW261" s="318">
        <v>21.1</v>
      </c>
      <c r="BX261" s="61"/>
      <c r="BY261" s="61"/>
      <c r="BZ261" s="61"/>
      <c r="CA261" s="61"/>
      <c r="CB261" s="57"/>
      <c r="CC261" s="27"/>
      <c r="CD261" s="61"/>
      <c r="CE261" s="61"/>
      <c r="CF261" s="57"/>
      <c r="CG261" s="61"/>
      <c r="CH261" s="61"/>
      <c r="CI261" s="61"/>
      <c r="CJ261" s="57"/>
      <c r="CK261" s="61"/>
      <c r="CL261" s="61"/>
      <c r="CM261" s="61"/>
      <c r="CN261" s="61"/>
      <c r="CO261" s="61"/>
      <c r="CP261" s="61"/>
      <c r="CQ261" s="61"/>
      <c r="CR261" s="61"/>
      <c r="CS261" s="61"/>
      <c r="CT261" s="61"/>
      <c r="CU261" s="61"/>
      <c r="CV261" s="61"/>
      <c r="CW261" s="61"/>
      <c r="CX261" s="61"/>
      <c r="CY261" s="61"/>
      <c r="CZ261" s="61"/>
      <c r="DA261" s="61"/>
      <c r="DB261" s="61"/>
      <c r="DC261" s="61"/>
      <c r="DD261" s="61"/>
      <c r="DE261" s="61"/>
      <c r="DF261" s="61"/>
      <c r="DG261" s="61"/>
      <c r="DH261" s="61"/>
      <c r="DI261" s="61"/>
      <c r="DJ261" s="61"/>
      <c r="DK261" s="61"/>
      <c r="DL261" s="61"/>
      <c r="DM261" s="61"/>
      <c r="DN261" s="61"/>
      <c r="DO261" s="61"/>
      <c r="DP261" s="61"/>
      <c r="DQ261" s="156"/>
      <c r="DR261" s="156"/>
      <c r="DS261" s="156"/>
      <c r="DT261" s="156"/>
      <c r="DU261" s="156"/>
      <c r="DV261" s="156"/>
      <c r="DW261" s="156"/>
      <c r="DX261" s="156"/>
      <c r="DY261" s="156"/>
      <c r="DZ261" s="65"/>
      <c r="EA261" s="65"/>
      <c r="EB261" s="65"/>
      <c r="EC261" s="65"/>
      <c r="ED261" s="65"/>
      <c r="EE261" s="65"/>
      <c r="EF261" s="65"/>
      <c r="EG261" s="65"/>
    </row>
    <row r="262" spans="1:137" s="5" customFormat="1" ht="15.9" customHeight="1" outlineLevel="1" x14ac:dyDescent="0.3">
      <c r="A262" s="6" t="s">
        <v>22</v>
      </c>
      <c r="B262" s="6"/>
      <c r="C262" s="50" t="s">
        <v>31</v>
      </c>
      <c r="D262" s="147">
        <v>7.27</v>
      </c>
      <c r="E262" s="6" t="s">
        <v>474</v>
      </c>
      <c r="F262" s="6" t="s">
        <v>508</v>
      </c>
      <c r="G262" s="11" t="s">
        <v>509</v>
      </c>
      <c r="H262" s="11"/>
      <c r="I262" s="205" cm="1">
        <f t="array" ref="I262">IFERROR(LOOKUP(2,1/(N262:GR262&lt;&gt;""),N$4:DRA$4),"")</f>
        <v>45176</v>
      </c>
      <c r="J262" s="218" cm="1">
        <f t="array" ref="J262">IFERROR(_xlfn.XLOOKUP(TRUE,N262:EH262&lt;&gt;"",N262:EH262,,,-1)," ")</f>
        <v>26.7</v>
      </c>
      <c r="K262" s="49">
        <v>23</v>
      </c>
      <c r="L262" s="49"/>
      <c r="M262" s="284" t="s">
        <v>158</v>
      </c>
      <c r="N262" s="62"/>
      <c r="O262" s="62"/>
      <c r="P262" s="62"/>
      <c r="Q262" s="62"/>
      <c r="R262" s="62"/>
      <c r="S262" s="62"/>
      <c r="T262" s="62"/>
      <c r="U262" s="62"/>
      <c r="V262" s="62"/>
      <c r="W262" s="62"/>
      <c r="X262" s="62"/>
      <c r="Y262" s="62"/>
      <c r="Z262" s="62"/>
      <c r="AA262" s="62"/>
      <c r="AB262" s="62"/>
      <c r="AC262" s="62"/>
      <c r="AD262" s="62"/>
      <c r="AE262" s="62"/>
      <c r="AF262" s="62">
        <v>20</v>
      </c>
      <c r="AG262" s="62"/>
      <c r="AH262" s="62"/>
      <c r="AI262" s="62"/>
      <c r="AJ262" s="62"/>
      <c r="AK262" s="62"/>
      <c r="AL262" s="62"/>
      <c r="AM262" s="62"/>
      <c r="AN262" s="62">
        <v>21.7</v>
      </c>
      <c r="AO262" s="62"/>
      <c r="AP262" s="62"/>
      <c r="AQ262" s="62"/>
      <c r="AR262" s="62"/>
      <c r="AS262" s="62"/>
      <c r="AT262" s="64">
        <v>22.9</v>
      </c>
      <c r="AU262" s="63"/>
      <c r="AV262" s="63"/>
      <c r="AW262" s="62"/>
      <c r="AX262" s="63"/>
      <c r="AY262" s="62"/>
      <c r="AZ262" s="62"/>
      <c r="BA262" s="63"/>
      <c r="BB262" s="63"/>
      <c r="BC262" s="63">
        <v>26.7</v>
      </c>
      <c r="BD262" s="62"/>
      <c r="BE262" s="62"/>
      <c r="BF262" s="62"/>
      <c r="BG262" s="62"/>
      <c r="BH262" s="62"/>
      <c r="BI262" s="63"/>
      <c r="BJ262" s="63"/>
      <c r="BK262" s="62"/>
      <c r="BL262" s="62"/>
      <c r="BM262" s="62"/>
      <c r="BN262" s="63"/>
      <c r="BO262" s="62"/>
      <c r="BP262" s="64"/>
      <c r="BQ262" s="63"/>
      <c r="BR262" s="63"/>
      <c r="BS262" s="62"/>
      <c r="BT262" s="63"/>
      <c r="BU262" s="63"/>
      <c r="BV262" s="63"/>
      <c r="BW262" s="63"/>
      <c r="BX262" s="63"/>
      <c r="BY262" s="63"/>
      <c r="BZ262" s="63"/>
      <c r="CA262" s="63"/>
      <c r="CB262" s="62"/>
      <c r="CC262" s="63"/>
      <c r="CD262" s="63"/>
      <c r="CE262" s="63"/>
      <c r="CF262" s="62"/>
      <c r="CG262" s="63"/>
      <c r="CH262" s="63"/>
      <c r="CI262" s="63"/>
      <c r="CJ262" s="62"/>
      <c r="CK262" s="63"/>
      <c r="CL262" s="63"/>
      <c r="CM262" s="63"/>
      <c r="CN262" s="63"/>
      <c r="CO262" s="63"/>
      <c r="CP262" s="63"/>
      <c r="CQ262" s="63"/>
      <c r="CR262" s="63"/>
      <c r="CS262" s="63"/>
      <c r="CT262" s="63"/>
      <c r="CU262" s="63"/>
      <c r="CV262" s="63"/>
      <c r="CW262" s="63"/>
      <c r="CX262" s="63"/>
      <c r="CY262" s="63"/>
      <c r="CZ262" s="63"/>
      <c r="DA262" s="63"/>
      <c r="DB262" s="63"/>
      <c r="DC262" s="63"/>
      <c r="DD262" s="63"/>
      <c r="DE262" s="63"/>
      <c r="DF262" s="63"/>
      <c r="DG262" s="63"/>
      <c r="DH262" s="63"/>
      <c r="DI262" s="63"/>
      <c r="DJ262" s="63"/>
      <c r="DK262" s="63"/>
      <c r="DL262" s="63"/>
      <c r="DM262" s="63"/>
      <c r="DN262" s="63"/>
      <c r="DO262" s="63"/>
      <c r="DP262" s="63"/>
      <c r="DQ262" s="158"/>
      <c r="DR262" s="158"/>
      <c r="DS262" s="158"/>
      <c r="DT262" s="158"/>
      <c r="DU262" s="158"/>
      <c r="DV262" s="158"/>
      <c r="DW262" s="158"/>
      <c r="DX262" s="158"/>
      <c r="DY262" s="158"/>
      <c r="DZ262" s="65"/>
      <c r="EA262" s="65"/>
      <c r="EB262" s="65"/>
      <c r="EC262" s="65"/>
      <c r="ED262" s="65"/>
      <c r="EE262" s="65"/>
      <c r="EF262" s="65"/>
      <c r="EG262" s="65"/>
    </row>
    <row r="263" spans="1:137" s="10" customFormat="1" ht="15.9" customHeight="1" outlineLevel="1" x14ac:dyDescent="0.3">
      <c r="A263" s="7" t="s">
        <v>22</v>
      </c>
      <c r="B263" s="7"/>
      <c r="C263" s="8" t="s">
        <v>44</v>
      </c>
      <c r="D263" s="146">
        <v>42.9</v>
      </c>
      <c r="E263" s="7" t="s">
        <v>474</v>
      </c>
      <c r="F263" s="7" t="s">
        <v>510</v>
      </c>
      <c r="G263" s="9" t="s">
        <v>511</v>
      </c>
      <c r="H263" s="9" t="s">
        <v>22</v>
      </c>
      <c r="I263" s="204" cm="1">
        <f t="array" ref="I263">IFERROR(LOOKUP(2,1/(N263:GR263&lt;&gt;""),N$4:DRA$4),"")</f>
        <v>45203</v>
      </c>
      <c r="J263" s="169" cm="1">
        <f t="array" ref="J263">IFERROR(_xlfn.XLOOKUP(TRUE,N263:EH263&lt;&gt;"",N263:EH263,,,-1)," ")</f>
        <v>24.4</v>
      </c>
      <c r="K263" s="45">
        <v>21.5</v>
      </c>
      <c r="L263" s="45"/>
      <c r="M263" s="282" t="s">
        <v>34</v>
      </c>
      <c r="N263" s="57"/>
      <c r="O263" s="57"/>
      <c r="P263" s="57"/>
      <c r="Q263" s="57"/>
      <c r="R263" s="57"/>
      <c r="S263" s="57"/>
      <c r="T263" s="57"/>
      <c r="U263" s="57"/>
      <c r="V263" s="57"/>
      <c r="W263" s="57"/>
      <c r="X263" s="57"/>
      <c r="Y263" s="57"/>
      <c r="Z263" s="57"/>
      <c r="AA263" s="57"/>
      <c r="AB263" s="57"/>
      <c r="AC263" s="57"/>
      <c r="AD263" s="57"/>
      <c r="AE263" s="57"/>
      <c r="AF263" s="57"/>
      <c r="AG263" s="57"/>
      <c r="AH263" s="57"/>
      <c r="AI263" s="57"/>
      <c r="AJ263" s="57"/>
      <c r="AK263" s="57"/>
      <c r="AL263" s="57"/>
      <c r="AM263" s="57"/>
      <c r="AN263" s="57"/>
      <c r="AO263" s="57"/>
      <c r="AP263" s="57"/>
      <c r="AQ263" s="57"/>
      <c r="AR263" s="57"/>
      <c r="AS263" s="57"/>
      <c r="AT263" s="57"/>
      <c r="AU263" s="61"/>
      <c r="AV263" s="61"/>
      <c r="AW263" s="57"/>
      <c r="AX263" s="61"/>
      <c r="AY263" s="57"/>
      <c r="AZ263" s="57"/>
      <c r="BA263" s="61"/>
      <c r="BB263" s="61"/>
      <c r="BC263" s="61"/>
      <c r="BD263" s="57"/>
      <c r="BE263" s="57"/>
      <c r="BF263" s="57"/>
      <c r="BG263" s="57"/>
      <c r="BH263" s="57"/>
      <c r="BI263" s="61">
        <v>21.3</v>
      </c>
      <c r="BJ263" s="61"/>
      <c r="BK263" s="57"/>
      <c r="BL263" s="57"/>
      <c r="BM263" s="57"/>
      <c r="BN263" s="61"/>
      <c r="BO263" s="57"/>
      <c r="BP263" s="58"/>
      <c r="BQ263" s="61"/>
      <c r="BR263" s="57"/>
      <c r="BS263" s="57"/>
      <c r="BT263" s="57"/>
      <c r="BU263" s="57"/>
      <c r="BV263" s="57"/>
      <c r="BW263" s="57"/>
      <c r="BX263" s="57">
        <v>23.3</v>
      </c>
      <c r="BY263" s="57"/>
      <c r="BZ263" s="57"/>
      <c r="CA263" s="57"/>
      <c r="CB263" s="57"/>
      <c r="CC263" s="27"/>
      <c r="CD263" s="61">
        <v>24.4</v>
      </c>
      <c r="CE263" s="61"/>
      <c r="CF263" s="57"/>
      <c r="CG263" s="57"/>
      <c r="CH263" s="61"/>
      <c r="CI263" s="57"/>
      <c r="CJ263" s="57"/>
      <c r="CK263" s="61"/>
      <c r="CL263" s="61"/>
      <c r="CM263" s="61"/>
      <c r="CN263" s="61"/>
      <c r="CO263" s="61"/>
      <c r="CP263" s="61"/>
      <c r="CQ263" s="61"/>
      <c r="CR263" s="61"/>
      <c r="CS263" s="61"/>
      <c r="CT263" s="61"/>
      <c r="CU263" s="61"/>
      <c r="CV263" s="61"/>
      <c r="CW263" s="61"/>
      <c r="CX263" s="61"/>
      <c r="CY263" s="61"/>
      <c r="CZ263" s="61"/>
      <c r="DA263" s="61"/>
      <c r="DB263" s="61"/>
      <c r="DC263" s="61"/>
      <c r="DD263" s="61"/>
      <c r="DE263" s="61"/>
      <c r="DF263" s="61"/>
      <c r="DG263" s="61"/>
      <c r="DH263" s="61"/>
      <c r="DI263" s="61"/>
      <c r="DJ263" s="61"/>
      <c r="DK263" s="61"/>
      <c r="DL263" s="61"/>
      <c r="DM263" s="61"/>
      <c r="DN263" s="61"/>
      <c r="DO263" s="61"/>
      <c r="DP263" s="61"/>
      <c r="DQ263" s="156"/>
      <c r="DR263" s="156"/>
      <c r="DS263" s="156"/>
      <c r="DT263" s="156"/>
      <c r="DU263" s="156"/>
      <c r="DV263" s="156"/>
      <c r="DW263" s="156"/>
      <c r="DX263" s="156"/>
      <c r="DY263" s="156"/>
      <c r="DZ263" s="22"/>
      <c r="EA263" s="22"/>
      <c r="EB263" s="22"/>
      <c r="EC263" s="22"/>
      <c r="ED263" s="22"/>
      <c r="EE263" s="22"/>
      <c r="EF263" s="22"/>
      <c r="EG263" s="22"/>
    </row>
    <row r="264" spans="1:137" s="10" customFormat="1" ht="15.9" customHeight="1" outlineLevel="1" x14ac:dyDescent="0.3">
      <c r="A264" s="7" t="s">
        <v>22</v>
      </c>
      <c r="B264" s="7"/>
      <c r="C264" s="8" t="s">
        <v>44</v>
      </c>
      <c r="D264" s="146"/>
      <c r="E264" s="7" t="s">
        <v>474</v>
      </c>
      <c r="F264" s="7" t="s">
        <v>510</v>
      </c>
      <c r="G264" s="9" t="s">
        <v>512</v>
      </c>
      <c r="H264" s="9"/>
      <c r="I264" s="204" t="str" cm="1">
        <f t="array" ref="I264">IFERROR(LOOKUP(2,1/(N264:GR264&lt;&gt;""),N$4:DRA$4),"")</f>
        <v/>
      </c>
      <c r="J264" s="169" t="str" cm="1">
        <f t="array" ref="J264">IFERROR(_xlfn.XLOOKUP(TRUE,N264:EH264&lt;&gt;"",N264:EH264,,,-1)," ")</f>
        <v xml:space="preserve"> </v>
      </c>
      <c r="K264" s="45">
        <v>21.5</v>
      </c>
      <c r="L264" s="45"/>
      <c r="M264" s="282" t="s">
        <v>34</v>
      </c>
      <c r="N264" s="57"/>
      <c r="O264" s="57"/>
      <c r="P264" s="57"/>
      <c r="Q264" s="57"/>
      <c r="R264" s="57"/>
      <c r="S264" s="57"/>
      <c r="T264" s="57"/>
      <c r="U264" s="57"/>
      <c r="V264" s="57"/>
      <c r="W264" s="57"/>
      <c r="X264" s="57"/>
      <c r="Y264" s="57"/>
      <c r="Z264" s="57"/>
      <c r="AA264" s="57"/>
      <c r="AB264" s="57"/>
      <c r="AC264" s="57"/>
      <c r="AD264" s="57"/>
      <c r="AE264" s="57"/>
      <c r="AF264" s="57"/>
      <c r="AG264" s="57"/>
      <c r="AH264" s="57"/>
      <c r="AI264" s="57"/>
      <c r="AJ264" s="57"/>
      <c r="AK264" s="57"/>
      <c r="AL264" s="57"/>
      <c r="AM264" s="57"/>
      <c r="AN264" s="57"/>
      <c r="AO264" s="57"/>
      <c r="AP264" s="57"/>
      <c r="AQ264" s="57"/>
      <c r="AR264" s="57"/>
      <c r="AS264" s="57"/>
      <c r="AT264" s="57"/>
      <c r="AU264" s="61"/>
      <c r="AV264" s="61"/>
      <c r="AW264" s="57"/>
      <c r="AX264" s="61"/>
      <c r="AY264" s="57"/>
      <c r="AZ264" s="57"/>
      <c r="BA264" s="61"/>
      <c r="BB264" s="61"/>
      <c r="BC264" s="61"/>
      <c r="BD264" s="57"/>
      <c r="BE264" s="57"/>
      <c r="BF264" s="57"/>
      <c r="BG264" s="57"/>
      <c r="BH264" s="57"/>
      <c r="BI264" s="61"/>
      <c r="BJ264" s="61"/>
      <c r="BK264" s="57"/>
      <c r="BL264" s="57"/>
      <c r="BM264" s="57"/>
      <c r="BN264" s="61"/>
      <c r="BO264" s="57"/>
      <c r="BP264" s="58"/>
      <c r="BQ264" s="61"/>
      <c r="BR264" s="57"/>
      <c r="BS264" s="57"/>
      <c r="BT264" s="57"/>
      <c r="BU264" s="57"/>
      <c r="BV264" s="57"/>
      <c r="BW264" s="57"/>
      <c r="BX264" s="57"/>
      <c r="BY264" s="57"/>
      <c r="BZ264" s="57"/>
      <c r="CA264" s="57"/>
      <c r="CB264" s="57"/>
      <c r="CC264" s="27"/>
      <c r="CD264" s="61"/>
      <c r="CE264" s="61"/>
      <c r="CF264" s="57"/>
      <c r="CG264" s="57"/>
      <c r="CH264" s="61"/>
      <c r="CI264" s="57"/>
      <c r="CJ264" s="57"/>
      <c r="CK264" s="61"/>
      <c r="CL264" s="61"/>
      <c r="CM264" s="61"/>
      <c r="CN264" s="61"/>
      <c r="CO264" s="61"/>
      <c r="CP264" s="61"/>
      <c r="CQ264" s="61"/>
      <c r="CR264" s="61"/>
      <c r="CS264" s="61"/>
      <c r="CT264" s="61"/>
      <c r="CU264" s="61"/>
      <c r="CV264" s="61"/>
      <c r="CW264" s="61"/>
      <c r="CX264" s="61"/>
      <c r="CY264" s="61"/>
      <c r="CZ264" s="61"/>
      <c r="DA264" s="61"/>
      <c r="DB264" s="61"/>
      <c r="DC264" s="61"/>
      <c r="DD264" s="61"/>
      <c r="DE264" s="61"/>
      <c r="DF264" s="61"/>
      <c r="DG264" s="61"/>
      <c r="DH264" s="61"/>
      <c r="DI264" s="61"/>
      <c r="DJ264" s="61"/>
      <c r="DK264" s="61"/>
      <c r="DL264" s="61"/>
      <c r="DM264" s="61"/>
      <c r="DN264" s="61"/>
      <c r="DO264" s="61"/>
      <c r="DP264" s="61"/>
      <c r="DQ264" s="156"/>
      <c r="DR264" s="156"/>
      <c r="DS264" s="156"/>
      <c r="DT264" s="156"/>
      <c r="DU264" s="156"/>
      <c r="DV264" s="156"/>
      <c r="DW264" s="156"/>
      <c r="DX264" s="156"/>
      <c r="DY264" s="156"/>
      <c r="DZ264" s="22"/>
      <c r="EA264" s="22"/>
      <c r="EB264" s="22"/>
      <c r="EC264" s="22"/>
      <c r="ED264" s="22"/>
      <c r="EE264" s="22"/>
      <c r="EF264" s="22"/>
      <c r="EG264" s="22"/>
    </row>
    <row r="265" spans="1:137" s="10" customFormat="1" ht="15.9" customHeight="1" outlineLevel="1" x14ac:dyDescent="0.3">
      <c r="A265" s="7" t="s">
        <v>22</v>
      </c>
      <c r="B265" s="7"/>
      <c r="C265" s="8" t="s">
        <v>44</v>
      </c>
      <c r="D265" s="146"/>
      <c r="E265" s="7" t="s">
        <v>474</v>
      </c>
      <c r="F265" s="7" t="s">
        <v>510</v>
      </c>
      <c r="G265" s="9" t="s">
        <v>513</v>
      </c>
      <c r="H265" s="9"/>
      <c r="I265" s="204" cm="1">
        <f t="array" ref="I265">IFERROR(LOOKUP(2,1/(N265:GR265&lt;&gt;""),N$4:DRA$4),"")</f>
        <v>45168</v>
      </c>
      <c r="J265" s="169" cm="1">
        <f t="array" ref="J265">IFERROR(_xlfn.XLOOKUP(TRUE,N265:EH265&lt;&gt;"",N265:EH265,,,-1)," ")</f>
        <v>18.399999999999999</v>
      </c>
      <c r="K265" s="45">
        <v>21.5</v>
      </c>
      <c r="L265" s="45"/>
      <c r="M265" s="282" t="s">
        <v>34</v>
      </c>
      <c r="N265" s="57"/>
      <c r="O265" s="57"/>
      <c r="P265" s="57"/>
      <c r="Q265" s="57"/>
      <c r="R265" s="57"/>
      <c r="S265" s="57"/>
      <c r="T265" s="57"/>
      <c r="U265" s="57"/>
      <c r="V265" s="57"/>
      <c r="W265" s="57"/>
      <c r="X265" s="57"/>
      <c r="Y265" s="57"/>
      <c r="Z265" s="57"/>
      <c r="AA265" s="57"/>
      <c r="AB265" s="57"/>
      <c r="AC265" s="57"/>
      <c r="AD265" s="57"/>
      <c r="AE265" s="57"/>
      <c r="AF265" s="57"/>
      <c r="AG265" s="57"/>
      <c r="AH265" s="57"/>
      <c r="AI265" s="57"/>
      <c r="AJ265" s="57"/>
      <c r="AK265" s="57"/>
      <c r="AL265" s="57"/>
      <c r="AM265" s="57"/>
      <c r="AN265" s="57"/>
      <c r="AO265" s="57">
        <v>16</v>
      </c>
      <c r="AP265" s="57"/>
      <c r="AQ265" s="57"/>
      <c r="AR265" s="57"/>
      <c r="AS265" s="57"/>
      <c r="AT265" s="57"/>
      <c r="AU265" s="61">
        <v>18.399999999999999</v>
      </c>
      <c r="AV265" s="61"/>
      <c r="AW265" s="57"/>
      <c r="AX265" s="61"/>
      <c r="AY265" s="57"/>
      <c r="AZ265" s="57"/>
      <c r="BA265" s="61"/>
      <c r="BB265" s="61"/>
      <c r="BC265" s="61"/>
      <c r="BD265" s="57"/>
      <c r="BE265" s="57"/>
      <c r="BF265" s="57"/>
      <c r="BG265" s="57"/>
      <c r="BH265" s="57"/>
      <c r="BI265" s="61"/>
      <c r="BJ265" s="61"/>
      <c r="BK265" s="57"/>
      <c r="BL265" s="57"/>
      <c r="BM265" s="57"/>
      <c r="BN265" s="61"/>
      <c r="BO265" s="57"/>
      <c r="BP265" s="58"/>
      <c r="BQ265" s="61"/>
      <c r="BR265" s="57"/>
      <c r="BS265" s="57"/>
      <c r="BT265" s="57"/>
      <c r="BU265" s="57"/>
      <c r="BV265" s="57"/>
      <c r="BW265" s="57"/>
      <c r="BX265" s="57"/>
      <c r="BY265" s="57"/>
      <c r="BZ265" s="57"/>
      <c r="CA265" s="57"/>
      <c r="CB265" s="57"/>
      <c r="CC265" s="27"/>
      <c r="CD265" s="61"/>
      <c r="CE265" s="61"/>
      <c r="CF265" s="57"/>
      <c r="CG265" s="57"/>
      <c r="CH265" s="61"/>
      <c r="CI265" s="57"/>
      <c r="CJ265" s="57"/>
      <c r="CK265" s="61"/>
      <c r="CL265" s="61"/>
      <c r="CM265" s="61"/>
      <c r="CN265" s="61"/>
      <c r="CO265" s="61"/>
      <c r="CP265" s="61"/>
      <c r="CQ265" s="61"/>
      <c r="CR265" s="61"/>
      <c r="CS265" s="61"/>
      <c r="CT265" s="61"/>
      <c r="CU265" s="61"/>
      <c r="CV265" s="61"/>
      <c r="CW265" s="61"/>
      <c r="CX265" s="61"/>
      <c r="CY265" s="61"/>
      <c r="CZ265" s="61"/>
      <c r="DA265" s="61"/>
      <c r="DB265" s="61"/>
      <c r="DC265" s="61"/>
      <c r="DD265" s="61"/>
      <c r="DE265" s="61"/>
      <c r="DF265" s="61"/>
      <c r="DG265" s="61"/>
      <c r="DH265" s="61"/>
      <c r="DI265" s="61"/>
      <c r="DJ265" s="61"/>
      <c r="DK265" s="61"/>
      <c r="DL265" s="61"/>
      <c r="DM265" s="61"/>
      <c r="DN265" s="61"/>
      <c r="DO265" s="61"/>
      <c r="DP265" s="61"/>
      <c r="DQ265" s="156"/>
      <c r="DR265" s="156"/>
      <c r="DS265" s="156"/>
      <c r="DT265" s="156"/>
      <c r="DU265" s="156"/>
      <c r="DV265" s="156"/>
      <c r="DW265" s="156"/>
      <c r="DX265" s="156"/>
      <c r="DY265" s="156"/>
      <c r="DZ265" s="59"/>
      <c r="EA265" s="59"/>
      <c r="EB265" s="59"/>
      <c r="EC265" s="59"/>
      <c r="ED265" s="59"/>
      <c r="EE265" s="59"/>
      <c r="EF265" s="59"/>
      <c r="EG265" s="59"/>
    </row>
    <row r="266" spans="1:137" s="10" customFormat="1" ht="15.9" customHeight="1" outlineLevel="1" x14ac:dyDescent="0.3">
      <c r="A266" s="7" t="s">
        <v>22</v>
      </c>
      <c r="B266" s="7"/>
      <c r="C266" s="8" t="s">
        <v>44</v>
      </c>
      <c r="D266" s="146"/>
      <c r="E266" s="7" t="s">
        <v>474</v>
      </c>
      <c r="F266" s="7" t="s">
        <v>510</v>
      </c>
      <c r="G266" s="9" t="s">
        <v>514</v>
      </c>
      <c r="H266" s="9"/>
      <c r="I266" s="204" cm="1">
        <f t="array" ref="I266">IFERROR(LOOKUP(2,1/(N266:GR266&lt;&gt;""),N$4:DRA$4),"")</f>
        <v>45168</v>
      </c>
      <c r="J266" s="169" cm="1">
        <f t="array" ref="J266">IFERROR(_xlfn.XLOOKUP(TRUE,N266:EH266&lt;&gt;"",N266:EH266,,,-1)," ")</f>
        <v>18.600000000000001</v>
      </c>
      <c r="K266" s="45">
        <v>21.5</v>
      </c>
      <c r="L266" s="45"/>
      <c r="M266" s="282" t="s">
        <v>34</v>
      </c>
      <c r="N266" s="57"/>
      <c r="O266" s="57"/>
      <c r="P266" s="57"/>
      <c r="Q266" s="57"/>
      <c r="R266" s="57"/>
      <c r="S266" s="57"/>
      <c r="T266" s="57"/>
      <c r="U266" s="57"/>
      <c r="V266" s="57"/>
      <c r="W266" s="57"/>
      <c r="X266" s="57"/>
      <c r="Y266" s="57"/>
      <c r="Z266" s="57"/>
      <c r="AA266" s="57"/>
      <c r="AB266" s="57"/>
      <c r="AC266" s="57"/>
      <c r="AD266" s="57"/>
      <c r="AE266" s="57"/>
      <c r="AF266" s="57"/>
      <c r="AG266" s="57"/>
      <c r="AH266" s="57"/>
      <c r="AI266" s="57"/>
      <c r="AJ266" s="57"/>
      <c r="AK266" s="57"/>
      <c r="AL266" s="57"/>
      <c r="AM266" s="57"/>
      <c r="AN266" s="57"/>
      <c r="AO266" s="57">
        <v>16.2</v>
      </c>
      <c r="AP266" s="57"/>
      <c r="AQ266" s="57"/>
      <c r="AR266" s="57"/>
      <c r="AS266" s="57"/>
      <c r="AT266" s="57"/>
      <c r="AU266" s="61">
        <v>18.600000000000001</v>
      </c>
      <c r="AV266" s="61"/>
      <c r="AW266" s="57"/>
      <c r="AX266" s="61"/>
      <c r="AY266" s="57"/>
      <c r="AZ266" s="57"/>
      <c r="BA266" s="61"/>
      <c r="BB266" s="61"/>
      <c r="BC266" s="61"/>
      <c r="BD266" s="57"/>
      <c r="BE266" s="57"/>
      <c r="BF266" s="57"/>
      <c r="BG266" s="57"/>
      <c r="BH266" s="57"/>
      <c r="BI266" s="61"/>
      <c r="BJ266" s="61"/>
      <c r="BK266" s="57"/>
      <c r="BL266" s="57"/>
      <c r="BM266" s="57"/>
      <c r="BN266" s="61"/>
      <c r="BO266" s="57"/>
      <c r="BP266" s="58"/>
      <c r="BQ266" s="61"/>
      <c r="BR266" s="57"/>
      <c r="BS266" s="57"/>
      <c r="BT266" s="57"/>
      <c r="BU266" s="57"/>
      <c r="BV266" s="57"/>
      <c r="BW266" s="57"/>
      <c r="BX266" s="57"/>
      <c r="BY266" s="57"/>
      <c r="BZ266" s="57"/>
      <c r="CA266" s="57"/>
      <c r="CB266" s="57"/>
      <c r="CC266" s="27"/>
      <c r="CD266" s="61"/>
      <c r="CE266" s="61"/>
      <c r="CF266" s="57"/>
      <c r="CG266" s="57"/>
      <c r="CH266" s="61"/>
      <c r="CI266" s="57"/>
      <c r="CJ266" s="57"/>
      <c r="CK266" s="61"/>
      <c r="CL266" s="61"/>
      <c r="CM266" s="61"/>
      <c r="CN266" s="61"/>
      <c r="CO266" s="61"/>
      <c r="CP266" s="61"/>
      <c r="CQ266" s="61"/>
      <c r="CR266" s="61"/>
      <c r="CS266" s="61"/>
      <c r="CT266" s="61"/>
      <c r="CU266" s="61"/>
      <c r="CV266" s="61"/>
      <c r="CW266" s="61"/>
      <c r="CX266" s="61"/>
      <c r="CY266" s="61"/>
      <c r="CZ266" s="61"/>
      <c r="DA266" s="61"/>
      <c r="DB266" s="61"/>
      <c r="DC266" s="61"/>
      <c r="DD266" s="61"/>
      <c r="DE266" s="61"/>
      <c r="DF266" s="61"/>
      <c r="DG266" s="61"/>
      <c r="DH266" s="61"/>
      <c r="DI266" s="61"/>
      <c r="DJ266" s="61"/>
      <c r="DK266" s="61"/>
      <c r="DL266" s="61"/>
      <c r="DM266" s="61"/>
      <c r="DN266" s="61"/>
      <c r="DO266" s="61"/>
      <c r="DP266" s="61"/>
      <c r="DQ266" s="156"/>
      <c r="DR266" s="156"/>
      <c r="DS266" s="156"/>
      <c r="DT266" s="156"/>
      <c r="DU266" s="156"/>
      <c r="DV266" s="156"/>
      <c r="DW266" s="156"/>
      <c r="DX266" s="156"/>
      <c r="DY266" s="156"/>
      <c r="DZ266" s="65"/>
      <c r="EA266" s="65"/>
      <c r="EB266" s="65"/>
      <c r="EC266" s="65"/>
      <c r="ED266" s="65"/>
      <c r="EE266" s="65"/>
      <c r="EF266" s="65"/>
      <c r="EG266" s="65"/>
    </row>
    <row r="267" spans="1:137" s="5" customFormat="1" ht="15.9" customHeight="1" outlineLevel="1" x14ac:dyDescent="0.3">
      <c r="A267" s="6" t="s">
        <v>23</v>
      </c>
      <c r="B267" s="6" t="s">
        <v>23</v>
      </c>
      <c r="C267" s="50" t="s">
        <v>31</v>
      </c>
      <c r="D267" s="147">
        <v>34.57</v>
      </c>
      <c r="E267" s="6" t="s">
        <v>474</v>
      </c>
      <c r="F267" s="6" t="s">
        <v>515</v>
      </c>
      <c r="G267" s="11" t="s">
        <v>516</v>
      </c>
      <c r="H267" s="11"/>
      <c r="I267" s="205" cm="1">
        <f t="array" ref="I267">IFERROR(LOOKUP(2,1/(N267:GR267&lt;&gt;""),N$4:DRA$4),"")</f>
        <v>45180</v>
      </c>
      <c r="J267" s="170" cm="1">
        <f t="array" ref="J267">IFERROR(_xlfn.XLOOKUP(TRUE,N267:EH267&lt;&gt;"",N267:EH267,,,-1)," ")</f>
        <v>23.4</v>
      </c>
      <c r="K267" s="142"/>
      <c r="L267" s="142"/>
      <c r="M267" s="284" t="s">
        <v>517</v>
      </c>
      <c r="N267" s="62"/>
      <c r="O267" s="62"/>
      <c r="P267" s="62"/>
      <c r="Q267" s="62"/>
      <c r="R267" s="62"/>
      <c r="S267" s="62"/>
      <c r="T267" s="62"/>
      <c r="U267" s="62"/>
      <c r="V267" s="62"/>
      <c r="W267" s="62"/>
      <c r="X267" s="62"/>
      <c r="Y267" s="62"/>
      <c r="Z267" s="62"/>
      <c r="AA267" s="62"/>
      <c r="AB267" s="62">
        <v>15.3</v>
      </c>
      <c r="AC267" s="62"/>
      <c r="AD267" s="62"/>
      <c r="AE267" s="62"/>
      <c r="AF267" s="62"/>
      <c r="AG267" s="62"/>
      <c r="AH267" s="62">
        <v>18.100000000000001</v>
      </c>
      <c r="AI267" s="62"/>
      <c r="AJ267" s="62"/>
      <c r="AK267" s="62"/>
      <c r="AL267" s="62"/>
      <c r="AM267" s="62"/>
      <c r="AN267" s="62">
        <v>18.8</v>
      </c>
      <c r="AO267" s="62"/>
      <c r="AP267" s="62"/>
      <c r="AQ267" s="62"/>
      <c r="AR267" s="62"/>
      <c r="AS267" s="62"/>
      <c r="AT267" s="62"/>
      <c r="AU267" s="63"/>
      <c r="AV267" s="63"/>
      <c r="AW267" s="62">
        <v>22.4</v>
      </c>
      <c r="AX267" s="63"/>
      <c r="AY267" s="62"/>
      <c r="AZ267" s="62"/>
      <c r="BA267" s="63"/>
      <c r="BB267" s="63"/>
      <c r="BC267" s="63"/>
      <c r="BD267" s="62"/>
      <c r="BE267" s="62"/>
      <c r="BF267" s="62"/>
      <c r="BG267" s="62">
        <v>23.4</v>
      </c>
      <c r="BH267" s="62"/>
      <c r="BI267" s="63"/>
      <c r="BJ267" s="63"/>
      <c r="BK267" s="62"/>
      <c r="BL267" s="62"/>
      <c r="BM267" s="62"/>
      <c r="BN267" s="63"/>
      <c r="BO267" s="62"/>
      <c r="BP267" s="64"/>
      <c r="BQ267" s="63"/>
      <c r="BR267" s="63"/>
      <c r="BS267" s="62"/>
      <c r="BT267" s="63"/>
      <c r="BU267" s="63"/>
      <c r="BV267" s="63"/>
      <c r="BW267" s="63"/>
      <c r="BX267" s="63"/>
      <c r="BY267" s="63"/>
      <c r="BZ267" s="63"/>
      <c r="CA267" s="63"/>
      <c r="CB267" s="62"/>
      <c r="CC267" s="63"/>
      <c r="CD267" s="63"/>
      <c r="CE267" s="63"/>
      <c r="CF267" s="62"/>
      <c r="CG267" s="63"/>
      <c r="CH267" s="63"/>
      <c r="CI267" s="63"/>
      <c r="CJ267" s="62"/>
      <c r="CK267" s="63"/>
      <c r="CL267" s="63"/>
      <c r="CM267" s="63"/>
      <c r="CN267" s="63"/>
      <c r="CO267" s="63"/>
      <c r="CP267" s="63"/>
      <c r="CQ267" s="63"/>
      <c r="CR267" s="63"/>
      <c r="CS267" s="63"/>
      <c r="CT267" s="63"/>
      <c r="CU267" s="63"/>
      <c r="CV267" s="63"/>
      <c r="CW267" s="63"/>
      <c r="CX267" s="63"/>
      <c r="CY267" s="63"/>
      <c r="CZ267" s="63"/>
      <c r="DA267" s="63"/>
      <c r="DB267" s="63"/>
      <c r="DC267" s="63"/>
      <c r="DD267" s="63"/>
      <c r="DE267" s="63"/>
      <c r="DF267" s="63"/>
      <c r="DG267" s="63"/>
      <c r="DH267" s="63"/>
      <c r="DI267" s="63"/>
      <c r="DJ267" s="63"/>
      <c r="DK267" s="63"/>
      <c r="DL267" s="63"/>
      <c r="DM267" s="63"/>
      <c r="DN267" s="63"/>
      <c r="DO267" s="63"/>
      <c r="DP267" s="63"/>
      <c r="DQ267" s="158"/>
      <c r="DR267" s="158"/>
      <c r="DS267" s="158"/>
      <c r="DT267" s="158"/>
      <c r="DU267" s="158"/>
      <c r="DV267" s="158"/>
      <c r="DW267" s="158"/>
      <c r="DX267" s="158"/>
      <c r="DY267" s="158"/>
      <c r="DZ267" s="59"/>
      <c r="EA267" s="59"/>
      <c r="EB267" s="59"/>
      <c r="EC267" s="59"/>
      <c r="ED267" s="59"/>
      <c r="EE267" s="59"/>
      <c r="EF267" s="59"/>
      <c r="EG267" s="59"/>
    </row>
    <row r="268" spans="1:137" s="10" customFormat="1" ht="15.9" customHeight="1" outlineLevel="1" x14ac:dyDescent="0.3">
      <c r="A268" s="7" t="s">
        <v>23</v>
      </c>
      <c r="B268" s="7" t="s">
        <v>23</v>
      </c>
      <c r="C268" s="8" t="s">
        <v>31</v>
      </c>
      <c r="D268" s="146">
        <v>45.71</v>
      </c>
      <c r="E268" s="7" t="s">
        <v>474</v>
      </c>
      <c r="F268" s="7" t="s">
        <v>518</v>
      </c>
      <c r="G268" s="9" t="s">
        <v>519</v>
      </c>
      <c r="H268" s="9"/>
      <c r="I268" s="204" cm="1">
        <f t="array" ref="I268">IFERROR(LOOKUP(2,1/(N268:GR268&lt;&gt;""),N$4:DRA$4),"")</f>
        <v>45180</v>
      </c>
      <c r="J268" s="169" cm="1">
        <f t="array" ref="J268">IFERROR(_xlfn.XLOOKUP(TRUE,N268:EH268&lt;&gt;"",N268:EH268,,,-1)," ")</f>
        <v>24.1</v>
      </c>
      <c r="K268" s="45">
        <v>23.8</v>
      </c>
      <c r="L268" s="45"/>
      <c r="M268" s="282" t="s">
        <v>520</v>
      </c>
      <c r="N268" s="57"/>
      <c r="O268" s="57"/>
      <c r="P268" s="57"/>
      <c r="Q268" s="57"/>
      <c r="R268" s="57"/>
      <c r="S268" s="57"/>
      <c r="T268" s="57"/>
      <c r="U268" s="57"/>
      <c r="V268" s="57"/>
      <c r="W268" s="57"/>
      <c r="X268" s="57"/>
      <c r="Y268" s="57"/>
      <c r="Z268" s="57"/>
      <c r="AA268" s="57"/>
      <c r="AB268" s="57">
        <v>16.5</v>
      </c>
      <c r="AC268" s="57"/>
      <c r="AD268" s="57"/>
      <c r="AE268" s="57"/>
      <c r="AF268" s="57"/>
      <c r="AG268" s="171">
        <v>18.8</v>
      </c>
      <c r="AH268" s="57">
        <v>19.100000000000001</v>
      </c>
      <c r="AI268" s="57"/>
      <c r="AJ268" s="57"/>
      <c r="AK268" s="57"/>
      <c r="AL268" s="57"/>
      <c r="AM268" s="57"/>
      <c r="AN268" s="57">
        <v>18.600000000000001</v>
      </c>
      <c r="AO268" s="171">
        <v>19.600000000000001</v>
      </c>
      <c r="AP268" s="57"/>
      <c r="AQ268" s="57"/>
      <c r="AR268" s="57"/>
      <c r="AS268" s="57"/>
      <c r="AT268" s="57"/>
      <c r="AU268" s="318">
        <v>22.7</v>
      </c>
      <c r="AV268" s="61"/>
      <c r="AW268" s="57"/>
      <c r="AX268" s="61"/>
      <c r="AY268" s="58"/>
      <c r="AZ268" s="57"/>
      <c r="BA268" s="61"/>
      <c r="BB268" s="318">
        <v>23</v>
      </c>
      <c r="BC268" s="61"/>
      <c r="BD268" s="57"/>
      <c r="BE268" s="57"/>
      <c r="BF268" s="57"/>
      <c r="BG268" s="57">
        <v>24.1</v>
      </c>
      <c r="BH268" s="57"/>
      <c r="BI268" s="61"/>
      <c r="BJ268" s="61"/>
      <c r="BK268" s="57"/>
      <c r="BL268" s="57"/>
      <c r="BM268" s="57"/>
      <c r="BN268" s="61"/>
      <c r="BO268" s="57"/>
      <c r="BP268" s="58"/>
      <c r="BQ268" s="61"/>
      <c r="BR268" s="61"/>
      <c r="BS268" s="57"/>
      <c r="BT268" s="61"/>
      <c r="BU268" s="61"/>
      <c r="BV268" s="61"/>
      <c r="BW268" s="61"/>
      <c r="BX268" s="61"/>
      <c r="BY268" s="61"/>
      <c r="BZ268" s="61"/>
      <c r="CA268" s="61"/>
      <c r="CB268" s="57"/>
      <c r="CC268" s="61"/>
      <c r="CD268" s="61"/>
      <c r="CE268" s="61"/>
      <c r="CF268" s="57"/>
      <c r="CG268" s="61"/>
      <c r="CH268" s="61"/>
      <c r="CI268" s="61"/>
      <c r="CJ268" s="57"/>
      <c r="CK268" s="61"/>
      <c r="CL268" s="61"/>
      <c r="CM268" s="61"/>
      <c r="CN268" s="61"/>
      <c r="CO268" s="61"/>
      <c r="CP268" s="61"/>
      <c r="CQ268" s="61"/>
      <c r="CR268" s="61"/>
      <c r="CS268" s="61"/>
      <c r="CT268" s="61"/>
      <c r="CU268" s="61"/>
      <c r="CV268" s="61"/>
      <c r="CW268" s="61"/>
      <c r="CX268" s="61"/>
      <c r="CY268" s="61"/>
      <c r="CZ268" s="61"/>
      <c r="DA268" s="61"/>
      <c r="DB268" s="61"/>
      <c r="DC268" s="61"/>
      <c r="DD268" s="61"/>
      <c r="DE268" s="61"/>
      <c r="DF268" s="61"/>
      <c r="DG268" s="61"/>
      <c r="DH268" s="61"/>
      <c r="DI268" s="61"/>
      <c r="DJ268" s="61"/>
      <c r="DK268" s="61"/>
      <c r="DL268" s="61"/>
      <c r="DM268" s="61"/>
      <c r="DN268" s="61"/>
      <c r="DO268" s="61"/>
      <c r="DP268" s="61"/>
      <c r="DQ268" s="156"/>
      <c r="DR268" s="156"/>
      <c r="DS268" s="156"/>
      <c r="DT268" s="156"/>
      <c r="DU268" s="156"/>
      <c r="DV268" s="156"/>
      <c r="DW268" s="156"/>
      <c r="DX268" s="156"/>
      <c r="DY268" s="156"/>
      <c r="DZ268" s="65"/>
      <c r="EA268" s="65"/>
      <c r="EB268" s="65"/>
      <c r="EC268" s="65"/>
      <c r="ED268" s="65"/>
      <c r="EE268" s="65"/>
      <c r="EF268" s="65"/>
      <c r="EG268" s="65"/>
    </row>
    <row r="269" spans="1:137" s="5" customFormat="1" ht="15.9" customHeight="1" outlineLevel="1" x14ac:dyDescent="0.3">
      <c r="A269" s="6" t="s">
        <v>23</v>
      </c>
      <c r="B269" s="6"/>
      <c r="C269" s="50" t="s">
        <v>24</v>
      </c>
      <c r="D269" s="147">
        <v>18.41</v>
      </c>
      <c r="E269" s="6" t="s">
        <v>474</v>
      </c>
      <c r="F269" s="6" t="s">
        <v>521</v>
      </c>
      <c r="G269" s="11" t="s">
        <v>522</v>
      </c>
      <c r="H269" s="11"/>
      <c r="I269" s="205" cm="1">
        <f t="array" ref="I269">IFERROR(LOOKUP(2,1/(N269:GR269&lt;&gt;""),N$4:DRA$4),"")</f>
        <v>45159</v>
      </c>
      <c r="J269" s="170" cm="1">
        <f t="array" ref="J269">IFERROR(_xlfn.XLOOKUP(TRUE,N269:EH269&lt;&gt;"",N269:EH269,,,-1)," ")</f>
        <v>17.899999999999999</v>
      </c>
      <c r="K269" s="48" t="s">
        <v>523</v>
      </c>
      <c r="L269" s="49"/>
      <c r="M269" s="6" t="s">
        <v>524</v>
      </c>
      <c r="N269" s="62"/>
      <c r="O269" s="62"/>
      <c r="P269" s="62"/>
      <c r="Q269" s="62"/>
      <c r="R269" s="62"/>
      <c r="S269" s="62"/>
      <c r="T269" s="62"/>
      <c r="U269" s="62"/>
      <c r="V269" s="62"/>
      <c r="W269" s="62"/>
      <c r="X269" s="62"/>
      <c r="Y269" s="64"/>
      <c r="Z269" s="62">
        <v>14.6</v>
      </c>
      <c r="AA269" s="62"/>
      <c r="AB269" s="62"/>
      <c r="AC269" s="64"/>
      <c r="AD269" s="62"/>
      <c r="AE269" s="62"/>
      <c r="AF269" s="62"/>
      <c r="AG269" s="62">
        <v>17.399999999999999</v>
      </c>
      <c r="AH269" s="62"/>
      <c r="AI269" s="62"/>
      <c r="AJ269" s="62"/>
      <c r="AK269" s="62"/>
      <c r="AL269" s="62">
        <v>17.899999999999999</v>
      </c>
      <c r="AM269" s="62"/>
      <c r="AN269" s="62"/>
      <c r="AO269" s="62"/>
      <c r="AP269" s="62"/>
      <c r="AQ269" s="62"/>
      <c r="AR269" s="62"/>
      <c r="AS269" s="62"/>
      <c r="AT269" s="62"/>
      <c r="AU269" s="63"/>
      <c r="AV269" s="63"/>
      <c r="AW269" s="62"/>
      <c r="AX269" s="63"/>
      <c r="AY269" s="62"/>
      <c r="AZ269" s="62"/>
      <c r="BA269" s="63"/>
      <c r="BB269" s="63"/>
      <c r="BC269" s="63"/>
      <c r="BD269" s="62"/>
      <c r="BE269" s="62"/>
      <c r="BF269" s="63"/>
      <c r="BG269" s="63"/>
      <c r="BH269" s="62"/>
      <c r="BI269" s="63"/>
      <c r="BJ269" s="63"/>
      <c r="BK269" s="62"/>
      <c r="BL269" s="63"/>
      <c r="BM269" s="62"/>
      <c r="BN269" s="63"/>
      <c r="BO269" s="62"/>
      <c r="BP269" s="64"/>
      <c r="BQ269" s="63"/>
      <c r="BR269" s="63"/>
      <c r="BS269" s="62"/>
      <c r="BT269" s="63"/>
      <c r="BU269" s="63"/>
      <c r="BV269" s="63"/>
      <c r="BW269" s="63"/>
      <c r="BX269" s="63"/>
      <c r="BY269" s="63"/>
      <c r="BZ269" s="63"/>
      <c r="CA269" s="63"/>
      <c r="CB269" s="62"/>
      <c r="CC269" s="63"/>
      <c r="CD269" s="63"/>
      <c r="CE269" s="63"/>
      <c r="CF269" s="62"/>
      <c r="CG269" s="63"/>
      <c r="CH269" s="63"/>
      <c r="CI269" s="63"/>
      <c r="CJ269" s="62"/>
      <c r="CK269" s="63"/>
      <c r="CL269" s="63"/>
      <c r="CM269" s="63"/>
      <c r="CN269" s="63"/>
      <c r="CO269" s="63"/>
      <c r="CP269" s="63"/>
      <c r="CQ269" s="63"/>
      <c r="CR269" s="63"/>
      <c r="CS269" s="63"/>
      <c r="CT269" s="63"/>
      <c r="CU269" s="63"/>
      <c r="CV269" s="63"/>
      <c r="CW269" s="63"/>
      <c r="CX269" s="63"/>
      <c r="CY269" s="63"/>
      <c r="CZ269" s="63"/>
      <c r="DA269" s="63"/>
      <c r="DB269" s="63"/>
      <c r="DC269" s="63"/>
      <c r="DD269" s="63"/>
      <c r="DE269" s="63"/>
      <c r="DF269" s="63"/>
      <c r="DG269" s="63"/>
      <c r="DH269" s="63"/>
      <c r="DI269" s="63"/>
      <c r="DJ269" s="63"/>
      <c r="DK269" s="63"/>
      <c r="DL269" s="63"/>
      <c r="DM269" s="63"/>
      <c r="DN269" s="63"/>
      <c r="DO269" s="63"/>
      <c r="DP269" s="63"/>
      <c r="DQ269" s="158"/>
      <c r="DR269" s="158"/>
      <c r="DS269" s="158"/>
      <c r="DT269" s="158"/>
      <c r="DU269" s="158"/>
      <c r="DV269" s="158"/>
      <c r="DW269" s="158"/>
      <c r="DX269" s="158"/>
      <c r="DY269" s="158"/>
      <c r="DZ269" s="65"/>
      <c r="EA269" s="65"/>
      <c r="EB269" s="65"/>
      <c r="EC269" s="65"/>
      <c r="ED269" s="65"/>
      <c r="EE269" s="65"/>
      <c r="EF269" s="65"/>
      <c r="EG269" s="65"/>
    </row>
    <row r="270" spans="1:137" s="10" customFormat="1" ht="15.9" customHeight="1" outlineLevel="1" x14ac:dyDescent="0.3">
      <c r="A270" s="7" t="s">
        <v>23</v>
      </c>
      <c r="B270" s="7" t="s">
        <v>23</v>
      </c>
      <c r="C270" s="8" t="s">
        <v>24</v>
      </c>
      <c r="D270" s="146">
        <v>23.24</v>
      </c>
      <c r="E270" s="7" t="s">
        <v>474</v>
      </c>
      <c r="F270" s="7" t="s">
        <v>525</v>
      </c>
      <c r="G270" s="9" t="s">
        <v>526</v>
      </c>
      <c r="H270" s="9"/>
      <c r="I270" s="204" cm="1">
        <f t="array" ref="I270">IFERROR(LOOKUP(2,1/(N270:GR270&lt;&gt;""),N$4:DRA$4),"")</f>
        <v>45152</v>
      </c>
      <c r="J270" s="169" cm="1">
        <f t="array" ref="J270">IFERROR(_xlfn.XLOOKUP(TRUE,N270:EH270&lt;&gt;"",N270:EH270,,,-1)," ")</f>
        <v>18.8</v>
      </c>
      <c r="K270" s="48" t="s">
        <v>523</v>
      </c>
      <c r="L270" s="45"/>
      <c r="M270" s="7" t="s">
        <v>524</v>
      </c>
      <c r="N270" s="57"/>
      <c r="O270" s="57"/>
      <c r="P270" s="57"/>
      <c r="Q270" s="57"/>
      <c r="R270" s="57"/>
      <c r="S270" s="171">
        <v>14.1</v>
      </c>
      <c r="T270" s="57"/>
      <c r="U270" s="143"/>
      <c r="V270" s="144"/>
      <c r="W270" s="143"/>
      <c r="X270" s="57"/>
      <c r="Y270" s="144"/>
      <c r="Z270" s="57">
        <v>17.399999999999999</v>
      </c>
      <c r="AA270" s="57"/>
      <c r="AB270" s="57"/>
      <c r="AC270" s="57"/>
      <c r="AD270" s="57"/>
      <c r="AE270" s="57">
        <v>18.8</v>
      </c>
      <c r="AF270" s="57"/>
      <c r="AG270" s="57"/>
      <c r="AH270" s="57"/>
      <c r="AI270" s="57"/>
      <c r="AJ270" s="57"/>
      <c r="AK270" s="57"/>
      <c r="AL270" s="57"/>
      <c r="AM270" s="57"/>
      <c r="AN270" s="57"/>
      <c r="AO270" s="57"/>
      <c r="AP270" s="57"/>
      <c r="AQ270" s="57"/>
      <c r="AR270" s="57"/>
      <c r="AS270" s="57"/>
      <c r="AT270" s="57"/>
      <c r="AU270" s="61"/>
      <c r="AV270" s="61"/>
      <c r="AW270" s="57"/>
      <c r="AX270" s="61"/>
      <c r="AY270" s="57"/>
      <c r="AZ270" s="57"/>
      <c r="BA270" s="61"/>
      <c r="BB270" s="61"/>
      <c r="BC270" s="61"/>
      <c r="BD270" s="57"/>
      <c r="BE270" s="57"/>
      <c r="BF270" s="61"/>
      <c r="BG270" s="61"/>
      <c r="BH270" s="57"/>
      <c r="BI270" s="61"/>
      <c r="BJ270" s="61"/>
      <c r="BK270" s="57"/>
      <c r="BL270" s="61"/>
      <c r="BM270" s="57"/>
      <c r="BN270" s="61"/>
      <c r="BO270" s="57"/>
      <c r="BP270" s="58"/>
      <c r="BQ270" s="61"/>
      <c r="BR270" s="61"/>
      <c r="BS270" s="57"/>
      <c r="BT270" s="61"/>
      <c r="BU270" s="61"/>
      <c r="BV270" s="61"/>
      <c r="BW270" s="61"/>
      <c r="BX270" s="61"/>
      <c r="BY270" s="61"/>
      <c r="BZ270" s="61"/>
      <c r="CA270" s="61"/>
      <c r="CB270" s="57"/>
      <c r="CC270" s="61"/>
      <c r="CD270" s="61"/>
      <c r="CE270" s="61"/>
      <c r="CF270" s="57"/>
      <c r="CG270" s="61"/>
      <c r="CH270" s="61"/>
      <c r="CI270" s="61"/>
      <c r="CJ270" s="57"/>
      <c r="CK270" s="61"/>
      <c r="CL270" s="61"/>
      <c r="CM270" s="61"/>
      <c r="CN270" s="61"/>
      <c r="CO270" s="61"/>
      <c r="CP270" s="61"/>
      <c r="CQ270" s="61"/>
      <c r="CR270" s="61"/>
      <c r="CS270" s="61"/>
      <c r="CT270" s="61"/>
      <c r="CU270" s="61"/>
      <c r="CV270" s="61"/>
      <c r="CW270" s="61"/>
      <c r="CX270" s="61"/>
      <c r="CY270" s="61"/>
      <c r="CZ270" s="61"/>
      <c r="DA270" s="61"/>
      <c r="DB270" s="61"/>
      <c r="DC270" s="61"/>
      <c r="DD270" s="61"/>
      <c r="DE270" s="61"/>
      <c r="DF270" s="61"/>
      <c r="DG270" s="61"/>
      <c r="DH270" s="61"/>
      <c r="DI270" s="61"/>
      <c r="DJ270" s="61"/>
      <c r="DK270" s="61"/>
      <c r="DL270" s="61"/>
      <c r="DM270" s="61"/>
      <c r="DN270" s="61"/>
      <c r="DO270" s="61"/>
      <c r="DP270" s="61"/>
      <c r="DQ270" s="156"/>
      <c r="DR270" s="156"/>
      <c r="DS270" s="156"/>
      <c r="DT270" s="156"/>
      <c r="DU270" s="156"/>
      <c r="DV270" s="156"/>
      <c r="DW270" s="156"/>
      <c r="DX270" s="156"/>
      <c r="DY270" s="156"/>
      <c r="DZ270" s="59"/>
      <c r="EA270" s="59"/>
      <c r="EB270" s="59"/>
      <c r="EC270" s="59"/>
      <c r="ED270" s="59"/>
      <c r="EE270" s="59"/>
      <c r="EF270" s="59"/>
      <c r="EG270" s="59"/>
    </row>
    <row r="271" spans="1:137" s="5" customFormat="1" ht="15.9" customHeight="1" outlineLevel="1" x14ac:dyDescent="0.3">
      <c r="A271" s="6" t="s">
        <v>22</v>
      </c>
      <c r="B271" s="6"/>
      <c r="C271" s="50" t="s">
        <v>44</v>
      </c>
      <c r="D271" s="147">
        <v>87.24</v>
      </c>
      <c r="E271" s="6" t="s">
        <v>474</v>
      </c>
      <c r="F271" s="6" t="s">
        <v>527</v>
      </c>
      <c r="G271" s="11" t="s">
        <v>528</v>
      </c>
      <c r="H271" s="11"/>
      <c r="I271" s="205"/>
      <c r="J271" s="170"/>
      <c r="K271" s="49">
        <v>23.5</v>
      </c>
      <c r="L271" s="49"/>
      <c r="M271" s="284" t="s">
        <v>34</v>
      </c>
      <c r="N271" s="62"/>
      <c r="O271" s="62"/>
      <c r="P271" s="62"/>
      <c r="Q271" s="62"/>
      <c r="R271" s="62"/>
      <c r="S271" s="62"/>
      <c r="T271" s="62"/>
      <c r="U271" s="62"/>
      <c r="V271" s="62"/>
      <c r="W271" s="62"/>
      <c r="X271" s="62"/>
      <c r="Y271" s="62"/>
      <c r="Z271" s="62"/>
      <c r="AA271" s="62"/>
      <c r="AB271" s="62"/>
      <c r="AC271" s="62"/>
      <c r="AD271" s="62"/>
      <c r="AE271" s="62"/>
      <c r="AF271" s="62"/>
      <c r="AG271" s="62"/>
      <c r="AH271" s="62"/>
      <c r="AI271" s="62" t="s">
        <v>529</v>
      </c>
      <c r="AJ271" s="62"/>
      <c r="AK271" s="62"/>
      <c r="AL271" s="62"/>
      <c r="AM271" s="62"/>
      <c r="AN271" s="62"/>
      <c r="AO271" s="62"/>
      <c r="AP271" s="62"/>
      <c r="AQ271" s="62"/>
      <c r="AR271" s="62"/>
      <c r="AS271" s="62"/>
      <c r="AT271" s="62"/>
      <c r="AU271" s="63"/>
      <c r="AV271" s="63"/>
      <c r="AW271" s="62"/>
      <c r="AX271" s="63"/>
      <c r="AY271" s="62"/>
      <c r="AZ271" s="62"/>
      <c r="BA271" s="63"/>
      <c r="BB271" s="63"/>
      <c r="BC271" s="63"/>
      <c r="BD271" s="62"/>
      <c r="BE271" s="62"/>
      <c r="BF271" s="62"/>
      <c r="BG271" s="62"/>
      <c r="BH271" s="62"/>
      <c r="BI271" s="63"/>
      <c r="BJ271" s="63"/>
      <c r="BK271" s="62"/>
      <c r="BL271" s="62"/>
      <c r="BM271" s="62"/>
      <c r="BN271" s="63"/>
      <c r="BO271" s="62"/>
      <c r="BP271" s="64"/>
      <c r="BQ271" s="63"/>
      <c r="BR271" s="62"/>
      <c r="BS271" s="62"/>
      <c r="BT271" s="62"/>
      <c r="BU271" s="62"/>
      <c r="BV271" s="62"/>
      <c r="BW271" s="62"/>
      <c r="BX271" s="62"/>
      <c r="BY271" s="62"/>
      <c r="BZ271" s="62"/>
      <c r="CA271" s="62"/>
      <c r="CB271" s="62"/>
      <c r="CC271" s="63"/>
      <c r="CD271" s="63"/>
      <c r="CE271" s="63"/>
      <c r="CF271" s="62"/>
      <c r="CG271" s="63"/>
      <c r="CH271" s="63"/>
      <c r="CI271" s="63"/>
      <c r="CJ271" s="62"/>
      <c r="CK271" s="63"/>
      <c r="CL271" s="63"/>
      <c r="CM271" s="63"/>
      <c r="CN271" s="63"/>
      <c r="CO271" s="63"/>
      <c r="CP271" s="63"/>
      <c r="CQ271" s="63"/>
      <c r="CR271" s="63"/>
      <c r="CS271" s="63"/>
      <c r="CT271" s="63"/>
      <c r="CU271" s="63"/>
      <c r="CV271" s="63"/>
      <c r="CW271" s="63"/>
      <c r="CX271" s="63"/>
      <c r="CY271" s="63"/>
      <c r="CZ271" s="63"/>
      <c r="DA271" s="63"/>
      <c r="DB271" s="63"/>
      <c r="DC271" s="63"/>
      <c r="DD271" s="63"/>
      <c r="DE271" s="63"/>
      <c r="DF271" s="63"/>
      <c r="DG271" s="63"/>
      <c r="DH271" s="63"/>
      <c r="DI271" s="63"/>
      <c r="DJ271" s="63"/>
      <c r="DK271" s="63"/>
      <c r="DL271" s="63"/>
      <c r="DM271" s="63"/>
      <c r="DN271" s="63"/>
      <c r="DO271" s="63"/>
      <c r="DP271" s="63"/>
      <c r="DQ271" s="158"/>
      <c r="DR271" s="158"/>
      <c r="DS271" s="158"/>
      <c r="DT271" s="158"/>
      <c r="DU271" s="158"/>
      <c r="DV271" s="158"/>
      <c r="DW271" s="158"/>
      <c r="DX271" s="158"/>
      <c r="DY271" s="158"/>
      <c r="DZ271" s="65"/>
      <c r="EA271" s="65"/>
      <c r="EB271" s="65"/>
      <c r="EC271" s="65"/>
      <c r="ED271" s="65"/>
      <c r="EE271" s="65"/>
      <c r="EF271" s="65"/>
      <c r="EG271" s="65"/>
    </row>
    <row r="272" spans="1:137" s="5" customFormat="1" ht="15.9" customHeight="1" outlineLevel="1" x14ac:dyDescent="0.3">
      <c r="A272" s="6" t="s">
        <v>22</v>
      </c>
      <c r="B272" s="6"/>
      <c r="C272" s="50" t="s">
        <v>44</v>
      </c>
      <c r="D272" s="147"/>
      <c r="E272" s="6" t="s">
        <v>474</v>
      </c>
      <c r="F272" s="6" t="s">
        <v>527</v>
      </c>
      <c r="G272" s="11" t="s">
        <v>530</v>
      </c>
      <c r="H272" s="11"/>
      <c r="I272" s="205" cm="1">
        <f t="array" ref="I272">IFERROR(LOOKUP(2,1/(N272:GR272&lt;&gt;""),N$4:DRA$4),"")</f>
        <v>45192</v>
      </c>
      <c r="J272" s="170" cm="1">
        <f t="array" ref="J272">IFERROR(_xlfn.XLOOKUP(TRUE,N272:EH272&lt;&gt;"",N272:EH272,,,-1)," ")</f>
        <v>24</v>
      </c>
      <c r="K272" s="49">
        <v>23.5</v>
      </c>
      <c r="L272" s="49"/>
      <c r="M272" s="284" t="s">
        <v>34</v>
      </c>
      <c r="N272" s="62"/>
      <c r="O272" s="62"/>
      <c r="P272" s="62"/>
      <c r="Q272" s="62"/>
      <c r="R272" s="62"/>
      <c r="S272" s="62"/>
      <c r="T272" s="62"/>
      <c r="U272" s="62"/>
      <c r="V272" s="62"/>
      <c r="W272" s="62"/>
      <c r="X272" s="62"/>
      <c r="Y272" s="62"/>
      <c r="Z272" s="62"/>
      <c r="AA272" s="62"/>
      <c r="AB272" s="62"/>
      <c r="AC272" s="62"/>
      <c r="AD272" s="62"/>
      <c r="AE272" s="62"/>
      <c r="AF272" s="62"/>
      <c r="AG272" s="62"/>
      <c r="AH272" s="62"/>
      <c r="AI272" s="62"/>
      <c r="AJ272" s="62"/>
      <c r="AK272" s="62"/>
      <c r="AL272" s="62"/>
      <c r="AM272" s="62"/>
      <c r="AN272" s="62"/>
      <c r="AO272" s="62"/>
      <c r="AP272" s="62"/>
      <c r="AQ272" s="62">
        <v>19.600000000000001</v>
      </c>
      <c r="AR272" s="62"/>
      <c r="AS272" s="62"/>
      <c r="AT272" s="62"/>
      <c r="AU272" s="63"/>
      <c r="AV272" s="63"/>
      <c r="AW272" s="62"/>
      <c r="AX272" s="63"/>
      <c r="AY272" s="62"/>
      <c r="AZ272" s="62">
        <v>20.6</v>
      </c>
      <c r="BA272" s="63"/>
      <c r="BB272" s="63"/>
      <c r="BC272" s="63"/>
      <c r="BD272" s="62"/>
      <c r="BE272" s="62"/>
      <c r="BF272" s="62"/>
      <c r="BG272" s="62"/>
      <c r="BH272" s="62"/>
      <c r="BI272" s="63"/>
      <c r="BJ272" s="63">
        <v>23.4</v>
      </c>
      <c r="BK272" s="62"/>
      <c r="BL272" s="62"/>
      <c r="BM272" s="62"/>
      <c r="BN272" s="63"/>
      <c r="BO272" s="62"/>
      <c r="BP272" s="64"/>
      <c r="BQ272" s="63"/>
      <c r="BR272" s="62"/>
      <c r="BS272" s="62">
        <v>24</v>
      </c>
      <c r="BT272" s="62"/>
      <c r="BU272" s="62"/>
      <c r="BV272" s="62"/>
      <c r="BW272" s="62"/>
      <c r="BX272" s="62"/>
      <c r="BY272" s="62"/>
      <c r="BZ272" s="62"/>
      <c r="CA272" s="62"/>
      <c r="CB272" s="62"/>
      <c r="CC272" s="63"/>
      <c r="CD272" s="63"/>
      <c r="CE272" s="63"/>
      <c r="CF272" s="62"/>
      <c r="CG272" s="63"/>
      <c r="CH272" s="63"/>
      <c r="CI272" s="63"/>
      <c r="CJ272" s="62"/>
      <c r="CK272" s="63"/>
      <c r="CL272" s="63"/>
      <c r="CM272" s="63"/>
      <c r="CN272" s="63"/>
      <c r="CO272" s="63"/>
      <c r="CP272" s="63"/>
      <c r="CQ272" s="63"/>
      <c r="CR272" s="63"/>
      <c r="CS272" s="63"/>
      <c r="CT272" s="63"/>
      <c r="CU272" s="63"/>
      <c r="CV272" s="63"/>
      <c r="CW272" s="63"/>
      <c r="CX272" s="63"/>
      <c r="CY272" s="63"/>
      <c r="CZ272" s="63"/>
      <c r="DA272" s="63"/>
      <c r="DB272" s="63"/>
      <c r="DC272" s="63"/>
      <c r="DD272" s="63"/>
      <c r="DE272" s="63"/>
      <c r="DF272" s="63"/>
      <c r="DG272" s="63"/>
      <c r="DH272" s="63"/>
      <c r="DI272" s="63"/>
      <c r="DJ272" s="63"/>
      <c r="DK272" s="63"/>
      <c r="DL272" s="63"/>
      <c r="DM272" s="63"/>
      <c r="DN272" s="63"/>
      <c r="DO272" s="63"/>
      <c r="DP272" s="63"/>
      <c r="DQ272" s="158"/>
      <c r="DR272" s="158"/>
      <c r="DS272" s="158"/>
      <c r="DT272" s="158"/>
      <c r="DU272" s="158"/>
      <c r="DV272" s="158"/>
      <c r="DW272" s="158"/>
      <c r="DX272" s="158"/>
      <c r="DY272" s="158"/>
      <c r="DZ272" s="59"/>
      <c r="EA272" s="59"/>
      <c r="EB272" s="59"/>
      <c r="EC272" s="59"/>
      <c r="ED272" s="59"/>
      <c r="EE272" s="59"/>
      <c r="EF272" s="59"/>
      <c r="EG272" s="59"/>
    </row>
    <row r="273" spans="1:137" s="5" customFormat="1" ht="15.9" customHeight="1" outlineLevel="1" x14ac:dyDescent="0.3">
      <c r="A273" s="6" t="s">
        <v>22</v>
      </c>
      <c r="B273" s="6"/>
      <c r="C273" s="50" t="s">
        <v>44</v>
      </c>
      <c r="D273" s="147"/>
      <c r="E273" s="6" t="s">
        <v>474</v>
      </c>
      <c r="F273" s="6" t="s">
        <v>527</v>
      </c>
      <c r="G273" s="11" t="s">
        <v>531</v>
      </c>
      <c r="H273" s="11"/>
      <c r="I273" s="205" cm="1">
        <f t="array" ref="I273">IFERROR(LOOKUP(2,1/(N273:GR273&lt;&gt;""),N$4:DRA$4),"")</f>
        <v>45192</v>
      </c>
      <c r="J273" s="170" cm="1">
        <f t="array" ref="J273">IFERROR(_xlfn.XLOOKUP(TRUE,N273:EH273&lt;&gt;"",N273:EH273,,,-1)," ")</f>
        <v>23.9</v>
      </c>
      <c r="K273" s="49">
        <v>23.5</v>
      </c>
      <c r="L273" s="49"/>
      <c r="M273" s="284" t="s">
        <v>34</v>
      </c>
      <c r="N273" s="62"/>
      <c r="O273" s="62"/>
      <c r="P273" s="62"/>
      <c r="Q273" s="62"/>
      <c r="R273" s="62"/>
      <c r="S273" s="62"/>
      <c r="T273" s="62"/>
      <c r="U273" s="62"/>
      <c r="V273" s="62"/>
      <c r="W273" s="62"/>
      <c r="X273" s="62"/>
      <c r="Y273" s="62"/>
      <c r="Z273" s="62"/>
      <c r="AA273" s="62"/>
      <c r="AB273" s="62"/>
      <c r="AC273" s="62"/>
      <c r="AD273" s="62"/>
      <c r="AE273" s="62"/>
      <c r="AF273" s="62"/>
      <c r="AG273" s="62"/>
      <c r="AH273" s="62"/>
      <c r="AI273" s="62"/>
      <c r="AJ273" s="62"/>
      <c r="AK273" s="62"/>
      <c r="AL273" s="62"/>
      <c r="AM273" s="62"/>
      <c r="AN273" s="62"/>
      <c r="AO273" s="62"/>
      <c r="AP273" s="62"/>
      <c r="AQ273" s="62">
        <v>17.8</v>
      </c>
      <c r="AR273" s="62"/>
      <c r="AS273" s="62"/>
      <c r="AT273" s="62"/>
      <c r="AU273" s="63"/>
      <c r="AV273" s="63"/>
      <c r="AW273" s="62"/>
      <c r="AX273" s="63"/>
      <c r="AY273" s="62"/>
      <c r="AZ273" s="62">
        <v>19.8</v>
      </c>
      <c r="BA273" s="63"/>
      <c r="BB273" s="63"/>
      <c r="BC273" s="63"/>
      <c r="BD273" s="62"/>
      <c r="BE273" s="62"/>
      <c r="BF273" s="62"/>
      <c r="BG273" s="62"/>
      <c r="BH273" s="62"/>
      <c r="BI273" s="63"/>
      <c r="BJ273" s="63">
        <v>22.2</v>
      </c>
      <c r="BK273" s="62"/>
      <c r="BL273" s="62"/>
      <c r="BM273" s="62"/>
      <c r="BN273" s="63"/>
      <c r="BO273" s="62"/>
      <c r="BP273" s="64"/>
      <c r="BQ273" s="63"/>
      <c r="BR273" s="62"/>
      <c r="BS273" s="62">
        <v>23.9</v>
      </c>
      <c r="BT273" s="62"/>
      <c r="BU273" s="62"/>
      <c r="BV273" s="62"/>
      <c r="BW273" s="62"/>
      <c r="BX273" s="62"/>
      <c r="BY273" s="62"/>
      <c r="BZ273" s="62"/>
      <c r="CA273" s="62"/>
      <c r="CB273" s="62"/>
      <c r="CC273" s="63"/>
      <c r="CD273" s="63"/>
      <c r="CE273" s="63"/>
      <c r="CF273" s="62"/>
      <c r="CG273" s="63"/>
      <c r="CH273" s="63"/>
      <c r="CI273" s="63"/>
      <c r="CJ273" s="62"/>
      <c r="CK273" s="63"/>
      <c r="CL273" s="63"/>
      <c r="CM273" s="63"/>
      <c r="CN273" s="63"/>
      <c r="CO273" s="63"/>
      <c r="CP273" s="63"/>
      <c r="CQ273" s="63"/>
      <c r="CR273" s="63"/>
      <c r="CS273" s="63"/>
      <c r="CT273" s="63"/>
      <c r="CU273" s="63"/>
      <c r="CV273" s="63"/>
      <c r="CW273" s="63"/>
      <c r="CX273" s="63"/>
      <c r="CY273" s="63"/>
      <c r="CZ273" s="63"/>
      <c r="DA273" s="63"/>
      <c r="DB273" s="63"/>
      <c r="DC273" s="63"/>
      <c r="DD273" s="63"/>
      <c r="DE273" s="63"/>
      <c r="DF273" s="63"/>
      <c r="DG273" s="63"/>
      <c r="DH273" s="63"/>
      <c r="DI273" s="63"/>
      <c r="DJ273" s="63"/>
      <c r="DK273" s="63"/>
      <c r="DL273" s="63"/>
      <c r="DM273" s="63"/>
      <c r="DN273" s="63"/>
      <c r="DO273" s="63"/>
      <c r="DP273" s="63"/>
      <c r="DQ273" s="158"/>
      <c r="DR273" s="158"/>
      <c r="DS273" s="158"/>
      <c r="DT273" s="158"/>
      <c r="DU273" s="158"/>
      <c r="DV273" s="158"/>
      <c r="DW273" s="158"/>
      <c r="DX273" s="158"/>
      <c r="DY273" s="158"/>
      <c r="DZ273" s="22"/>
      <c r="EA273" s="22"/>
      <c r="EB273" s="22"/>
      <c r="EC273" s="22"/>
      <c r="ED273" s="22"/>
      <c r="EE273" s="22"/>
      <c r="EF273" s="22"/>
      <c r="EG273" s="22"/>
    </row>
    <row r="274" spans="1:137" s="5" customFormat="1" ht="15.9" customHeight="1" outlineLevel="1" x14ac:dyDescent="0.3">
      <c r="A274" s="6" t="s">
        <v>22</v>
      </c>
      <c r="B274" s="6"/>
      <c r="C274" s="50" t="s">
        <v>44</v>
      </c>
      <c r="D274" s="147"/>
      <c r="E274" s="6" t="s">
        <v>474</v>
      </c>
      <c r="F274" s="6" t="s">
        <v>527</v>
      </c>
      <c r="G274" s="11" t="s">
        <v>532</v>
      </c>
      <c r="H274" s="11"/>
      <c r="I274" s="205" cm="1">
        <f t="array" ref="I274">IFERROR(LOOKUP(2,1/(N274:GR274&lt;&gt;""),N$4:DRA$4),"")</f>
        <v>45192</v>
      </c>
      <c r="J274" s="170" cm="1">
        <f t="array" ref="J274">IFERROR(_xlfn.XLOOKUP(TRUE,N274:EH274&lt;&gt;"",N274:EH274,,,-1)," ")</f>
        <v>24.5</v>
      </c>
      <c r="K274" s="49">
        <v>23.5</v>
      </c>
      <c r="L274" s="49"/>
      <c r="M274" s="284" t="s">
        <v>34</v>
      </c>
      <c r="N274" s="62"/>
      <c r="O274" s="62"/>
      <c r="P274" s="62"/>
      <c r="Q274" s="62"/>
      <c r="R274" s="62"/>
      <c r="S274" s="62"/>
      <c r="T274" s="62"/>
      <c r="U274" s="62"/>
      <c r="V274" s="62"/>
      <c r="W274" s="62"/>
      <c r="X274" s="62"/>
      <c r="Y274" s="62"/>
      <c r="Z274" s="62"/>
      <c r="AA274" s="62"/>
      <c r="AB274" s="62"/>
      <c r="AC274" s="62"/>
      <c r="AD274" s="62"/>
      <c r="AE274" s="62"/>
      <c r="AF274" s="62"/>
      <c r="AG274" s="62"/>
      <c r="AH274" s="62"/>
      <c r="AI274" s="62"/>
      <c r="AJ274" s="62"/>
      <c r="AK274" s="62"/>
      <c r="AL274" s="62"/>
      <c r="AM274" s="62"/>
      <c r="AN274" s="62"/>
      <c r="AO274" s="62"/>
      <c r="AP274" s="62"/>
      <c r="AQ274" s="62">
        <v>19.2</v>
      </c>
      <c r="AR274" s="62"/>
      <c r="AS274" s="62"/>
      <c r="AT274" s="62"/>
      <c r="AU274" s="63"/>
      <c r="AV274" s="63"/>
      <c r="AW274" s="62"/>
      <c r="AX274" s="63"/>
      <c r="AY274" s="62"/>
      <c r="AZ274" s="62">
        <v>22</v>
      </c>
      <c r="BA274" s="63"/>
      <c r="BB274" s="63"/>
      <c r="BC274" s="63"/>
      <c r="BD274" s="62"/>
      <c r="BE274" s="62"/>
      <c r="BF274" s="62"/>
      <c r="BG274" s="62"/>
      <c r="BH274" s="62"/>
      <c r="BI274" s="63"/>
      <c r="BJ274" s="63">
        <v>24.4</v>
      </c>
      <c r="BK274" s="62"/>
      <c r="BL274" s="62"/>
      <c r="BM274" s="62"/>
      <c r="BN274" s="63"/>
      <c r="BO274" s="62"/>
      <c r="BP274" s="64"/>
      <c r="BQ274" s="63"/>
      <c r="BR274" s="62"/>
      <c r="BS274" s="62">
        <v>24.5</v>
      </c>
      <c r="BT274" s="62"/>
      <c r="BU274" s="62"/>
      <c r="BV274" s="62"/>
      <c r="BW274" s="62"/>
      <c r="BX274" s="62"/>
      <c r="BY274" s="62"/>
      <c r="BZ274" s="62"/>
      <c r="CA274" s="62"/>
      <c r="CB274" s="62"/>
      <c r="CC274" s="63"/>
      <c r="CD274" s="63"/>
      <c r="CE274" s="63"/>
      <c r="CF274" s="62"/>
      <c r="CG274" s="63"/>
      <c r="CH274" s="63"/>
      <c r="CI274" s="63"/>
      <c r="CJ274" s="62"/>
      <c r="CK274" s="63"/>
      <c r="CL274" s="63"/>
      <c r="CM274" s="63"/>
      <c r="CN274" s="63"/>
      <c r="CO274" s="63"/>
      <c r="CP274" s="63"/>
      <c r="CQ274" s="63"/>
      <c r="CR274" s="63"/>
      <c r="CS274" s="63"/>
      <c r="CT274" s="63"/>
      <c r="CU274" s="63"/>
      <c r="CV274" s="63"/>
      <c r="CW274" s="63"/>
      <c r="CX274" s="63"/>
      <c r="CY274" s="63"/>
      <c r="CZ274" s="63"/>
      <c r="DA274" s="63"/>
      <c r="DB274" s="63"/>
      <c r="DC274" s="63"/>
      <c r="DD274" s="63"/>
      <c r="DE274" s="63"/>
      <c r="DF274" s="63"/>
      <c r="DG274" s="63"/>
      <c r="DH274" s="63"/>
      <c r="DI274" s="63"/>
      <c r="DJ274" s="63"/>
      <c r="DK274" s="63"/>
      <c r="DL274" s="63"/>
      <c r="DM274" s="63"/>
      <c r="DN274" s="63"/>
      <c r="DO274" s="63"/>
      <c r="DP274" s="63"/>
      <c r="DQ274" s="158"/>
      <c r="DR274" s="158"/>
      <c r="DS274" s="158"/>
      <c r="DT274" s="158"/>
      <c r="DU274" s="158"/>
      <c r="DV274" s="158"/>
      <c r="DW274" s="158"/>
      <c r="DX274" s="158"/>
      <c r="DY274" s="158"/>
      <c r="DZ274" s="65"/>
      <c r="EA274" s="65"/>
      <c r="EB274" s="65"/>
      <c r="EC274" s="65"/>
      <c r="ED274" s="65"/>
      <c r="EE274" s="65"/>
      <c r="EF274" s="65"/>
      <c r="EG274" s="65"/>
    </row>
    <row r="275" spans="1:137" s="97" customFormat="1" ht="15.9" customHeight="1" x14ac:dyDescent="0.3">
      <c r="A275" s="83"/>
      <c r="B275" s="83"/>
      <c r="C275" s="91"/>
      <c r="D275" s="82"/>
      <c r="E275" s="83" t="s">
        <v>533</v>
      </c>
      <c r="F275" s="83"/>
      <c r="G275" s="84" t="s">
        <v>534</v>
      </c>
      <c r="H275" s="84"/>
      <c r="I275" s="203"/>
      <c r="J275" s="167"/>
      <c r="K275" s="220"/>
      <c r="L275" s="92"/>
      <c r="M275" s="288" t="s">
        <v>21</v>
      </c>
      <c r="N275" s="94"/>
      <c r="O275" s="94"/>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94"/>
      <c r="AU275" s="101"/>
      <c r="AV275" s="101"/>
      <c r="AW275" s="94"/>
      <c r="AX275" s="101"/>
      <c r="AY275" s="94"/>
      <c r="AZ275" s="101"/>
      <c r="BA275" s="101"/>
      <c r="BB275" s="94"/>
      <c r="BC275" s="101"/>
      <c r="BD275" s="101"/>
      <c r="BE275" s="101"/>
      <c r="BF275" s="94"/>
      <c r="BG275" s="94"/>
      <c r="BH275" s="94"/>
      <c r="BI275" s="101"/>
      <c r="BJ275" s="101"/>
      <c r="BK275" s="94"/>
      <c r="BL275" s="94"/>
      <c r="BM275" s="94"/>
      <c r="BN275" s="101"/>
      <c r="BO275" s="94"/>
      <c r="BP275" s="95"/>
      <c r="BQ275" s="101"/>
      <c r="BR275" s="94"/>
      <c r="BS275" s="94"/>
      <c r="BT275" s="94"/>
      <c r="BU275" s="94"/>
      <c r="BV275" s="94"/>
      <c r="BW275" s="94"/>
      <c r="BX275" s="94"/>
      <c r="BY275" s="94"/>
      <c r="BZ275" s="94"/>
      <c r="CA275" s="94"/>
      <c r="CB275" s="94"/>
      <c r="CC275" s="93"/>
      <c r="CD275" s="101"/>
      <c r="CE275" s="101"/>
      <c r="CF275" s="94"/>
      <c r="CG275" s="94"/>
      <c r="CH275" s="101"/>
      <c r="CI275" s="94"/>
      <c r="CJ275" s="94"/>
      <c r="CK275" s="101"/>
      <c r="CL275" s="101"/>
      <c r="CM275" s="94"/>
      <c r="CN275" s="94"/>
      <c r="CO275" s="94"/>
      <c r="CP275" s="94"/>
      <c r="CQ275" s="94"/>
      <c r="CR275" s="101"/>
      <c r="CS275" s="101"/>
      <c r="CT275" s="94"/>
      <c r="CU275" s="94"/>
      <c r="CV275" s="101"/>
      <c r="CW275" s="101"/>
      <c r="CX275" s="101"/>
      <c r="CY275" s="101"/>
      <c r="CZ275" s="101"/>
      <c r="DA275" s="101"/>
      <c r="DB275" s="101"/>
      <c r="DC275" s="101"/>
      <c r="DD275" s="101"/>
      <c r="DE275" s="101"/>
      <c r="DF275" s="101"/>
      <c r="DG275" s="101"/>
      <c r="DH275" s="101"/>
      <c r="DI275" s="101"/>
      <c r="DJ275" s="101"/>
      <c r="DK275" s="101"/>
      <c r="DL275" s="101"/>
      <c r="DM275" s="101"/>
      <c r="DN275" s="101"/>
      <c r="DO275" s="101"/>
      <c r="DP275" s="101"/>
      <c r="DQ275" s="161"/>
      <c r="DR275" s="161"/>
      <c r="DS275" s="161"/>
      <c r="DT275" s="161"/>
      <c r="DU275" s="161"/>
      <c r="DV275" s="161"/>
      <c r="DW275" s="161"/>
      <c r="DX275" s="161"/>
      <c r="DY275" s="161"/>
      <c r="DZ275" s="59"/>
      <c r="EA275" s="59"/>
      <c r="EB275" s="59"/>
      <c r="EC275" s="59"/>
      <c r="ED275" s="59"/>
      <c r="EE275" s="59"/>
      <c r="EF275" s="59"/>
      <c r="EG275" s="59"/>
    </row>
    <row r="276" spans="1:137" s="10" customFormat="1" ht="15.9" customHeight="1" outlineLevel="1" x14ac:dyDescent="0.3">
      <c r="A276" s="7" t="s">
        <v>23</v>
      </c>
      <c r="B276" s="7"/>
      <c r="C276" s="54" t="s">
        <v>44</v>
      </c>
      <c r="D276" s="8">
        <v>23.85</v>
      </c>
      <c r="E276" s="53" t="s">
        <v>533</v>
      </c>
      <c r="F276" s="7" t="s">
        <v>535</v>
      </c>
      <c r="G276" s="52" t="s">
        <v>536</v>
      </c>
      <c r="H276" s="52"/>
      <c r="I276" s="204" cm="1">
        <f t="array" ref="I276">IFERROR(LOOKUP(2,1/(N276:GR276&lt;&gt;""),N$4:DRA$4),"")</f>
        <v>45185</v>
      </c>
      <c r="J276" s="169" cm="1">
        <f t="array" ref="J276">IFERROR(_xlfn.XLOOKUP(TRUE,N276:EH276&lt;&gt;"",N276:EH276,,,-1)," ")</f>
        <v>24.5</v>
      </c>
      <c r="K276" s="45">
        <v>24.5</v>
      </c>
      <c r="L276" s="45">
        <v>25</v>
      </c>
      <c r="M276" s="282" t="s">
        <v>28</v>
      </c>
      <c r="N276" s="57"/>
      <c r="O276" s="57"/>
      <c r="P276" s="57"/>
      <c r="Q276" s="57"/>
      <c r="R276" s="57"/>
      <c r="S276" s="57"/>
      <c r="T276" s="57"/>
      <c r="U276" s="57"/>
      <c r="V276" s="57"/>
      <c r="W276" s="57"/>
      <c r="X276" s="57"/>
      <c r="Y276" s="57"/>
      <c r="Z276" s="57"/>
      <c r="AA276" s="57"/>
      <c r="AB276" s="57"/>
      <c r="AC276" s="57"/>
      <c r="AD276" s="57"/>
      <c r="AE276" s="57"/>
      <c r="AF276" s="57"/>
      <c r="AG276" s="57"/>
      <c r="AH276" s="57"/>
      <c r="AI276" s="57"/>
      <c r="AJ276" s="57"/>
      <c r="AK276" s="57"/>
      <c r="AL276" s="57"/>
      <c r="AM276" s="57"/>
      <c r="AN276" s="57"/>
      <c r="AO276" s="57"/>
      <c r="AP276" s="57"/>
      <c r="AQ276" s="57">
        <v>19.8</v>
      </c>
      <c r="AR276" s="57"/>
      <c r="AS276" s="57"/>
      <c r="AT276" s="57"/>
      <c r="AU276" s="61"/>
      <c r="AV276" s="61"/>
      <c r="AW276" s="57"/>
      <c r="AX276" s="61">
        <v>20.7</v>
      </c>
      <c r="AY276" s="57"/>
      <c r="AZ276" s="61"/>
      <c r="BA276" s="61"/>
      <c r="BB276" s="57"/>
      <c r="BC276" s="61"/>
      <c r="BD276" s="61"/>
      <c r="BE276" s="61"/>
      <c r="BF276" s="57"/>
      <c r="BG276" s="57"/>
      <c r="BH276" s="57">
        <v>23.8</v>
      </c>
      <c r="BI276" s="160">
        <v>24.5</v>
      </c>
      <c r="BJ276" s="61"/>
      <c r="BK276" s="57"/>
      <c r="BL276" s="58">
        <v>24.5</v>
      </c>
      <c r="BM276" s="57"/>
      <c r="BN276" s="61"/>
      <c r="BO276" s="57"/>
      <c r="BP276" s="58"/>
      <c r="BQ276" s="61"/>
      <c r="BR276" s="57"/>
      <c r="BS276" s="57"/>
      <c r="BT276" s="57"/>
      <c r="BU276" s="57"/>
      <c r="BV276" s="57"/>
      <c r="BW276" s="57"/>
      <c r="BX276" s="57"/>
      <c r="BY276" s="57"/>
      <c r="BZ276" s="57"/>
      <c r="CA276" s="57"/>
      <c r="CB276" s="57"/>
      <c r="CC276" s="57"/>
      <c r="CD276" s="61"/>
      <c r="CE276" s="61"/>
      <c r="CF276" s="57"/>
      <c r="CG276" s="57"/>
      <c r="CH276" s="61"/>
      <c r="CI276" s="57"/>
      <c r="CJ276" s="57"/>
      <c r="CK276" s="61"/>
      <c r="CL276" s="61"/>
      <c r="CM276" s="57"/>
      <c r="CN276" s="57"/>
      <c r="CO276" s="57"/>
      <c r="CP276" s="57"/>
      <c r="CQ276" s="57"/>
      <c r="CR276" s="61"/>
      <c r="CS276" s="61"/>
      <c r="CT276" s="57"/>
      <c r="CU276" s="57"/>
      <c r="CV276" s="61"/>
      <c r="CW276" s="61"/>
      <c r="CX276" s="61"/>
      <c r="CY276" s="61"/>
      <c r="CZ276" s="61"/>
      <c r="DA276" s="61"/>
      <c r="DB276" s="61"/>
      <c r="DC276" s="61"/>
      <c r="DD276" s="61"/>
      <c r="DE276" s="61"/>
      <c r="DF276" s="61"/>
      <c r="DG276" s="61"/>
      <c r="DH276" s="61"/>
      <c r="DI276" s="61"/>
      <c r="DJ276" s="61"/>
      <c r="DK276" s="61"/>
      <c r="DL276" s="61"/>
      <c r="DM276" s="61"/>
      <c r="DN276" s="61"/>
      <c r="DO276" s="61"/>
      <c r="DP276" s="61"/>
      <c r="DQ276" s="156"/>
      <c r="DR276" s="156"/>
      <c r="DS276" s="156"/>
      <c r="DT276" s="156"/>
      <c r="DU276" s="156"/>
      <c r="DV276" s="156"/>
      <c r="DW276" s="156"/>
      <c r="DX276" s="156"/>
      <c r="DY276" s="156"/>
      <c r="DZ276" s="59"/>
      <c r="EA276" s="59"/>
      <c r="EB276" s="59"/>
      <c r="EC276" s="59"/>
      <c r="ED276" s="59"/>
      <c r="EE276" s="59"/>
      <c r="EF276" s="59"/>
      <c r="EG276" s="59"/>
    </row>
    <row r="277" spans="1:137" s="5" customFormat="1" ht="15.9" customHeight="1" outlineLevel="1" x14ac:dyDescent="0.3">
      <c r="A277" s="6" t="s">
        <v>22</v>
      </c>
      <c r="B277" s="6" t="s">
        <v>23</v>
      </c>
      <c r="C277" s="50" t="s">
        <v>44</v>
      </c>
      <c r="D277" s="147">
        <v>4.97</v>
      </c>
      <c r="E277" s="6" t="s">
        <v>533</v>
      </c>
      <c r="F277" s="6" t="s">
        <v>537</v>
      </c>
      <c r="G277" s="11" t="s">
        <v>538</v>
      </c>
      <c r="H277" s="11"/>
      <c r="I277" s="205" cm="1">
        <f t="array" ref="I277">IFERROR(LOOKUP(2,1/(N277:GR277&lt;&gt;""),N$4:DRA$4),"")</f>
        <v>45198</v>
      </c>
      <c r="J277" s="170" cm="1">
        <f t="array" ref="J277">IFERROR(_xlfn.XLOOKUP(TRUE,N277:EH277&lt;&gt;"",N277:EH277,,,-1)," ")</f>
        <v>23</v>
      </c>
      <c r="K277" s="49">
        <v>24.5</v>
      </c>
      <c r="L277" s="49">
        <v>25</v>
      </c>
      <c r="M277" s="284" t="s">
        <v>28</v>
      </c>
      <c r="N277" s="62"/>
      <c r="O277" s="62"/>
      <c r="P277" s="62"/>
      <c r="Q277" s="62"/>
      <c r="R277" s="62"/>
      <c r="S277" s="62"/>
      <c r="T277" s="62"/>
      <c r="U277" s="62"/>
      <c r="V277" s="62"/>
      <c r="W277" s="62"/>
      <c r="X277" s="62"/>
      <c r="Y277" s="62"/>
      <c r="Z277" s="62"/>
      <c r="AA277" s="62"/>
      <c r="AB277" s="62"/>
      <c r="AC277" s="62"/>
      <c r="AD277" s="62"/>
      <c r="AE277" s="62"/>
      <c r="AF277" s="62"/>
      <c r="AG277" s="62"/>
      <c r="AH277" s="62"/>
      <c r="AI277" s="62"/>
      <c r="AJ277" s="62"/>
      <c r="AK277" s="62"/>
      <c r="AL277" s="62"/>
      <c r="AM277" s="62"/>
      <c r="AN277" s="62"/>
      <c r="AO277" s="62"/>
      <c r="AP277" s="62"/>
      <c r="AQ277" s="62"/>
      <c r="AR277" s="62"/>
      <c r="AS277" s="62">
        <v>16.7</v>
      </c>
      <c r="AT277" s="62"/>
      <c r="AU277" s="63"/>
      <c r="AV277" s="63"/>
      <c r="AW277" s="62"/>
      <c r="AX277" s="63"/>
      <c r="AY277" s="62"/>
      <c r="AZ277" s="63"/>
      <c r="BA277" s="63"/>
      <c r="BB277" s="62"/>
      <c r="BC277" s="63"/>
      <c r="BD277" s="63"/>
      <c r="BE277" s="63"/>
      <c r="BF277" s="62"/>
      <c r="BG277" s="62"/>
      <c r="BH277" s="62"/>
      <c r="BI277" s="63"/>
      <c r="BJ277" s="63">
        <v>21.8</v>
      </c>
      <c r="BK277" s="62"/>
      <c r="BL277" s="62"/>
      <c r="BM277" s="62"/>
      <c r="BN277" s="63"/>
      <c r="BO277" s="62"/>
      <c r="BP277" s="64"/>
      <c r="BQ277" s="63"/>
      <c r="BR277" s="62"/>
      <c r="BS277" s="62"/>
      <c r="BT277" s="62"/>
      <c r="BU277" s="62">
        <v>22.4</v>
      </c>
      <c r="BV277" s="62"/>
      <c r="BW277" s="62"/>
      <c r="BX277" s="62"/>
      <c r="BY277" s="62">
        <v>23</v>
      </c>
      <c r="BZ277" s="62"/>
      <c r="CA277" s="62"/>
      <c r="CB277" s="62"/>
      <c r="CC277" s="63"/>
      <c r="CD277" s="63"/>
      <c r="CE277" s="63"/>
      <c r="CF277" s="62"/>
      <c r="CG277" s="63"/>
      <c r="CH277" s="63"/>
      <c r="CI277" s="63"/>
      <c r="CJ277" s="62"/>
      <c r="CK277" s="63"/>
      <c r="CL277" s="63"/>
      <c r="CM277" s="63"/>
      <c r="CN277" s="63"/>
      <c r="CO277" s="63"/>
      <c r="CP277" s="63"/>
      <c r="CQ277" s="63"/>
      <c r="CR277" s="63"/>
      <c r="CS277" s="63"/>
      <c r="CT277" s="63"/>
      <c r="CU277" s="63"/>
      <c r="CV277" s="63"/>
      <c r="CW277" s="63"/>
      <c r="CX277" s="63"/>
      <c r="CY277" s="63"/>
      <c r="CZ277" s="63"/>
      <c r="DA277" s="63"/>
      <c r="DB277" s="63"/>
      <c r="DC277" s="63"/>
      <c r="DD277" s="63"/>
      <c r="DE277" s="63"/>
      <c r="DF277" s="63"/>
      <c r="DG277" s="63"/>
      <c r="DH277" s="63"/>
      <c r="DI277" s="63"/>
      <c r="DJ277" s="63"/>
      <c r="DK277" s="63"/>
      <c r="DL277" s="63"/>
      <c r="DM277" s="63"/>
      <c r="DN277" s="63"/>
      <c r="DO277" s="63"/>
      <c r="DP277" s="63"/>
      <c r="DQ277" s="158"/>
      <c r="DR277" s="158"/>
      <c r="DS277" s="158"/>
      <c r="DT277" s="158"/>
      <c r="DU277" s="158"/>
      <c r="DV277" s="158"/>
      <c r="DW277" s="158"/>
      <c r="DX277" s="158"/>
      <c r="DY277" s="158"/>
      <c r="DZ277" s="59"/>
      <c r="EA277" s="59"/>
      <c r="EB277" s="59"/>
      <c r="EC277" s="59"/>
      <c r="ED277" s="59"/>
      <c r="EE277" s="59"/>
      <c r="EF277" s="59"/>
      <c r="EG277" s="59"/>
    </row>
    <row r="278" spans="1:137" s="5" customFormat="1" ht="15.9" customHeight="1" outlineLevel="1" x14ac:dyDescent="0.3">
      <c r="A278" s="6" t="s">
        <v>22</v>
      </c>
      <c r="B278" s="6" t="s">
        <v>23</v>
      </c>
      <c r="C278" s="50" t="s">
        <v>44</v>
      </c>
      <c r="D278" s="147">
        <v>12.29</v>
      </c>
      <c r="E278" s="6" t="s">
        <v>533</v>
      </c>
      <c r="F278" s="6" t="s">
        <v>539</v>
      </c>
      <c r="G278" s="11" t="s">
        <v>540</v>
      </c>
      <c r="H278" s="11"/>
      <c r="I278" s="205" cm="1">
        <f t="array" ref="I278">IFERROR(LOOKUP(2,1/(N278:GR278&lt;&gt;""),N$4:DRA$4),"")</f>
        <v>45198</v>
      </c>
      <c r="J278" s="170" cm="1">
        <f t="array" ref="J278">IFERROR(_xlfn.XLOOKUP(TRUE,N278:EH278&lt;&gt;"",N278:EH278,,,-1)," ")</f>
        <v>24</v>
      </c>
      <c r="K278" s="49">
        <v>24.5</v>
      </c>
      <c r="L278" s="49">
        <v>25</v>
      </c>
      <c r="M278" s="284" t="s">
        <v>28</v>
      </c>
      <c r="N278" s="62"/>
      <c r="O278" s="62"/>
      <c r="P278" s="62"/>
      <c r="Q278" s="62"/>
      <c r="R278" s="62"/>
      <c r="S278" s="62"/>
      <c r="T278" s="62"/>
      <c r="U278" s="62"/>
      <c r="V278" s="62"/>
      <c r="W278" s="62"/>
      <c r="X278" s="62"/>
      <c r="Y278" s="62"/>
      <c r="Z278" s="62"/>
      <c r="AA278" s="62"/>
      <c r="AB278" s="62"/>
      <c r="AC278" s="62"/>
      <c r="AD278" s="62"/>
      <c r="AE278" s="62"/>
      <c r="AF278" s="62"/>
      <c r="AG278" s="62"/>
      <c r="AH278" s="62"/>
      <c r="AI278" s="62"/>
      <c r="AJ278" s="62"/>
      <c r="AK278" s="62"/>
      <c r="AL278" s="62"/>
      <c r="AM278" s="62"/>
      <c r="AN278" s="62"/>
      <c r="AO278" s="62"/>
      <c r="AP278" s="62"/>
      <c r="AQ278" s="62"/>
      <c r="AR278" s="62"/>
      <c r="AS278" s="62"/>
      <c r="AT278" s="62"/>
      <c r="AU278" s="63"/>
      <c r="AV278" s="63"/>
      <c r="AW278" s="62"/>
      <c r="AX278" s="63"/>
      <c r="AY278" s="62"/>
      <c r="AZ278" s="63"/>
      <c r="BA278" s="63"/>
      <c r="BB278" s="62"/>
      <c r="BC278" s="63"/>
      <c r="BD278" s="63"/>
      <c r="BE278" s="63"/>
      <c r="BF278" s="62"/>
      <c r="BG278" s="62"/>
      <c r="BH278" s="62"/>
      <c r="BI278" s="63"/>
      <c r="BJ278" s="63">
        <v>21.6</v>
      </c>
      <c r="BK278" s="62"/>
      <c r="BL278" s="62"/>
      <c r="BM278" s="62"/>
      <c r="BN278" s="63"/>
      <c r="BO278" s="62"/>
      <c r="BP278" s="64"/>
      <c r="BQ278" s="63"/>
      <c r="BR278" s="62"/>
      <c r="BS278" s="62"/>
      <c r="BT278" s="62"/>
      <c r="BU278" s="62"/>
      <c r="BV278" s="62"/>
      <c r="BW278" s="62"/>
      <c r="BX278" s="62"/>
      <c r="BY278" s="62">
        <v>24</v>
      </c>
      <c r="BZ278" s="62"/>
      <c r="CA278" s="62"/>
      <c r="CB278" s="62"/>
      <c r="CC278" s="63"/>
      <c r="CD278" s="63"/>
      <c r="CE278" s="63"/>
      <c r="CF278" s="62"/>
      <c r="CG278" s="63"/>
      <c r="CH278" s="63"/>
      <c r="CI278" s="63"/>
      <c r="CJ278" s="62"/>
      <c r="CK278" s="63"/>
      <c r="CL278" s="63"/>
      <c r="CM278" s="63"/>
      <c r="CN278" s="63"/>
      <c r="CO278" s="63"/>
      <c r="CP278" s="63"/>
      <c r="CQ278" s="63"/>
      <c r="CR278" s="63"/>
      <c r="CS278" s="63"/>
      <c r="CT278" s="63"/>
      <c r="CU278" s="63"/>
      <c r="CV278" s="63"/>
      <c r="CW278" s="63"/>
      <c r="CX278" s="63"/>
      <c r="CY278" s="63"/>
      <c r="CZ278" s="63"/>
      <c r="DA278" s="63"/>
      <c r="DB278" s="63"/>
      <c r="DC278" s="63"/>
      <c r="DD278" s="63"/>
      <c r="DE278" s="63"/>
      <c r="DF278" s="63"/>
      <c r="DG278" s="63"/>
      <c r="DH278" s="63"/>
      <c r="DI278" s="63"/>
      <c r="DJ278" s="63"/>
      <c r="DK278" s="63"/>
      <c r="DL278" s="63"/>
      <c r="DM278" s="63"/>
      <c r="DN278" s="63"/>
      <c r="DO278" s="63"/>
      <c r="DP278" s="63"/>
      <c r="DQ278" s="158"/>
      <c r="DR278" s="158"/>
      <c r="DS278" s="158"/>
      <c r="DT278" s="158"/>
      <c r="DU278" s="158"/>
      <c r="DV278" s="158"/>
      <c r="DW278" s="158"/>
      <c r="DX278" s="158"/>
      <c r="DY278" s="158"/>
      <c r="DZ278" s="65"/>
      <c r="EA278" s="65"/>
      <c r="EB278" s="65"/>
      <c r="EC278" s="65"/>
      <c r="ED278" s="65"/>
      <c r="EE278" s="65"/>
      <c r="EF278" s="65"/>
      <c r="EG278" s="65"/>
    </row>
    <row r="279" spans="1:137" s="5" customFormat="1" ht="15.9" customHeight="1" outlineLevel="1" x14ac:dyDescent="0.3">
      <c r="A279" s="6" t="s">
        <v>22</v>
      </c>
      <c r="B279" s="6" t="s">
        <v>23</v>
      </c>
      <c r="C279" s="50" t="s">
        <v>44</v>
      </c>
      <c r="D279" s="147">
        <v>16.22</v>
      </c>
      <c r="E279" s="6" t="s">
        <v>533</v>
      </c>
      <c r="F279" s="6" t="s">
        <v>541</v>
      </c>
      <c r="G279" s="11" t="s">
        <v>542</v>
      </c>
      <c r="H279" s="11"/>
      <c r="I279" s="205" cm="1">
        <f t="array" ref="I279">IFERROR(LOOKUP(2,1/(N279:GR279&lt;&gt;""),N$4:DRA$4),"")</f>
        <v>45197</v>
      </c>
      <c r="J279" s="170" cm="1">
        <f t="array" ref="J279">IFERROR(_xlfn.XLOOKUP(TRUE,N279:EH279&lt;&gt;"",N279:EH279,,,-1)," ")</f>
        <v>24.95</v>
      </c>
      <c r="K279" s="49">
        <v>24.5</v>
      </c>
      <c r="L279" s="49">
        <v>25</v>
      </c>
      <c r="M279" s="284" t="s">
        <v>28</v>
      </c>
      <c r="N279" s="62"/>
      <c r="O279" s="62"/>
      <c r="P279" s="62"/>
      <c r="Q279" s="62"/>
      <c r="R279" s="62"/>
      <c r="S279" s="62"/>
      <c r="T279" s="62"/>
      <c r="U279" s="62"/>
      <c r="V279" s="62"/>
      <c r="W279" s="62"/>
      <c r="X279" s="62"/>
      <c r="Y279" s="62"/>
      <c r="Z279" s="62"/>
      <c r="AA279" s="62"/>
      <c r="AB279" s="62"/>
      <c r="AC279" s="62"/>
      <c r="AD279" s="62"/>
      <c r="AE279" s="62"/>
      <c r="AF279" s="62"/>
      <c r="AG279" s="62"/>
      <c r="AH279" s="62"/>
      <c r="AI279" s="62"/>
      <c r="AJ279" s="62"/>
      <c r="AK279" s="62"/>
      <c r="AL279" s="62"/>
      <c r="AM279" s="62"/>
      <c r="AN279" s="62"/>
      <c r="AO279" s="62"/>
      <c r="AP279" s="62"/>
      <c r="AQ279" s="62"/>
      <c r="AR279" s="62"/>
      <c r="AS279" s="62">
        <v>19.2</v>
      </c>
      <c r="AT279" s="62"/>
      <c r="AU279" s="63"/>
      <c r="AV279" s="63"/>
      <c r="AW279" s="62"/>
      <c r="AX279" s="63"/>
      <c r="AY279" s="62"/>
      <c r="AZ279" s="63"/>
      <c r="BA279" s="62"/>
      <c r="BB279" s="62"/>
      <c r="BC279" s="63"/>
      <c r="BD279" s="63"/>
      <c r="BE279" s="63"/>
      <c r="BF279" s="62"/>
      <c r="BG279" s="62"/>
      <c r="BH279" s="62"/>
      <c r="BI279" s="63"/>
      <c r="BJ279" s="63">
        <v>22.4</v>
      </c>
      <c r="BK279" s="62"/>
      <c r="BL279" s="62"/>
      <c r="BM279" s="62"/>
      <c r="BN279" s="63"/>
      <c r="BO279" s="64"/>
      <c r="BP279" s="64"/>
      <c r="BQ279" s="63"/>
      <c r="BR279" s="62"/>
      <c r="BS279" s="62"/>
      <c r="BT279" s="62"/>
      <c r="BU279" s="62"/>
      <c r="BV279" s="62"/>
      <c r="BW279" s="62"/>
      <c r="BX279" s="64">
        <f>AVERAGE(25,24.9)</f>
        <v>24.95</v>
      </c>
      <c r="BY279" s="62"/>
      <c r="BZ279" s="62"/>
      <c r="CA279" s="62"/>
      <c r="CB279" s="62"/>
      <c r="CC279" s="63"/>
      <c r="CD279" s="63"/>
      <c r="CE279" s="63"/>
      <c r="CF279" s="62"/>
      <c r="CG279" s="63"/>
      <c r="CH279" s="63"/>
      <c r="CI279" s="63"/>
      <c r="CJ279" s="62"/>
      <c r="CK279" s="63"/>
      <c r="CL279" s="63"/>
      <c r="CM279" s="63"/>
      <c r="CN279" s="63"/>
      <c r="CO279" s="63"/>
      <c r="CP279" s="63"/>
      <c r="CQ279" s="63"/>
      <c r="CR279" s="63"/>
      <c r="CS279" s="63"/>
      <c r="CT279" s="63"/>
      <c r="CU279" s="63"/>
      <c r="CV279" s="63"/>
      <c r="CW279" s="63"/>
      <c r="CX279" s="63"/>
      <c r="CY279" s="63"/>
      <c r="CZ279" s="63"/>
      <c r="DA279" s="63"/>
      <c r="DB279" s="63"/>
      <c r="DC279" s="63"/>
      <c r="DD279" s="63"/>
      <c r="DE279" s="63"/>
      <c r="DF279" s="63"/>
      <c r="DG279" s="63"/>
      <c r="DH279" s="63"/>
      <c r="DI279" s="63"/>
      <c r="DJ279" s="63"/>
      <c r="DK279" s="63"/>
      <c r="DL279" s="63"/>
      <c r="DM279" s="63"/>
      <c r="DN279" s="63"/>
      <c r="DO279" s="63"/>
      <c r="DP279" s="63"/>
      <c r="DQ279" s="158"/>
      <c r="DR279" s="158"/>
      <c r="DS279" s="158"/>
      <c r="DT279" s="158"/>
      <c r="DU279" s="158"/>
      <c r="DV279" s="158"/>
      <c r="DW279" s="158"/>
      <c r="DX279" s="158"/>
      <c r="DY279" s="158"/>
      <c r="DZ279" s="59"/>
      <c r="EA279" s="59"/>
      <c r="EB279" s="59"/>
      <c r="EC279" s="59"/>
      <c r="ED279" s="59"/>
      <c r="EE279" s="59"/>
      <c r="EF279" s="59"/>
      <c r="EG279" s="59"/>
    </row>
    <row r="280" spans="1:137" s="10" customFormat="1" ht="15.9" customHeight="1" outlineLevel="1" x14ac:dyDescent="0.3">
      <c r="A280" s="7" t="s">
        <v>22</v>
      </c>
      <c r="B280" s="7" t="s">
        <v>23</v>
      </c>
      <c r="C280" s="8" t="s">
        <v>24</v>
      </c>
      <c r="D280" s="146">
        <v>57.07</v>
      </c>
      <c r="E280" s="7" t="s">
        <v>533</v>
      </c>
      <c r="F280" s="7" t="s">
        <v>261</v>
      </c>
      <c r="G280" s="9" t="s">
        <v>543</v>
      </c>
      <c r="H280" s="9" t="s">
        <v>22</v>
      </c>
      <c r="I280" s="204" cm="1">
        <f t="array" ref="I280">IFERROR(LOOKUP(2,1/(N280:GR280&lt;&gt;""),N$4:DRA$4),"")</f>
        <v>45196</v>
      </c>
      <c r="J280" s="169" cm="1">
        <f t="array" ref="J280">IFERROR(_xlfn.XLOOKUP(TRUE,N280:EH280&lt;&gt;"",N280:EH280,,,-1)," ")</f>
        <v>24.1</v>
      </c>
      <c r="K280" s="45">
        <v>25</v>
      </c>
      <c r="L280" s="45"/>
      <c r="M280" s="282" t="s">
        <v>131</v>
      </c>
      <c r="N280" s="57"/>
      <c r="O280" s="57"/>
      <c r="P280" s="57"/>
      <c r="Q280" s="57"/>
      <c r="R280" s="57"/>
      <c r="S280" s="57"/>
      <c r="T280" s="57"/>
      <c r="U280" s="57"/>
      <c r="V280" s="57"/>
      <c r="W280" s="57"/>
      <c r="X280" s="57"/>
      <c r="Y280" s="57"/>
      <c r="Z280" s="57"/>
      <c r="AA280" s="57"/>
      <c r="AB280" s="57"/>
      <c r="AC280" s="57"/>
      <c r="AD280" s="57"/>
      <c r="AE280" s="57"/>
      <c r="AF280" s="57"/>
      <c r="AG280" s="57"/>
      <c r="AH280" s="57"/>
      <c r="AI280" s="57"/>
      <c r="AJ280" s="57"/>
      <c r="AK280" s="57"/>
      <c r="AL280" s="57"/>
      <c r="AM280" s="57"/>
      <c r="AN280" s="57"/>
      <c r="AO280" s="57"/>
      <c r="AP280" s="57"/>
      <c r="AQ280" s="57"/>
      <c r="AR280" s="57"/>
      <c r="AS280" s="57"/>
      <c r="AT280" s="57"/>
      <c r="AU280" s="61"/>
      <c r="AV280" s="61">
        <v>19.2</v>
      </c>
      <c r="AW280" s="57"/>
      <c r="AX280" s="61"/>
      <c r="AY280" s="57"/>
      <c r="AZ280" s="61"/>
      <c r="BA280" s="61"/>
      <c r="BB280" s="57"/>
      <c r="BC280" s="61"/>
      <c r="BD280" s="61"/>
      <c r="BE280" s="61"/>
      <c r="BF280" s="57"/>
      <c r="BG280" s="57"/>
      <c r="BH280" s="57"/>
      <c r="BI280" s="61"/>
      <c r="BJ280" s="61"/>
      <c r="BK280" s="57"/>
      <c r="BL280" s="57"/>
      <c r="BM280" s="57"/>
      <c r="BN280" s="61"/>
      <c r="BO280" s="57"/>
      <c r="BP280" s="58"/>
      <c r="BQ280" s="61"/>
      <c r="BR280" s="57"/>
      <c r="BS280" s="57"/>
      <c r="BT280" s="57"/>
      <c r="BU280" s="57"/>
      <c r="BV280" s="57"/>
      <c r="BW280" s="57">
        <v>24.1</v>
      </c>
      <c r="BX280" s="57"/>
      <c r="BY280" s="57"/>
      <c r="BZ280" s="57"/>
      <c r="CA280" s="57"/>
      <c r="CB280" s="57"/>
      <c r="CC280" s="27"/>
      <c r="CD280" s="61"/>
      <c r="CE280" s="61"/>
      <c r="CF280" s="57"/>
      <c r="CG280" s="57"/>
      <c r="CH280" s="61"/>
      <c r="CI280" s="57"/>
      <c r="CJ280" s="57"/>
      <c r="CK280" s="61"/>
      <c r="CL280" s="61"/>
      <c r="CM280" s="57"/>
      <c r="CN280" s="57"/>
      <c r="CO280" s="57"/>
      <c r="CP280" s="57"/>
      <c r="CQ280" s="57"/>
      <c r="CR280" s="61"/>
      <c r="CS280" s="61"/>
      <c r="CT280" s="57"/>
      <c r="CU280" s="57"/>
      <c r="CV280" s="61"/>
      <c r="CW280" s="61"/>
      <c r="CX280" s="61"/>
      <c r="CY280" s="61"/>
      <c r="CZ280" s="61"/>
      <c r="DA280" s="61"/>
      <c r="DB280" s="61"/>
      <c r="DC280" s="61"/>
      <c r="DD280" s="61"/>
      <c r="DE280" s="61"/>
      <c r="DF280" s="61"/>
      <c r="DG280" s="61"/>
      <c r="DH280" s="61"/>
      <c r="DI280" s="61"/>
      <c r="DJ280" s="61"/>
      <c r="DK280" s="61"/>
      <c r="DL280" s="61"/>
      <c r="DM280" s="61"/>
      <c r="DN280" s="61"/>
      <c r="DO280" s="61"/>
      <c r="DP280" s="61"/>
      <c r="DQ280" s="156"/>
      <c r="DR280" s="156"/>
      <c r="DS280" s="156"/>
      <c r="DT280" s="156"/>
      <c r="DU280" s="156"/>
      <c r="DV280" s="156"/>
      <c r="DW280" s="156"/>
      <c r="DX280" s="156"/>
      <c r="DY280" s="156"/>
      <c r="DZ280" s="65"/>
      <c r="EA280" s="65"/>
      <c r="EB280" s="65"/>
      <c r="EC280" s="65"/>
      <c r="ED280" s="65"/>
      <c r="EE280" s="65"/>
      <c r="EF280" s="65"/>
      <c r="EG280" s="65"/>
    </row>
    <row r="281" spans="1:137" s="10" customFormat="1" ht="15.9" customHeight="1" outlineLevel="1" x14ac:dyDescent="0.3">
      <c r="A281" s="7" t="s">
        <v>22</v>
      </c>
      <c r="B281" s="7" t="s">
        <v>23</v>
      </c>
      <c r="C281" s="8" t="s">
        <v>24</v>
      </c>
      <c r="D281" s="146"/>
      <c r="E281" s="7" t="s">
        <v>533</v>
      </c>
      <c r="F281" s="7" t="s">
        <v>261</v>
      </c>
      <c r="G281" s="9" t="s">
        <v>544</v>
      </c>
      <c r="H281" s="9"/>
      <c r="I281" s="204" t="str" cm="1">
        <f t="array" ref="I281">IFERROR(LOOKUP(2,1/(N281:GR281&lt;&gt;""),N$4:DRA$4),"")</f>
        <v/>
      </c>
      <c r="J281" s="169" t="str" cm="1">
        <f t="array" ref="J281">IFERROR(_xlfn.XLOOKUP(TRUE,N281:EH281&lt;&gt;"",N281:EH281,,,-1)," ")</f>
        <v xml:space="preserve"> </v>
      </c>
      <c r="K281" s="45">
        <v>25</v>
      </c>
      <c r="L281" s="45"/>
      <c r="M281" s="282" t="s">
        <v>131</v>
      </c>
      <c r="N281" s="57"/>
      <c r="O281" s="57"/>
      <c r="P281" s="57"/>
      <c r="Q281" s="57"/>
      <c r="R281" s="57"/>
      <c r="S281" s="57"/>
      <c r="T281" s="57"/>
      <c r="U281" s="57"/>
      <c r="V281" s="57"/>
      <c r="W281" s="57"/>
      <c r="X281" s="57"/>
      <c r="Y281" s="57"/>
      <c r="Z281" s="57"/>
      <c r="AA281" s="57"/>
      <c r="AB281" s="57"/>
      <c r="AC281" s="57"/>
      <c r="AD281" s="57"/>
      <c r="AE281" s="57"/>
      <c r="AF281" s="57"/>
      <c r="AG281" s="57"/>
      <c r="AH281" s="57"/>
      <c r="AI281" s="57"/>
      <c r="AJ281" s="57"/>
      <c r="AK281" s="57"/>
      <c r="AL281" s="57"/>
      <c r="AM281" s="57"/>
      <c r="AN281" s="57"/>
      <c r="AO281" s="57"/>
      <c r="AP281" s="57"/>
      <c r="AQ281" s="57"/>
      <c r="AR281" s="57"/>
      <c r="AS281" s="57"/>
      <c r="AT281" s="57"/>
      <c r="AU281" s="61"/>
      <c r="AV281" s="61"/>
      <c r="AW281" s="57"/>
      <c r="AX281" s="61"/>
      <c r="AY281" s="57"/>
      <c r="AZ281" s="61"/>
      <c r="BA281" s="61"/>
      <c r="BB281" s="57"/>
      <c r="BC281" s="61"/>
      <c r="BD281" s="61"/>
      <c r="BE281" s="61"/>
      <c r="BF281" s="57"/>
      <c r="BG281" s="57"/>
      <c r="BH281" s="57"/>
      <c r="BI281" s="61"/>
      <c r="BJ281" s="61"/>
      <c r="BK281" s="57"/>
      <c r="BL281" s="57"/>
      <c r="BM281" s="57"/>
      <c r="BN281" s="61"/>
      <c r="BO281" s="57"/>
      <c r="BP281" s="58"/>
      <c r="BQ281" s="61"/>
      <c r="BR281" s="57"/>
      <c r="BS281" s="57"/>
      <c r="BT281" s="57"/>
      <c r="BU281" s="57"/>
      <c r="BV281" s="57"/>
      <c r="BW281" s="57"/>
      <c r="BX281" s="57"/>
      <c r="BY281" s="57"/>
      <c r="BZ281" s="57"/>
      <c r="CA281" s="57"/>
      <c r="CB281" s="57"/>
      <c r="CC281" s="27"/>
      <c r="CD281" s="61"/>
      <c r="CE281" s="61"/>
      <c r="CF281" s="57"/>
      <c r="CG281" s="57"/>
      <c r="CH281" s="61"/>
      <c r="CI281" s="57"/>
      <c r="CJ281" s="57"/>
      <c r="CK281" s="61"/>
      <c r="CL281" s="61"/>
      <c r="CM281" s="57"/>
      <c r="CN281" s="57"/>
      <c r="CO281" s="57"/>
      <c r="CP281" s="57"/>
      <c r="CQ281" s="57"/>
      <c r="CR281" s="61"/>
      <c r="CS281" s="61"/>
      <c r="CT281" s="57"/>
      <c r="CU281" s="57"/>
      <c r="CV281" s="61"/>
      <c r="CW281" s="61"/>
      <c r="CX281" s="61"/>
      <c r="CY281" s="61"/>
      <c r="CZ281" s="61"/>
      <c r="DA281" s="61"/>
      <c r="DB281" s="61"/>
      <c r="DC281" s="61"/>
      <c r="DD281" s="61"/>
      <c r="DE281" s="61"/>
      <c r="DF281" s="61"/>
      <c r="DG281" s="61"/>
      <c r="DH281" s="61"/>
      <c r="DI281" s="61"/>
      <c r="DJ281" s="61"/>
      <c r="DK281" s="61"/>
      <c r="DL281" s="61"/>
      <c r="DM281" s="61"/>
      <c r="DN281" s="61"/>
      <c r="DO281" s="61"/>
      <c r="DP281" s="61"/>
      <c r="DQ281" s="156"/>
      <c r="DR281" s="156"/>
      <c r="DS281" s="156"/>
      <c r="DT281" s="156"/>
      <c r="DU281" s="156"/>
      <c r="DV281" s="156"/>
      <c r="DW281" s="156"/>
      <c r="DX281" s="156"/>
      <c r="DY281" s="156"/>
      <c r="DZ281" s="22"/>
      <c r="EA281" s="22"/>
      <c r="EB281" s="22"/>
      <c r="EC281" s="22"/>
      <c r="ED281" s="22"/>
      <c r="EE281" s="22"/>
      <c r="EF281" s="22"/>
      <c r="EG281" s="22"/>
    </row>
    <row r="282" spans="1:137" s="10" customFormat="1" ht="15.9" customHeight="1" outlineLevel="1" x14ac:dyDescent="0.3">
      <c r="A282" s="7" t="s">
        <v>22</v>
      </c>
      <c r="B282" s="7" t="s">
        <v>23</v>
      </c>
      <c r="C282" s="8" t="s">
        <v>24</v>
      </c>
      <c r="D282" s="146"/>
      <c r="E282" s="7" t="s">
        <v>533</v>
      </c>
      <c r="F282" s="7" t="s">
        <v>261</v>
      </c>
      <c r="G282" s="9" t="s">
        <v>545</v>
      </c>
      <c r="H282" s="9"/>
      <c r="I282" s="204" cm="1">
        <f t="array" ref="I282">IFERROR(LOOKUP(2,1/(N282:GR282&lt;&gt;""),N$4:DRA$4),"")</f>
        <v>45189</v>
      </c>
      <c r="J282" s="169" cm="1">
        <f t="array" ref="J282">IFERROR(_xlfn.XLOOKUP(TRUE,N282:EH282&lt;&gt;"",N282:EH282,,,-1)," ")</f>
        <v>23.2</v>
      </c>
      <c r="K282" s="45">
        <v>25</v>
      </c>
      <c r="L282" s="45"/>
      <c r="M282" s="282" t="s">
        <v>131</v>
      </c>
      <c r="N282" s="57"/>
      <c r="O282" s="57"/>
      <c r="P282" s="57"/>
      <c r="Q282" s="57"/>
      <c r="R282" s="57"/>
      <c r="S282" s="57"/>
      <c r="T282" s="57"/>
      <c r="U282" s="57"/>
      <c r="V282" s="57"/>
      <c r="W282" s="57"/>
      <c r="X282" s="57"/>
      <c r="Y282" s="57"/>
      <c r="Z282" s="57"/>
      <c r="AA282" s="57"/>
      <c r="AB282" s="57"/>
      <c r="AC282" s="57"/>
      <c r="AD282" s="57"/>
      <c r="AE282" s="57"/>
      <c r="AF282" s="57"/>
      <c r="AG282" s="57"/>
      <c r="AH282" s="57"/>
      <c r="AI282" s="57"/>
      <c r="AJ282" s="57"/>
      <c r="AK282" s="57"/>
      <c r="AL282" s="57"/>
      <c r="AM282" s="57"/>
      <c r="AN282" s="57"/>
      <c r="AO282" s="57"/>
      <c r="AP282" s="57"/>
      <c r="AQ282" s="57"/>
      <c r="AR282" s="57"/>
      <c r="AS282" s="57"/>
      <c r="AT282" s="57"/>
      <c r="AU282" s="61"/>
      <c r="AV282" s="61"/>
      <c r="AW282" s="57"/>
      <c r="AX282" s="61"/>
      <c r="AY282" s="57"/>
      <c r="AZ282" s="61"/>
      <c r="BA282" s="61"/>
      <c r="BB282" s="57"/>
      <c r="BC282" s="61"/>
      <c r="BD282" s="61"/>
      <c r="BE282" s="61"/>
      <c r="BF282" s="57"/>
      <c r="BG282" s="57"/>
      <c r="BH282" s="57">
        <v>22.7</v>
      </c>
      <c r="BI282" s="61"/>
      <c r="BJ282" s="61"/>
      <c r="BK282" s="57"/>
      <c r="BL282" s="57"/>
      <c r="BM282" s="57"/>
      <c r="BN282" s="61"/>
      <c r="BO282" s="57"/>
      <c r="BP282" s="57">
        <v>23.2</v>
      </c>
      <c r="BQ282" s="61"/>
      <c r="BR282" s="57"/>
      <c r="BS282" s="57"/>
      <c r="BT282" s="57"/>
      <c r="BU282" s="57"/>
      <c r="BV282" s="57"/>
      <c r="BW282" s="57"/>
      <c r="BX282" s="57"/>
      <c r="BY282" s="57"/>
      <c r="BZ282" s="57"/>
      <c r="CA282" s="57"/>
      <c r="CB282" s="57"/>
      <c r="CC282" s="27"/>
      <c r="CD282" s="61"/>
      <c r="CE282" s="61"/>
      <c r="CF282" s="57"/>
      <c r="CG282" s="57"/>
      <c r="CH282" s="61"/>
      <c r="CI282" s="57"/>
      <c r="CJ282" s="57"/>
      <c r="CK282" s="61"/>
      <c r="CL282" s="61"/>
      <c r="CM282" s="57"/>
      <c r="CN282" s="57"/>
      <c r="CO282" s="57"/>
      <c r="CP282" s="57"/>
      <c r="CQ282" s="57"/>
      <c r="CR282" s="61"/>
      <c r="CS282" s="61"/>
      <c r="CT282" s="57"/>
      <c r="CU282" s="57"/>
      <c r="CV282" s="61"/>
      <c r="CW282" s="61"/>
      <c r="CX282" s="61"/>
      <c r="CY282" s="61"/>
      <c r="CZ282" s="61"/>
      <c r="DA282" s="61"/>
      <c r="DB282" s="61"/>
      <c r="DC282" s="61"/>
      <c r="DD282" s="61"/>
      <c r="DE282" s="61"/>
      <c r="DF282" s="61"/>
      <c r="DG282" s="61"/>
      <c r="DH282" s="61"/>
      <c r="DI282" s="61"/>
      <c r="DJ282" s="61"/>
      <c r="DK282" s="61"/>
      <c r="DL282" s="61"/>
      <c r="DM282" s="61"/>
      <c r="DN282" s="61"/>
      <c r="DO282" s="61"/>
      <c r="DP282" s="61"/>
      <c r="DQ282" s="156"/>
      <c r="DR282" s="156"/>
      <c r="DS282" s="156"/>
      <c r="DT282" s="156"/>
      <c r="DU282" s="156"/>
      <c r="DV282" s="156"/>
      <c r="DW282" s="156"/>
      <c r="DX282" s="156"/>
      <c r="DY282" s="156"/>
      <c r="DZ282" s="22"/>
      <c r="EA282" s="22"/>
      <c r="EB282" s="22"/>
      <c r="EC282" s="22"/>
      <c r="ED282" s="22"/>
      <c r="EE282" s="22"/>
      <c r="EF282" s="22"/>
      <c r="EG282" s="22"/>
    </row>
    <row r="283" spans="1:137" s="10" customFormat="1" ht="15.9" customHeight="1" outlineLevel="1" x14ac:dyDescent="0.3">
      <c r="A283" s="7" t="s">
        <v>22</v>
      </c>
      <c r="B283" s="7" t="s">
        <v>23</v>
      </c>
      <c r="C283" s="8" t="s">
        <v>24</v>
      </c>
      <c r="D283" s="146"/>
      <c r="E283" s="7" t="s">
        <v>533</v>
      </c>
      <c r="F283" s="7" t="s">
        <v>261</v>
      </c>
      <c r="G283" s="9" t="s">
        <v>546</v>
      </c>
      <c r="H283" s="9"/>
      <c r="I283" s="204" cm="1">
        <f t="array" ref="I283">IFERROR(LOOKUP(2,1/(N283:GR283&lt;&gt;""),N$4:DRA$4),"")</f>
        <v>45189</v>
      </c>
      <c r="J283" s="169" cm="1">
        <f t="array" ref="J283">IFERROR(_xlfn.XLOOKUP(TRUE,N283:EH283&lt;&gt;"",N283:EH283,,,-1)," ")</f>
        <v>23</v>
      </c>
      <c r="K283" s="45">
        <v>25</v>
      </c>
      <c r="L283" s="45"/>
      <c r="M283" s="282" t="s">
        <v>131</v>
      </c>
      <c r="N283" s="57"/>
      <c r="O283" s="57"/>
      <c r="P283" s="57"/>
      <c r="Q283" s="57"/>
      <c r="R283" s="57"/>
      <c r="S283" s="57"/>
      <c r="T283" s="57"/>
      <c r="U283" s="57"/>
      <c r="V283" s="57"/>
      <c r="W283" s="57"/>
      <c r="X283" s="57"/>
      <c r="Y283" s="57"/>
      <c r="Z283" s="57"/>
      <c r="AA283" s="57"/>
      <c r="AB283" s="57"/>
      <c r="AC283" s="57"/>
      <c r="AD283" s="57"/>
      <c r="AE283" s="57"/>
      <c r="AF283" s="57"/>
      <c r="AG283" s="57"/>
      <c r="AH283" s="57"/>
      <c r="AI283" s="57"/>
      <c r="AJ283" s="57"/>
      <c r="AK283" s="57"/>
      <c r="AL283" s="57"/>
      <c r="AM283" s="57"/>
      <c r="AN283" s="57"/>
      <c r="AO283" s="57"/>
      <c r="AP283" s="57"/>
      <c r="AQ283" s="57"/>
      <c r="AR283" s="57"/>
      <c r="AS283" s="57"/>
      <c r="AT283" s="57"/>
      <c r="AU283" s="61"/>
      <c r="AV283" s="61"/>
      <c r="AW283" s="57"/>
      <c r="AX283" s="61"/>
      <c r="AY283" s="57"/>
      <c r="AZ283" s="61"/>
      <c r="BA283" s="61"/>
      <c r="BB283" s="57"/>
      <c r="BC283" s="61"/>
      <c r="BD283" s="61"/>
      <c r="BE283" s="61"/>
      <c r="BF283" s="57"/>
      <c r="BG283" s="57"/>
      <c r="BH283" s="57">
        <v>22.4</v>
      </c>
      <c r="BI283" s="61"/>
      <c r="BJ283" s="61"/>
      <c r="BK283" s="57"/>
      <c r="BL283" s="57"/>
      <c r="BM283" s="57"/>
      <c r="BN283" s="61"/>
      <c r="BO283" s="57"/>
      <c r="BP283" s="57">
        <v>23</v>
      </c>
      <c r="BQ283" s="61"/>
      <c r="BR283" s="57"/>
      <c r="BS283" s="57"/>
      <c r="BT283" s="57"/>
      <c r="BU283" s="57"/>
      <c r="BV283" s="57"/>
      <c r="BW283" s="57"/>
      <c r="BX283" s="57"/>
      <c r="BY283" s="57"/>
      <c r="BZ283" s="57"/>
      <c r="CA283" s="57"/>
      <c r="CB283" s="57"/>
      <c r="CC283" s="27"/>
      <c r="CD283" s="61"/>
      <c r="CE283" s="61"/>
      <c r="CF283" s="57"/>
      <c r="CG283" s="57"/>
      <c r="CH283" s="61"/>
      <c r="CI283" s="57"/>
      <c r="CJ283" s="57"/>
      <c r="CK283" s="61"/>
      <c r="CL283" s="61"/>
      <c r="CM283" s="57"/>
      <c r="CN283" s="57"/>
      <c r="CO283" s="57"/>
      <c r="CP283" s="57"/>
      <c r="CQ283" s="57"/>
      <c r="CR283" s="61"/>
      <c r="CS283" s="61"/>
      <c r="CT283" s="57"/>
      <c r="CU283" s="57"/>
      <c r="CV283" s="61"/>
      <c r="CW283" s="61"/>
      <c r="CX283" s="61"/>
      <c r="CY283" s="61"/>
      <c r="CZ283" s="61"/>
      <c r="DA283" s="61"/>
      <c r="DB283" s="61"/>
      <c r="DC283" s="61"/>
      <c r="DD283" s="61"/>
      <c r="DE283" s="61"/>
      <c r="DF283" s="61"/>
      <c r="DG283" s="61"/>
      <c r="DH283" s="61"/>
      <c r="DI283" s="61"/>
      <c r="DJ283" s="61"/>
      <c r="DK283" s="61"/>
      <c r="DL283" s="61"/>
      <c r="DM283" s="61"/>
      <c r="DN283" s="61"/>
      <c r="DO283" s="61"/>
      <c r="DP283" s="61"/>
      <c r="DQ283" s="156"/>
      <c r="DR283" s="156"/>
      <c r="DS283" s="156"/>
      <c r="DT283" s="156"/>
      <c r="DU283" s="156"/>
      <c r="DV283" s="156"/>
      <c r="DW283" s="156"/>
      <c r="DX283" s="156"/>
      <c r="DY283" s="156"/>
      <c r="DZ283" s="59"/>
      <c r="EA283" s="59"/>
      <c r="EB283" s="59"/>
      <c r="EC283" s="59"/>
      <c r="ED283" s="59"/>
      <c r="EE283" s="59"/>
      <c r="EF283" s="59"/>
      <c r="EG283" s="59"/>
    </row>
    <row r="284" spans="1:137" s="5" customFormat="1" ht="15.9" customHeight="1" outlineLevel="1" x14ac:dyDescent="0.3">
      <c r="A284" s="6" t="s">
        <v>22</v>
      </c>
      <c r="B284" s="6" t="s">
        <v>23</v>
      </c>
      <c r="C284" s="50" t="s">
        <v>24</v>
      </c>
      <c r="D284" s="147">
        <v>43.76</v>
      </c>
      <c r="E284" s="6" t="s">
        <v>533</v>
      </c>
      <c r="F284" s="6" t="s">
        <v>547</v>
      </c>
      <c r="G284" s="11" t="s">
        <v>548</v>
      </c>
      <c r="H284" s="11"/>
      <c r="I284" s="205" t="str" cm="1">
        <f t="array" ref="I284">IFERROR(LOOKUP(2,1/(N284:GR284&lt;&gt;""),N$4:DRA$4),"")</f>
        <v/>
      </c>
      <c r="J284" s="170" t="str" cm="1">
        <f t="array" ref="J284">IFERROR(_xlfn.XLOOKUP(TRUE,N284:EH284&lt;&gt;"",N284:EH284,,,-1)," ")</f>
        <v xml:space="preserve"> </v>
      </c>
      <c r="K284" s="49">
        <v>25</v>
      </c>
      <c r="L284" s="49"/>
      <c r="M284" s="284" t="s">
        <v>131</v>
      </c>
      <c r="N284" s="62"/>
      <c r="O284" s="62"/>
      <c r="P284" s="62"/>
      <c r="Q284" s="62"/>
      <c r="R284" s="62"/>
      <c r="S284" s="62"/>
      <c r="T284" s="62"/>
      <c r="U284" s="62"/>
      <c r="V284" s="62"/>
      <c r="W284" s="62"/>
      <c r="X284" s="62"/>
      <c r="Y284" s="62"/>
      <c r="Z284" s="62"/>
      <c r="AA284" s="62"/>
      <c r="AB284" s="62"/>
      <c r="AC284" s="62"/>
      <c r="AD284" s="62"/>
      <c r="AE284" s="62"/>
      <c r="AF284" s="62"/>
      <c r="AG284" s="62"/>
      <c r="AH284" s="62"/>
      <c r="AI284" s="62"/>
      <c r="AJ284" s="62"/>
      <c r="AK284" s="62"/>
      <c r="AL284" s="62"/>
      <c r="AM284" s="62"/>
      <c r="AN284" s="62"/>
      <c r="AO284" s="62"/>
      <c r="AP284" s="62"/>
      <c r="AQ284" s="62"/>
      <c r="AR284" s="62"/>
      <c r="AS284" s="62"/>
      <c r="AT284" s="62"/>
      <c r="AU284" s="63"/>
      <c r="AV284" s="63"/>
      <c r="AW284" s="62"/>
      <c r="AX284" s="63"/>
      <c r="AY284" s="62"/>
      <c r="AZ284" s="63"/>
      <c r="BA284" s="63"/>
      <c r="BB284" s="62"/>
      <c r="BC284" s="63"/>
      <c r="BD284" s="63"/>
      <c r="BE284" s="63"/>
      <c r="BF284" s="62"/>
      <c r="BG284" s="62"/>
      <c r="BH284" s="62"/>
      <c r="BI284" s="63"/>
      <c r="BJ284" s="63"/>
      <c r="BK284" s="62"/>
      <c r="BL284" s="62"/>
      <c r="BM284" s="62"/>
      <c r="BN284" s="64"/>
      <c r="BO284" s="62"/>
      <c r="BP284" s="64"/>
      <c r="BQ284" s="63"/>
      <c r="BR284" s="62"/>
      <c r="BS284" s="64"/>
      <c r="BT284" s="62"/>
      <c r="BU284" s="62"/>
      <c r="BV284" s="62"/>
      <c r="BW284" s="62"/>
      <c r="BY284" s="62"/>
      <c r="BZ284" s="62"/>
      <c r="CA284" s="62"/>
      <c r="CB284" s="62"/>
      <c r="CC284" s="51"/>
      <c r="CD284" s="63"/>
      <c r="CE284" s="63"/>
      <c r="CF284" s="62"/>
      <c r="CG284" s="62"/>
      <c r="CH284" s="63"/>
      <c r="CI284" s="62"/>
      <c r="CJ284" s="62"/>
      <c r="CK284" s="63"/>
      <c r="CL284" s="63"/>
      <c r="CM284" s="62"/>
      <c r="CN284" s="62"/>
      <c r="CO284" s="62"/>
      <c r="CP284" s="62"/>
      <c r="CQ284" s="62"/>
      <c r="CR284" s="63"/>
      <c r="CS284" s="63"/>
      <c r="CT284" s="62"/>
      <c r="CU284" s="63"/>
      <c r="CV284" s="63"/>
      <c r="CW284" s="63"/>
      <c r="CX284" s="63"/>
      <c r="CY284" s="63"/>
      <c r="CZ284" s="63"/>
      <c r="DA284" s="63"/>
      <c r="DB284" s="63"/>
      <c r="DC284" s="63"/>
      <c r="DD284" s="63"/>
      <c r="DE284" s="63"/>
      <c r="DF284" s="63"/>
      <c r="DG284" s="63"/>
      <c r="DH284" s="63"/>
      <c r="DI284" s="63"/>
      <c r="DJ284" s="63"/>
      <c r="DK284" s="63"/>
      <c r="DL284" s="63"/>
      <c r="DM284" s="63"/>
      <c r="DN284" s="63"/>
      <c r="DO284" s="63"/>
      <c r="DP284" s="63"/>
      <c r="DQ284" s="158"/>
      <c r="DR284" s="158"/>
      <c r="DS284" s="158"/>
      <c r="DT284" s="158"/>
      <c r="DU284" s="158"/>
      <c r="DV284" s="158"/>
      <c r="DW284" s="158"/>
      <c r="DX284" s="158"/>
      <c r="DY284" s="158"/>
      <c r="DZ284" s="59"/>
      <c r="EA284" s="59"/>
      <c r="EB284" s="59"/>
      <c r="EC284" s="59"/>
      <c r="ED284" s="59"/>
      <c r="EE284" s="59"/>
      <c r="EF284" s="59"/>
      <c r="EG284" s="59"/>
    </row>
    <row r="285" spans="1:137" s="5" customFormat="1" ht="15.9" customHeight="1" outlineLevel="1" x14ac:dyDescent="0.3">
      <c r="A285" s="6" t="s">
        <v>22</v>
      </c>
      <c r="B285" s="6" t="s">
        <v>23</v>
      </c>
      <c r="C285" s="50" t="s">
        <v>24</v>
      </c>
      <c r="D285" s="147"/>
      <c r="E285" s="6" t="s">
        <v>533</v>
      </c>
      <c r="F285" s="6" t="s">
        <v>547</v>
      </c>
      <c r="G285" s="11" t="s">
        <v>549</v>
      </c>
      <c r="H285" s="11"/>
      <c r="I285" s="205" cm="1">
        <f t="array" ref="I285">IFERROR(LOOKUP(2,1/(N285:GR285&lt;&gt;""),N$4:DRA$4),"")</f>
        <v>45198</v>
      </c>
      <c r="J285" s="271" cm="1">
        <f t="array" ref="J285">IFERROR(_xlfn.XLOOKUP(TRUE,N285:EH285&lt;&gt;"",N285:EH285,,,-1)," ")</f>
        <v>23.9</v>
      </c>
      <c r="K285" s="49">
        <v>25</v>
      </c>
      <c r="L285" s="49"/>
      <c r="M285" s="284" t="s">
        <v>131</v>
      </c>
      <c r="N285" s="62"/>
      <c r="O285" s="62"/>
      <c r="P285" s="62"/>
      <c r="Q285" s="62"/>
      <c r="R285" s="62"/>
      <c r="S285" s="62"/>
      <c r="T285" s="62"/>
      <c r="U285" s="62"/>
      <c r="V285" s="62"/>
      <c r="W285" s="62"/>
      <c r="X285" s="62"/>
      <c r="Y285" s="62"/>
      <c r="Z285" s="62"/>
      <c r="AA285" s="62"/>
      <c r="AB285" s="62"/>
      <c r="AC285" s="62"/>
      <c r="AD285" s="62"/>
      <c r="AE285" s="62"/>
      <c r="AF285" s="62"/>
      <c r="AG285" s="62"/>
      <c r="AH285" s="62"/>
      <c r="AI285" s="62"/>
      <c r="AJ285" s="62"/>
      <c r="AK285" s="62"/>
      <c r="AL285" s="62"/>
      <c r="AM285" s="62"/>
      <c r="AN285" s="62"/>
      <c r="AO285" s="62"/>
      <c r="AP285" s="62"/>
      <c r="AQ285" s="62"/>
      <c r="AR285" s="62"/>
      <c r="AS285" s="62"/>
      <c r="AT285" s="62"/>
      <c r="AU285" s="63"/>
      <c r="AV285" s="63"/>
      <c r="AW285" s="62"/>
      <c r="AX285" s="63"/>
      <c r="AY285" s="62"/>
      <c r="AZ285" s="63">
        <v>19.8</v>
      </c>
      <c r="BA285" s="63"/>
      <c r="BB285" s="62"/>
      <c r="BC285" s="63"/>
      <c r="BD285" s="63"/>
      <c r="BE285" s="63"/>
      <c r="BF285" s="62"/>
      <c r="BG285" s="62">
        <v>21.9</v>
      </c>
      <c r="BH285" s="62"/>
      <c r="BI285" s="63"/>
      <c r="BJ285" s="63"/>
      <c r="BK285" s="62"/>
      <c r="BL285" s="62"/>
      <c r="BM285" s="62"/>
      <c r="BN285" s="63"/>
      <c r="BO285" s="62"/>
      <c r="BP285" s="62">
        <v>23</v>
      </c>
      <c r="BQ285" s="63"/>
      <c r="BR285" s="62"/>
      <c r="BS285" s="62"/>
      <c r="BT285" s="62"/>
      <c r="BU285" s="62"/>
      <c r="BV285" s="62"/>
      <c r="BW285" s="62"/>
      <c r="BX285" s="62"/>
      <c r="BY285" s="64">
        <v>23.9</v>
      </c>
      <c r="BZ285" s="62"/>
      <c r="CA285" s="62"/>
      <c r="CB285" s="62"/>
      <c r="CC285" s="51"/>
      <c r="CD285" s="63"/>
      <c r="CE285" s="63"/>
      <c r="CF285" s="62"/>
      <c r="CG285" s="62"/>
      <c r="CH285" s="63"/>
      <c r="CI285" s="62"/>
      <c r="CJ285" s="62"/>
      <c r="CK285" s="63"/>
      <c r="CL285" s="63"/>
      <c r="CM285" s="62"/>
      <c r="CN285" s="62"/>
      <c r="CO285" s="62"/>
      <c r="CP285" s="62"/>
      <c r="CQ285" s="62"/>
      <c r="CR285" s="63"/>
      <c r="CS285" s="63"/>
      <c r="CT285" s="62"/>
      <c r="CU285" s="63"/>
      <c r="CV285" s="63"/>
      <c r="CW285" s="63"/>
      <c r="CX285" s="63"/>
      <c r="CY285" s="63"/>
      <c r="CZ285" s="63"/>
      <c r="DA285" s="63"/>
      <c r="DB285" s="63"/>
      <c r="DC285" s="63"/>
      <c r="DD285" s="63"/>
      <c r="DE285" s="63"/>
      <c r="DF285" s="63"/>
      <c r="DG285" s="63"/>
      <c r="DH285" s="63"/>
      <c r="DI285" s="63"/>
      <c r="DJ285" s="63"/>
      <c r="DK285" s="63"/>
      <c r="DL285" s="63"/>
      <c r="DM285" s="63"/>
      <c r="DN285" s="63"/>
      <c r="DO285" s="63"/>
      <c r="DP285" s="63"/>
      <c r="DQ285" s="158"/>
      <c r="DR285" s="158"/>
      <c r="DS285" s="158"/>
      <c r="DT285" s="158"/>
      <c r="DU285" s="158"/>
      <c r="DV285" s="158"/>
      <c r="DW285" s="158"/>
      <c r="DX285" s="158"/>
      <c r="DY285" s="158"/>
      <c r="DZ285" s="65"/>
      <c r="EA285" s="65"/>
      <c r="EB285" s="65"/>
      <c r="EC285" s="65"/>
      <c r="ED285" s="65"/>
      <c r="EE285" s="65"/>
      <c r="EF285" s="65"/>
      <c r="EG285" s="65"/>
    </row>
    <row r="286" spans="1:137" s="5" customFormat="1" ht="15.9" customHeight="1" outlineLevel="1" x14ac:dyDescent="0.3">
      <c r="A286" s="6" t="s">
        <v>22</v>
      </c>
      <c r="B286" s="6" t="s">
        <v>23</v>
      </c>
      <c r="C286" s="50" t="s">
        <v>24</v>
      </c>
      <c r="D286" s="147"/>
      <c r="E286" s="6" t="s">
        <v>533</v>
      </c>
      <c r="F286" s="6" t="s">
        <v>547</v>
      </c>
      <c r="G286" s="11" t="s">
        <v>550</v>
      </c>
      <c r="H286" s="11"/>
      <c r="I286" s="205" cm="1">
        <f t="array" ref="I286">IFERROR(LOOKUP(2,1/(N286:GR286&lt;&gt;""),N$4:DRA$4),"")</f>
        <v>45198</v>
      </c>
      <c r="J286" s="170" cm="1">
        <f t="array" ref="J286">IFERROR(_xlfn.XLOOKUP(TRUE,N286:EH286&lt;&gt;"",N286:EH286,,,-1)," ")</f>
        <v>25.8</v>
      </c>
      <c r="K286" s="49">
        <v>25</v>
      </c>
      <c r="L286" s="49"/>
      <c r="M286" s="284" t="s">
        <v>131</v>
      </c>
      <c r="N286" s="62"/>
      <c r="O286" s="62"/>
      <c r="P286" s="62"/>
      <c r="Q286" s="62"/>
      <c r="R286" s="62"/>
      <c r="S286" s="62"/>
      <c r="T286" s="62"/>
      <c r="U286" s="62"/>
      <c r="V286" s="62"/>
      <c r="W286" s="62"/>
      <c r="X286" s="62"/>
      <c r="Y286" s="62"/>
      <c r="Z286" s="62"/>
      <c r="AA286" s="62"/>
      <c r="AB286" s="62"/>
      <c r="AC286" s="62"/>
      <c r="AD286" s="62"/>
      <c r="AE286" s="62"/>
      <c r="AF286" s="62"/>
      <c r="AG286" s="62"/>
      <c r="AH286" s="62"/>
      <c r="AI286" s="62"/>
      <c r="AJ286" s="62"/>
      <c r="AK286" s="62"/>
      <c r="AL286" s="62"/>
      <c r="AM286" s="62"/>
      <c r="AN286" s="62"/>
      <c r="AO286" s="62"/>
      <c r="AP286" s="62"/>
      <c r="AQ286" s="62"/>
      <c r="AR286" s="62"/>
      <c r="AS286" s="62"/>
      <c r="AT286" s="62"/>
      <c r="AU286" s="63"/>
      <c r="AV286" s="63"/>
      <c r="AW286" s="62"/>
      <c r="AX286" s="63"/>
      <c r="AY286" s="62"/>
      <c r="AZ286" s="63">
        <v>19.899999999999999</v>
      </c>
      <c r="BA286" s="63"/>
      <c r="BB286" s="62"/>
      <c r="BC286" s="63"/>
      <c r="BD286" s="63"/>
      <c r="BE286" s="63"/>
      <c r="BF286" s="62"/>
      <c r="BG286" s="62">
        <v>23</v>
      </c>
      <c r="BH286" s="62"/>
      <c r="BI286" s="63"/>
      <c r="BJ286" s="63"/>
      <c r="BK286" s="62"/>
      <c r="BL286" s="62"/>
      <c r="BM286" s="62"/>
      <c r="BN286" s="63"/>
      <c r="BO286" s="62"/>
      <c r="BP286" s="62">
        <v>23.7</v>
      </c>
      <c r="BQ286" s="63"/>
      <c r="BR286" s="62"/>
      <c r="BS286" s="62"/>
      <c r="BT286" s="62"/>
      <c r="BU286" s="62"/>
      <c r="BV286" s="62"/>
      <c r="BW286" s="62"/>
      <c r="BX286" s="64">
        <v>24.8</v>
      </c>
      <c r="BY286" s="62">
        <v>25.8</v>
      </c>
      <c r="BZ286" s="62"/>
      <c r="CA286" s="62"/>
      <c r="CB286" s="62"/>
      <c r="CC286" s="51"/>
      <c r="CD286" s="63"/>
      <c r="CE286" s="63"/>
      <c r="CF286" s="62"/>
      <c r="CG286" s="62"/>
      <c r="CH286" s="63"/>
      <c r="CI286" s="62"/>
      <c r="CJ286" s="62"/>
      <c r="CK286" s="63"/>
      <c r="CL286" s="63"/>
      <c r="CM286" s="62"/>
      <c r="CN286" s="62"/>
      <c r="CO286" s="62"/>
      <c r="CP286" s="62"/>
      <c r="CQ286" s="62"/>
      <c r="CR286" s="63"/>
      <c r="CS286" s="63"/>
      <c r="CT286" s="62"/>
      <c r="CU286" s="63"/>
      <c r="CV286" s="63"/>
      <c r="CW286" s="63"/>
      <c r="CX286" s="63"/>
      <c r="CY286" s="63"/>
      <c r="CZ286" s="63"/>
      <c r="DA286" s="63"/>
      <c r="DB286" s="63"/>
      <c r="DC286" s="63"/>
      <c r="DD286" s="63"/>
      <c r="DE286" s="63"/>
      <c r="DF286" s="63"/>
      <c r="DG286" s="63"/>
      <c r="DH286" s="63"/>
      <c r="DI286" s="63"/>
      <c r="DJ286" s="63"/>
      <c r="DK286" s="63"/>
      <c r="DL286" s="63"/>
      <c r="DM286" s="63"/>
      <c r="DN286" s="63"/>
      <c r="DO286" s="63"/>
      <c r="DP286" s="63"/>
      <c r="DQ286" s="158"/>
      <c r="DR286" s="158"/>
      <c r="DS286" s="158"/>
      <c r="DT286" s="158"/>
      <c r="DU286" s="158"/>
      <c r="DV286" s="158"/>
      <c r="DW286" s="158"/>
      <c r="DX286" s="158"/>
      <c r="DY286" s="158"/>
      <c r="DZ286" s="59"/>
      <c r="EA286" s="59"/>
      <c r="EB286" s="59"/>
      <c r="EC286" s="59"/>
      <c r="ED286" s="59"/>
      <c r="EE286" s="59"/>
      <c r="EF286" s="59"/>
      <c r="EG286" s="59"/>
    </row>
    <row r="287" spans="1:137" s="10" customFormat="1" ht="15.9" customHeight="1" outlineLevel="1" x14ac:dyDescent="0.3">
      <c r="A287" s="24" t="s">
        <v>22</v>
      </c>
      <c r="B287" s="7" t="s">
        <v>23</v>
      </c>
      <c r="C287" s="8" t="s">
        <v>24</v>
      </c>
      <c r="D287" s="146">
        <v>49.52</v>
      </c>
      <c r="E287" s="7" t="s">
        <v>533</v>
      </c>
      <c r="F287" s="7" t="s">
        <v>272</v>
      </c>
      <c r="G287" s="24" t="s">
        <v>551</v>
      </c>
      <c r="H287" s="9"/>
      <c r="I287" s="204" cm="1">
        <f t="array" ref="I287">IFERROR(LOOKUP(2,1/(N287:GR287&lt;&gt;""),N$4:DRA$4),"")</f>
        <v>45164</v>
      </c>
      <c r="J287" s="169" cm="1">
        <f t="array" ref="J287">IFERROR(_xlfn.XLOOKUP(TRUE,N287:EH287&lt;&gt;"",N287:EH287,,,-1)," ")</f>
        <v>19.8</v>
      </c>
      <c r="K287" s="45">
        <v>24.5</v>
      </c>
      <c r="L287" s="45"/>
      <c r="M287" s="282" t="s">
        <v>552</v>
      </c>
      <c r="N287" s="57"/>
      <c r="O287" s="57"/>
      <c r="P287" s="57"/>
      <c r="Q287" s="57"/>
      <c r="R287" s="57"/>
      <c r="S287" s="57"/>
      <c r="T287" s="57"/>
      <c r="U287" s="57"/>
      <c r="V287" s="57"/>
      <c r="W287" s="57"/>
      <c r="X287" s="57"/>
      <c r="Y287" s="57"/>
      <c r="Z287" s="57"/>
      <c r="AA287" s="57"/>
      <c r="AB287" s="57"/>
      <c r="AC287" s="57"/>
      <c r="AD287" s="57"/>
      <c r="AE287" s="57"/>
      <c r="AF287" s="57"/>
      <c r="AG287" s="57"/>
      <c r="AH287" s="57"/>
      <c r="AI287" s="57"/>
      <c r="AJ287" s="57"/>
      <c r="AK287" s="57"/>
      <c r="AL287" s="57"/>
      <c r="AM287" s="57"/>
      <c r="AN287" s="57"/>
      <c r="AO287" s="57"/>
      <c r="AP287" s="57"/>
      <c r="AQ287" s="57">
        <v>19.8</v>
      </c>
      <c r="AR287" s="57"/>
      <c r="AS287" s="57"/>
      <c r="AT287" s="57"/>
      <c r="AU287" s="27"/>
      <c r="AV287" s="27"/>
      <c r="AW287" s="57"/>
      <c r="AX287" s="27"/>
      <c r="AY287" s="57"/>
      <c r="AZ287" s="27"/>
      <c r="BA287" s="27"/>
      <c r="BB287" s="57"/>
      <c r="BC287" s="27"/>
      <c r="BD287" s="27"/>
      <c r="BE287" s="27"/>
      <c r="BF287" s="57"/>
      <c r="BG287" s="57"/>
      <c r="BH287" s="57"/>
      <c r="BI287" s="27"/>
      <c r="BJ287" s="27"/>
      <c r="BK287" s="57"/>
      <c r="BL287" s="57"/>
      <c r="BM287" s="57"/>
      <c r="BN287" s="27"/>
      <c r="BO287" s="57"/>
      <c r="BP287" s="58"/>
      <c r="BQ287" s="27"/>
      <c r="BR287" s="57"/>
      <c r="BS287" s="57"/>
      <c r="BT287" s="57"/>
      <c r="BU287" s="57"/>
      <c r="BV287" s="57"/>
      <c r="BW287" s="57"/>
      <c r="BX287" s="57"/>
      <c r="BY287" s="57"/>
      <c r="BZ287" s="57"/>
      <c r="CA287" s="57"/>
      <c r="CB287" s="57"/>
      <c r="CC287" s="27"/>
      <c r="CD287" s="27"/>
      <c r="CE287" s="27"/>
      <c r="CF287" s="57"/>
      <c r="CG287" s="57"/>
      <c r="CH287" s="27"/>
      <c r="CI287" s="27"/>
      <c r="CJ287" s="57"/>
      <c r="CK287" s="27"/>
      <c r="CL287" s="27"/>
      <c r="CM287" s="27"/>
      <c r="CN287" s="27"/>
      <c r="CO287" s="27"/>
      <c r="CP287" s="27"/>
      <c r="CQ287" s="27"/>
      <c r="CR287" s="27"/>
      <c r="CS287" s="27"/>
      <c r="CT287" s="27"/>
      <c r="CU287" s="27"/>
      <c r="CV287" s="27"/>
      <c r="CW287" s="27"/>
      <c r="CX287" s="27"/>
      <c r="CY287" s="27"/>
      <c r="CZ287" s="27"/>
      <c r="DA287" s="27"/>
      <c r="DB287" s="27"/>
      <c r="DC287" s="27"/>
      <c r="DD287" s="27"/>
      <c r="DE287" s="27"/>
      <c r="DF287" s="27"/>
      <c r="DG287" s="27"/>
      <c r="DH287" s="27"/>
      <c r="DI287" s="27"/>
      <c r="DJ287" s="27"/>
      <c r="DK287" s="27"/>
      <c r="DL287" s="27"/>
      <c r="DM287" s="27"/>
      <c r="DN287" s="27"/>
      <c r="DO287" s="27"/>
      <c r="DP287" s="27"/>
      <c r="DQ287" s="156"/>
      <c r="DR287" s="156"/>
      <c r="DS287" s="156"/>
      <c r="DT287" s="156"/>
      <c r="DU287" s="156"/>
      <c r="DV287" s="156"/>
      <c r="DW287" s="156"/>
      <c r="DX287" s="156"/>
      <c r="DY287" s="156"/>
      <c r="DZ287" s="59"/>
      <c r="EA287" s="59"/>
      <c r="EB287" s="59"/>
      <c r="EC287" s="59"/>
      <c r="ED287" s="59"/>
      <c r="EE287" s="59"/>
      <c r="EF287" s="59"/>
      <c r="EG287" s="59"/>
    </row>
    <row r="288" spans="1:137" s="28" customFormat="1" ht="15.9" customHeight="1" outlineLevel="1" x14ac:dyDescent="0.3">
      <c r="A288" s="24" t="s">
        <v>22</v>
      </c>
      <c r="B288" s="7" t="s">
        <v>23</v>
      </c>
      <c r="C288" s="8" t="s">
        <v>24</v>
      </c>
      <c r="D288" s="146"/>
      <c r="E288" s="7" t="s">
        <v>533</v>
      </c>
      <c r="F288" s="7" t="s">
        <v>272</v>
      </c>
      <c r="G288" s="24" t="s">
        <v>553</v>
      </c>
      <c r="H288" s="9"/>
      <c r="I288" s="204" t="str" cm="1">
        <f t="array" ref="I288">IFERROR(LOOKUP(2,1/(N288:GR288&lt;&gt;""),N$4:DRA$4),"")</f>
        <v/>
      </c>
      <c r="J288" s="169" t="str" cm="1">
        <f t="array" ref="J288">IFERROR(_xlfn.XLOOKUP(TRUE,N288:EH288&lt;&gt;"",N288:EH288,,,-1)," ")</f>
        <v xml:space="preserve"> </v>
      </c>
      <c r="K288" s="45">
        <v>24.5</v>
      </c>
      <c r="L288" s="45"/>
      <c r="M288" s="282" t="s">
        <v>552</v>
      </c>
      <c r="N288" s="57"/>
      <c r="O288" s="57"/>
      <c r="P288" s="57"/>
      <c r="Q288" s="57"/>
      <c r="R288" s="57"/>
      <c r="S288" s="57"/>
      <c r="T288" s="57"/>
      <c r="U288" s="57"/>
      <c r="V288" s="57"/>
      <c r="W288" s="57"/>
      <c r="X288" s="57"/>
      <c r="Y288" s="57"/>
      <c r="Z288" s="57"/>
      <c r="AA288" s="57"/>
      <c r="AB288" s="57"/>
      <c r="AC288" s="57"/>
      <c r="AD288" s="57"/>
      <c r="AE288" s="57"/>
      <c r="AF288" s="57"/>
      <c r="AG288" s="57"/>
      <c r="AH288" s="57"/>
      <c r="AI288" s="57"/>
      <c r="AJ288" s="57"/>
      <c r="AK288" s="57"/>
      <c r="AL288" s="57"/>
      <c r="AM288" s="57"/>
      <c r="AN288" s="57"/>
      <c r="AO288" s="57"/>
      <c r="AP288" s="57"/>
      <c r="AQ288" s="57"/>
      <c r="AR288" s="57"/>
      <c r="AS288" s="57"/>
      <c r="AT288" s="57"/>
      <c r="AU288" s="27"/>
      <c r="AV288" s="27"/>
      <c r="AW288" s="57"/>
      <c r="AX288" s="27"/>
      <c r="AY288" s="57"/>
      <c r="AZ288" s="27"/>
      <c r="BA288" s="27"/>
      <c r="BB288" s="57"/>
      <c r="BC288" s="27"/>
      <c r="BD288" s="27"/>
      <c r="BE288" s="27"/>
      <c r="BF288" s="57"/>
      <c r="BG288" s="57"/>
      <c r="BH288" s="57"/>
      <c r="BI288" s="27"/>
      <c r="BJ288" s="27"/>
      <c r="BK288" s="57"/>
      <c r="BL288" s="57"/>
      <c r="BM288" s="57"/>
      <c r="BN288" s="27"/>
      <c r="BO288" s="57"/>
      <c r="BP288" s="58"/>
      <c r="BQ288" s="27"/>
      <c r="BR288" s="57"/>
      <c r="BS288" s="57"/>
      <c r="BT288" s="57"/>
      <c r="BU288" s="57"/>
      <c r="BV288" s="57"/>
      <c r="BW288" s="57"/>
      <c r="BX288" s="57"/>
      <c r="BY288" s="57"/>
      <c r="BZ288" s="57"/>
      <c r="CA288" s="57"/>
      <c r="CB288" s="57"/>
      <c r="CC288" s="27"/>
      <c r="CD288" s="27"/>
      <c r="CE288" s="27"/>
      <c r="CF288" s="57"/>
      <c r="CG288" s="57"/>
      <c r="CH288" s="27"/>
      <c r="CI288" s="27"/>
      <c r="CJ288" s="57"/>
      <c r="CK288" s="27"/>
      <c r="CL288" s="27"/>
      <c r="CM288" s="27"/>
      <c r="CN288" s="27"/>
      <c r="CO288" s="27"/>
      <c r="CP288" s="27"/>
      <c r="CQ288" s="27"/>
      <c r="CR288" s="27"/>
      <c r="CS288" s="27"/>
      <c r="CT288" s="27"/>
      <c r="CU288" s="27"/>
      <c r="CV288" s="27"/>
      <c r="CW288" s="27"/>
      <c r="CX288" s="27"/>
      <c r="CY288" s="27"/>
      <c r="CZ288" s="27"/>
      <c r="DA288" s="27"/>
      <c r="DB288" s="27"/>
      <c r="DC288" s="27"/>
      <c r="DD288" s="27"/>
      <c r="DE288" s="27"/>
      <c r="DF288" s="27"/>
      <c r="DG288" s="27"/>
      <c r="DH288" s="27"/>
      <c r="DI288" s="27"/>
      <c r="DJ288" s="27"/>
      <c r="DK288" s="27"/>
      <c r="DL288" s="27"/>
      <c r="DM288" s="27"/>
      <c r="DN288" s="27"/>
      <c r="DO288" s="27"/>
      <c r="DP288" s="27"/>
      <c r="DQ288" s="7"/>
      <c r="DR288" s="7"/>
      <c r="DS288" s="7"/>
      <c r="DT288" s="7"/>
      <c r="DU288" s="7"/>
      <c r="DV288" s="7"/>
      <c r="DW288" s="7"/>
      <c r="DX288" s="7"/>
      <c r="DY288" s="7"/>
      <c r="DZ288" s="65"/>
      <c r="EA288" s="65"/>
      <c r="EB288" s="65"/>
      <c r="EC288" s="65"/>
      <c r="ED288" s="65"/>
      <c r="EE288" s="65"/>
      <c r="EF288" s="65"/>
      <c r="EG288" s="65"/>
    </row>
    <row r="289" spans="1:137" s="28" customFormat="1" ht="15.9" customHeight="1" outlineLevel="1" x14ac:dyDescent="0.3">
      <c r="A289" s="24" t="s">
        <v>22</v>
      </c>
      <c r="B289" s="7" t="s">
        <v>23</v>
      </c>
      <c r="C289" s="8" t="s">
        <v>24</v>
      </c>
      <c r="D289" s="146"/>
      <c r="E289" s="7" t="s">
        <v>533</v>
      </c>
      <c r="F289" s="7" t="s">
        <v>272</v>
      </c>
      <c r="G289" s="24" t="s">
        <v>554</v>
      </c>
      <c r="H289" s="9"/>
      <c r="I289" s="204" cm="1">
        <f t="array" ref="I289">IFERROR(LOOKUP(2,1/(N289:GR289&lt;&gt;""),N$4:DRA$4),"")</f>
        <v>45211</v>
      </c>
      <c r="J289" s="266" cm="1">
        <f t="array" ref="J289">IFERROR(_xlfn.XLOOKUP(TRUE,N289:EH289&lt;&gt;"",N289:EH289,,,-1)," ")</f>
        <v>24.4</v>
      </c>
      <c r="K289" s="45">
        <v>24.5</v>
      </c>
      <c r="L289" s="45"/>
      <c r="M289" s="282" t="s">
        <v>552</v>
      </c>
      <c r="N289" s="57"/>
      <c r="O289" s="57"/>
      <c r="P289" s="57"/>
      <c r="Q289" s="57"/>
      <c r="R289" s="57"/>
      <c r="S289" s="57"/>
      <c r="T289" s="57"/>
      <c r="U289" s="57"/>
      <c r="V289" s="57"/>
      <c r="W289" s="57"/>
      <c r="X289" s="57"/>
      <c r="Y289" s="57"/>
      <c r="Z289" s="57"/>
      <c r="AA289" s="57"/>
      <c r="AB289" s="57"/>
      <c r="AC289" s="57"/>
      <c r="AD289" s="57"/>
      <c r="AE289" s="57"/>
      <c r="AF289" s="57"/>
      <c r="AG289" s="57"/>
      <c r="AH289" s="57"/>
      <c r="AI289" s="57"/>
      <c r="AJ289" s="57"/>
      <c r="AK289" s="57"/>
      <c r="AL289" s="57"/>
      <c r="AM289" s="57"/>
      <c r="AN289" s="57"/>
      <c r="AO289" s="57"/>
      <c r="AP289" s="57"/>
      <c r="AQ289" s="57"/>
      <c r="AR289" s="57"/>
      <c r="AS289" s="57"/>
      <c r="AT289" s="57"/>
      <c r="AU289" s="27"/>
      <c r="AV289" s="27"/>
      <c r="AW289" s="57"/>
      <c r="AX289" s="27"/>
      <c r="AY289" s="57"/>
      <c r="AZ289" s="27">
        <v>18.5</v>
      </c>
      <c r="BA289" s="27"/>
      <c r="BB289" s="57"/>
      <c r="BC289" s="27"/>
      <c r="BD289" s="27"/>
      <c r="BE289" s="27"/>
      <c r="BF289" s="57"/>
      <c r="BG289" s="57">
        <v>21</v>
      </c>
      <c r="BH289" s="57"/>
      <c r="BI289" s="27"/>
      <c r="BJ289" s="27"/>
      <c r="BK289" s="57"/>
      <c r="BL289" s="57"/>
      <c r="BM289" s="57"/>
      <c r="BN289" s="27"/>
      <c r="BO289" s="57"/>
      <c r="BP289" s="57">
        <v>21.8</v>
      </c>
      <c r="BQ289" s="27"/>
      <c r="BR289" s="58"/>
      <c r="BS289" s="57"/>
      <c r="BT289" s="58"/>
      <c r="BU289" s="57"/>
      <c r="BV289" s="57"/>
      <c r="BW289" s="57"/>
      <c r="BX289" s="57"/>
      <c r="BY289" s="57"/>
      <c r="BZ289" s="57"/>
      <c r="CA289" s="57"/>
      <c r="CB289" s="57" t="s">
        <v>555</v>
      </c>
      <c r="CC289" s="27"/>
      <c r="CD289" s="27"/>
      <c r="CE289" s="27"/>
      <c r="CF289" s="58">
        <v>23.8</v>
      </c>
      <c r="CG289" s="57"/>
      <c r="CH289" s="27"/>
      <c r="CI289" s="27"/>
      <c r="CJ289" s="57"/>
      <c r="CK289" s="27"/>
      <c r="CL289" s="405">
        <v>24.4</v>
      </c>
      <c r="CN289" s="27"/>
      <c r="CO289" s="27"/>
      <c r="CP289" s="27"/>
      <c r="CQ289" s="27"/>
      <c r="CR289" s="27"/>
      <c r="CS289" s="27"/>
      <c r="CT289" s="27"/>
      <c r="CU289" s="27"/>
      <c r="CV289" s="27"/>
      <c r="CW289" s="27"/>
      <c r="CX289" s="27"/>
      <c r="CY289" s="27"/>
      <c r="CZ289" s="27"/>
      <c r="DA289" s="27"/>
      <c r="DB289" s="27"/>
      <c r="DC289" s="27"/>
      <c r="DD289" s="27"/>
      <c r="DE289" s="27"/>
      <c r="DF289" s="27"/>
      <c r="DG289" s="27"/>
      <c r="DH289" s="27"/>
      <c r="DI289" s="27"/>
      <c r="DJ289" s="27"/>
      <c r="DK289" s="27"/>
      <c r="DL289" s="27"/>
      <c r="DM289" s="27"/>
      <c r="DN289" s="27"/>
      <c r="DO289" s="27"/>
      <c r="DP289" s="27"/>
      <c r="DQ289" s="7"/>
      <c r="DR289" s="7"/>
      <c r="DS289" s="7"/>
      <c r="DT289" s="7"/>
      <c r="DU289" s="7"/>
      <c r="DV289" s="7"/>
      <c r="DW289" s="7"/>
      <c r="DX289" s="7"/>
      <c r="DY289" s="7"/>
      <c r="DZ289" s="59"/>
      <c r="EA289" s="59"/>
      <c r="EB289" s="59"/>
      <c r="EC289" s="59"/>
      <c r="ED289" s="59"/>
      <c r="EE289" s="59"/>
      <c r="EF289" s="59"/>
      <c r="EG289" s="59"/>
    </row>
    <row r="290" spans="1:137" s="28" customFormat="1" ht="15.9" customHeight="1" outlineLevel="1" x14ac:dyDescent="0.3">
      <c r="A290" s="24" t="s">
        <v>22</v>
      </c>
      <c r="B290" s="7" t="s">
        <v>23</v>
      </c>
      <c r="C290" s="8" t="s">
        <v>24</v>
      </c>
      <c r="D290" s="146"/>
      <c r="E290" s="7" t="s">
        <v>533</v>
      </c>
      <c r="F290" s="7" t="s">
        <v>272</v>
      </c>
      <c r="G290" s="24" t="s">
        <v>556</v>
      </c>
      <c r="H290" s="9"/>
      <c r="I290" s="204" cm="1">
        <f t="array" ref="I290">IFERROR(LOOKUP(2,1/(N290:GR290&lt;&gt;""),N$4:DRA$4),"")</f>
        <v>45209</v>
      </c>
      <c r="J290" s="169" cm="1">
        <f t="array" ref="J290">IFERROR(_xlfn.XLOOKUP(TRUE,N290:EH290&lt;&gt;"",N290:EH290,,,-1)," ")</f>
        <v>25.8</v>
      </c>
      <c r="K290" s="45">
        <v>24.5</v>
      </c>
      <c r="L290" s="45"/>
      <c r="M290" s="282" t="s">
        <v>552</v>
      </c>
      <c r="N290" s="57"/>
      <c r="O290" s="57"/>
      <c r="P290" s="57"/>
      <c r="Q290" s="57"/>
      <c r="R290" s="57"/>
      <c r="S290" s="57"/>
      <c r="T290" s="57"/>
      <c r="U290" s="57"/>
      <c r="V290" s="57"/>
      <c r="W290" s="57"/>
      <c r="X290" s="57"/>
      <c r="Y290" s="57"/>
      <c r="Z290" s="57"/>
      <c r="AA290" s="57"/>
      <c r="AB290" s="57"/>
      <c r="AC290" s="57"/>
      <c r="AD290" s="57"/>
      <c r="AE290" s="57"/>
      <c r="AF290" s="57"/>
      <c r="AG290" s="57"/>
      <c r="AH290" s="57"/>
      <c r="AI290" s="57"/>
      <c r="AJ290" s="57"/>
      <c r="AK290" s="57"/>
      <c r="AL290" s="57"/>
      <c r="AM290" s="57"/>
      <c r="AN290" s="57"/>
      <c r="AO290" s="57"/>
      <c r="AP290" s="57"/>
      <c r="AQ290" s="57"/>
      <c r="AR290" s="57"/>
      <c r="AS290" s="57"/>
      <c r="AT290" s="57"/>
      <c r="AU290" s="27"/>
      <c r="AV290" s="27"/>
      <c r="AW290" s="57"/>
      <c r="AX290" s="27"/>
      <c r="AY290" s="57"/>
      <c r="AZ290" s="27">
        <v>18.399999999999999</v>
      </c>
      <c r="BA290" s="27"/>
      <c r="BB290" s="57"/>
      <c r="BC290" s="27"/>
      <c r="BD290" s="27"/>
      <c r="BE290" s="27"/>
      <c r="BF290" s="57"/>
      <c r="BG290" s="57">
        <v>21.4</v>
      </c>
      <c r="BH290" s="57"/>
      <c r="BI290" s="27"/>
      <c r="BJ290" s="27"/>
      <c r="BK290" s="57"/>
      <c r="BL290" s="57"/>
      <c r="BM290" s="57"/>
      <c r="BN290" s="27"/>
      <c r="BO290" s="57"/>
      <c r="BP290" s="57">
        <v>22.3</v>
      </c>
      <c r="BQ290" s="27"/>
      <c r="BR290" s="58"/>
      <c r="BS290" s="57"/>
      <c r="BT290" s="57"/>
      <c r="BU290" s="57"/>
      <c r="BV290" s="57"/>
      <c r="BW290" s="57"/>
      <c r="BX290" s="57"/>
      <c r="BY290" s="57"/>
      <c r="BZ290" s="57"/>
      <c r="CA290" s="57"/>
      <c r="CB290" s="57" t="s">
        <v>557</v>
      </c>
      <c r="CC290" s="27"/>
      <c r="CD290" s="27"/>
      <c r="CE290" s="27"/>
      <c r="CF290" s="58">
        <v>24</v>
      </c>
      <c r="CG290" s="57"/>
      <c r="CH290" s="27"/>
      <c r="CI290" s="27"/>
      <c r="CJ290" s="57">
        <v>25.8</v>
      </c>
      <c r="CK290" s="27"/>
      <c r="CL290" s="27"/>
      <c r="CM290" s="27"/>
      <c r="CN290" s="27"/>
      <c r="CO290" s="27"/>
      <c r="CP290" s="27"/>
      <c r="CQ290" s="27"/>
      <c r="CR290" s="27"/>
      <c r="CS290" s="27"/>
      <c r="CT290" s="27"/>
      <c r="CU290" s="27"/>
      <c r="CV290" s="27"/>
      <c r="CW290" s="27"/>
      <c r="CX290" s="27"/>
      <c r="CY290" s="27"/>
      <c r="CZ290" s="27"/>
      <c r="DA290" s="27"/>
      <c r="DB290" s="27"/>
      <c r="DC290" s="27"/>
      <c r="DD290" s="27"/>
      <c r="DE290" s="27"/>
      <c r="DF290" s="27"/>
      <c r="DG290" s="27"/>
      <c r="DH290" s="27"/>
      <c r="DI290" s="27"/>
      <c r="DJ290" s="27"/>
      <c r="DK290" s="27"/>
      <c r="DL290" s="27"/>
      <c r="DM290" s="27"/>
      <c r="DN290" s="27"/>
      <c r="DO290" s="27"/>
      <c r="DP290" s="27"/>
      <c r="DQ290" s="7"/>
      <c r="DR290" s="7"/>
      <c r="DS290" s="7"/>
      <c r="DT290" s="7"/>
      <c r="DU290" s="7"/>
      <c r="DV290" s="7"/>
      <c r="DW290" s="7"/>
      <c r="DX290" s="7"/>
      <c r="DY290" s="7"/>
      <c r="DZ290" s="65"/>
      <c r="EA290" s="65"/>
      <c r="EB290" s="65"/>
      <c r="EC290" s="65"/>
      <c r="ED290" s="65"/>
      <c r="EE290" s="65"/>
      <c r="EF290" s="65"/>
      <c r="EG290" s="65"/>
    </row>
    <row r="291" spans="1:137" s="28" customFormat="1" ht="15.9" customHeight="1" outlineLevel="1" x14ac:dyDescent="0.3">
      <c r="A291" s="24" t="s">
        <v>22</v>
      </c>
      <c r="B291" s="7" t="s">
        <v>23</v>
      </c>
      <c r="C291" s="8" t="s">
        <v>24</v>
      </c>
      <c r="D291" s="146"/>
      <c r="E291" s="7" t="s">
        <v>533</v>
      </c>
      <c r="F291" s="7" t="s">
        <v>272</v>
      </c>
      <c r="G291" s="24" t="s">
        <v>558</v>
      </c>
      <c r="H291" s="9"/>
      <c r="I291" s="204" t="str" cm="1">
        <f t="array" ref="I291">IFERROR(LOOKUP(2,1/(N291:GR291&lt;&gt;""),N$4:DRA$4),"")</f>
        <v/>
      </c>
      <c r="J291" s="169" t="str" cm="1">
        <f t="array" ref="J291">IFERROR(_xlfn.XLOOKUP(TRUE,N291:EH291&lt;&gt;"",N291:EH291,,,-1)," ")</f>
        <v xml:space="preserve"> </v>
      </c>
      <c r="K291" s="45">
        <v>24.5</v>
      </c>
      <c r="L291" s="45"/>
      <c r="M291" s="282" t="s">
        <v>552</v>
      </c>
      <c r="N291" s="57"/>
      <c r="O291" s="57"/>
      <c r="P291" s="57"/>
      <c r="Q291" s="57"/>
      <c r="R291" s="57"/>
      <c r="S291" s="57"/>
      <c r="T291" s="57"/>
      <c r="U291" s="57"/>
      <c r="V291" s="57"/>
      <c r="W291" s="57"/>
      <c r="X291" s="57"/>
      <c r="Y291" s="57"/>
      <c r="Z291" s="57"/>
      <c r="AA291" s="57"/>
      <c r="AB291" s="57"/>
      <c r="AC291" s="57"/>
      <c r="AD291" s="57"/>
      <c r="AE291" s="57"/>
      <c r="AF291" s="57"/>
      <c r="AG291" s="57"/>
      <c r="AH291" s="57"/>
      <c r="AI291" s="57"/>
      <c r="AJ291" s="57"/>
      <c r="AK291" s="57"/>
      <c r="AL291" s="57"/>
      <c r="AM291" s="57"/>
      <c r="AN291" s="57"/>
      <c r="AO291" s="57"/>
      <c r="AP291" s="57"/>
      <c r="AQ291" s="57"/>
      <c r="AR291" s="57"/>
      <c r="AS291" s="57"/>
      <c r="AT291" s="57"/>
      <c r="AU291" s="27"/>
      <c r="AV291" s="27"/>
      <c r="AW291" s="57"/>
      <c r="AX291" s="27"/>
      <c r="AY291" s="57"/>
      <c r="AZ291" s="27"/>
      <c r="BA291" s="27"/>
      <c r="BB291" s="57"/>
      <c r="BC291" s="27"/>
      <c r="BD291" s="27"/>
      <c r="BE291" s="27"/>
      <c r="BF291" s="57"/>
      <c r="BG291" s="57"/>
      <c r="BH291" s="57"/>
      <c r="BI291" s="27"/>
      <c r="BJ291" s="27"/>
      <c r="BK291" s="57"/>
      <c r="BL291" s="57"/>
      <c r="BM291" s="57"/>
      <c r="BN291" s="27"/>
      <c r="BO291" s="57"/>
      <c r="BP291" s="58"/>
      <c r="BQ291" s="27"/>
      <c r="BR291" s="57"/>
      <c r="BS291" s="57"/>
      <c r="BT291" s="58"/>
      <c r="BU291" s="57"/>
      <c r="BV291" s="57"/>
      <c r="BW291" s="57"/>
      <c r="BX291" s="57"/>
      <c r="BY291" s="57"/>
      <c r="BZ291" s="57"/>
      <c r="CA291" s="57"/>
      <c r="CB291" s="57"/>
      <c r="CC291" s="27"/>
      <c r="CD291" s="27"/>
      <c r="CE291" s="27"/>
      <c r="CF291" s="57"/>
      <c r="CG291" s="57"/>
      <c r="CH291" s="27"/>
      <c r="CI291" s="27"/>
      <c r="CJ291" s="57"/>
      <c r="CK291" s="27"/>
      <c r="CL291" s="27"/>
      <c r="CM291" s="27"/>
      <c r="CN291" s="27"/>
      <c r="CO291" s="27"/>
      <c r="CP291" s="27"/>
      <c r="CQ291" s="27"/>
      <c r="CR291" s="27"/>
      <c r="CS291" s="27"/>
      <c r="CT291" s="27"/>
      <c r="CU291" s="27"/>
      <c r="CV291" s="27"/>
      <c r="CW291" s="27"/>
      <c r="CX291" s="27"/>
      <c r="CY291" s="27"/>
      <c r="CZ291" s="27"/>
      <c r="DA291" s="27"/>
      <c r="DB291" s="27"/>
      <c r="DC291" s="27"/>
      <c r="DD291" s="27"/>
      <c r="DE291" s="27"/>
      <c r="DF291" s="27"/>
      <c r="DG291" s="27"/>
      <c r="DH291" s="27"/>
      <c r="DI291" s="27"/>
      <c r="DJ291" s="27"/>
      <c r="DK291" s="27"/>
      <c r="DL291" s="27"/>
      <c r="DM291" s="27"/>
      <c r="DN291" s="27"/>
      <c r="DO291" s="27"/>
      <c r="DP291" s="27"/>
      <c r="DQ291" s="7"/>
      <c r="DR291" s="7"/>
      <c r="DS291" s="7"/>
      <c r="DT291" s="7"/>
      <c r="DU291" s="7"/>
      <c r="DV291" s="7"/>
      <c r="DW291" s="7"/>
      <c r="DX291" s="7"/>
      <c r="DY291" s="7"/>
      <c r="DZ291" s="59"/>
      <c r="EA291" s="59"/>
      <c r="EB291" s="59"/>
      <c r="EC291" s="59"/>
      <c r="ED291" s="59"/>
      <c r="EE291" s="59"/>
      <c r="EF291" s="59"/>
      <c r="EG291" s="59"/>
    </row>
    <row r="292" spans="1:137" s="114" customFormat="1" ht="15.9" customHeight="1" outlineLevel="1" x14ac:dyDescent="0.3">
      <c r="A292" s="6" t="s">
        <v>22</v>
      </c>
      <c r="B292" s="6" t="s">
        <v>23</v>
      </c>
      <c r="C292" s="50" t="s">
        <v>24</v>
      </c>
      <c r="D292" s="147">
        <v>7.08</v>
      </c>
      <c r="E292" s="6" t="s">
        <v>533</v>
      </c>
      <c r="F292" s="6" t="s">
        <v>559</v>
      </c>
      <c r="G292" s="11" t="s">
        <v>560</v>
      </c>
      <c r="H292" s="11"/>
      <c r="I292" s="205" cm="1">
        <f t="array" ref="I292">IFERROR(LOOKUP(2,1/(N292:GR292&lt;&gt;""),N$4:DRA$4),"")</f>
        <v>45197</v>
      </c>
      <c r="J292" s="170" cm="1">
        <f t="array" ref="J292">IFERROR(_xlfn.XLOOKUP(TRUE,N292:EH292&lt;&gt;"",N292:EH292,,,-1)," ")</f>
        <v>24.5</v>
      </c>
      <c r="K292" s="49">
        <v>24.5</v>
      </c>
      <c r="L292" s="49">
        <v>25</v>
      </c>
      <c r="M292" s="284" t="s">
        <v>28</v>
      </c>
      <c r="N292" s="62"/>
      <c r="O292" s="62"/>
      <c r="P292" s="62"/>
      <c r="Q292" s="62"/>
      <c r="R292" s="62"/>
      <c r="S292" s="62"/>
      <c r="T292" s="62"/>
      <c r="U292" s="62"/>
      <c r="V292" s="62"/>
      <c r="W292" s="62"/>
      <c r="X292" s="62"/>
      <c r="Y292" s="62"/>
      <c r="Z292" s="62"/>
      <c r="AA292" s="62"/>
      <c r="AB292" s="62"/>
      <c r="AC292" s="62"/>
      <c r="AD292" s="62"/>
      <c r="AE292" s="62"/>
      <c r="AF292" s="62"/>
      <c r="AG292" s="62"/>
      <c r="AH292" s="62"/>
      <c r="AI292" s="62"/>
      <c r="AJ292" s="62"/>
      <c r="AK292" s="62"/>
      <c r="AL292" s="62"/>
      <c r="AM292" s="62"/>
      <c r="AN292" s="62"/>
      <c r="AO292" s="62"/>
      <c r="AP292" s="62"/>
      <c r="AQ292" s="62">
        <v>16.8</v>
      </c>
      <c r="AR292" s="62"/>
      <c r="AS292" s="62"/>
      <c r="AT292" s="62"/>
      <c r="AU292" s="63"/>
      <c r="AV292" s="63"/>
      <c r="AW292" s="62"/>
      <c r="AX292" s="63"/>
      <c r="AY292" s="62"/>
      <c r="AZ292" s="63"/>
      <c r="BA292" s="63"/>
      <c r="BB292" s="62"/>
      <c r="BC292" s="63"/>
      <c r="BD292" s="63"/>
      <c r="BE292" s="63"/>
      <c r="BF292" s="62"/>
      <c r="BG292" s="62">
        <v>21.9</v>
      </c>
      <c r="BH292" s="62"/>
      <c r="BI292" s="63"/>
      <c r="BJ292" s="63"/>
      <c r="BK292" s="62"/>
      <c r="BL292" s="62"/>
      <c r="BM292" s="62"/>
      <c r="BN292" s="63"/>
      <c r="BO292" s="62"/>
      <c r="BP292" s="64"/>
      <c r="BQ292" s="63"/>
      <c r="BR292" s="62"/>
      <c r="BS292" s="62">
        <v>23.5</v>
      </c>
      <c r="BT292" s="62"/>
      <c r="BU292" s="62"/>
      <c r="BV292" s="62"/>
      <c r="BW292" s="62"/>
      <c r="BX292" s="64">
        <v>24.5</v>
      </c>
      <c r="BY292" s="62"/>
      <c r="BZ292" s="62"/>
      <c r="CA292" s="62"/>
      <c r="CB292" s="62"/>
      <c r="CC292" s="63"/>
      <c r="CD292" s="63"/>
      <c r="CE292" s="63"/>
      <c r="CF292" s="62"/>
      <c r="CG292" s="63"/>
      <c r="CH292" s="63"/>
      <c r="CI292" s="63"/>
      <c r="CJ292" s="62"/>
      <c r="CK292" s="63"/>
      <c r="CL292" s="63"/>
      <c r="CM292" s="63"/>
      <c r="CN292" s="63"/>
      <c r="CO292" s="63"/>
      <c r="CP292" s="63"/>
      <c r="CQ292" s="63"/>
      <c r="CR292" s="63"/>
      <c r="CS292" s="63"/>
      <c r="CT292" s="63"/>
      <c r="CU292" s="63"/>
      <c r="CV292" s="63"/>
      <c r="CW292" s="63"/>
      <c r="CX292" s="63"/>
      <c r="CY292" s="63"/>
      <c r="CZ292" s="63"/>
      <c r="DA292" s="63"/>
      <c r="DB292" s="63"/>
      <c r="DC292" s="63"/>
      <c r="DD292" s="63"/>
      <c r="DE292" s="63"/>
      <c r="DF292" s="63"/>
      <c r="DG292" s="63"/>
      <c r="DH292" s="63"/>
      <c r="DI292" s="63"/>
      <c r="DJ292" s="63"/>
      <c r="DK292" s="63"/>
      <c r="DL292" s="63"/>
      <c r="DM292" s="63"/>
      <c r="DN292" s="63"/>
      <c r="DO292" s="63"/>
      <c r="DP292" s="63"/>
      <c r="DQ292" s="6"/>
      <c r="DR292" s="6"/>
      <c r="DS292" s="6"/>
      <c r="DT292" s="6"/>
      <c r="DU292" s="6"/>
      <c r="DV292" s="6"/>
      <c r="DW292" s="6"/>
      <c r="DX292" s="6"/>
      <c r="DY292" s="6"/>
      <c r="DZ292" s="65"/>
      <c r="EA292" s="65"/>
      <c r="EB292" s="65"/>
      <c r="EC292" s="65"/>
      <c r="ED292" s="65"/>
      <c r="EE292" s="65"/>
      <c r="EF292" s="65"/>
      <c r="EG292" s="65"/>
    </row>
    <row r="293" spans="1:137" s="10" customFormat="1" ht="15.9" customHeight="1" outlineLevel="1" x14ac:dyDescent="0.3">
      <c r="A293" s="7" t="s">
        <v>22</v>
      </c>
      <c r="B293" s="7"/>
      <c r="C293" s="8" t="s">
        <v>31</v>
      </c>
      <c r="D293" s="146">
        <v>9.5500000000000007</v>
      </c>
      <c r="E293" s="7" t="s">
        <v>533</v>
      </c>
      <c r="F293" s="7" t="s">
        <v>561</v>
      </c>
      <c r="G293" s="9" t="s">
        <v>562</v>
      </c>
      <c r="H293" s="9"/>
      <c r="I293" s="204" cm="1">
        <f t="array" ref="I293">IFERROR(LOOKUP(2,1/(N293:GR293&lt;&gt;""),N$4:DRA$4),"")</f>
        <v>45216</v>
      </c>
      <c r="J293" s="169" t="str" cm="1">
        <f t="array" ref="J293">IFERROR(_xlfn.XLOOKUP(TRUE,N293:EH293&lt;&gt;"",N293:EH293,,,-1)," ")</f>
        <v>25.0*</v>
      </c>
      <c r="K293" s="45"/>
      <c r="L293" s="45"/>
      <c r="M293" s="282" t="s">
        <v>158</v>
      </c>
      <c r="N293" s="57"/>
      <c r="O293" s="57"/>
      <c r="P293" s="57"/>
      <c r="Q293" s="57"/>
      <c r="R293" s="57"/>
      <c r="S293" s="57"/>
      <c r="T293" s="57"/>
      <c r="U293" s="57"/>
      <c r="V293" s="57"/>
      <c r="W293" s="57"/>
      <c r="X293" s="57"/>
      <c r="Y293" s="57"/>
      <c r="Z293" s="57"/>
      <c r="AA293" s="57"/>
      <c r="AB293" s="57"/>
      <c r="AC293" s="57"/>
      <c r="AD293" s="57"/>
      <c r="AE293" s="57"/>
      <c r="AF293" s="57"/>
      <c r="AG293" s="57"/>
      <c r="AH293" s="57"/>
      <c r="AI293" s="57"/>
      <c r="AJ293" s="57"/>
      <c r="AK293" s="57"/>
      <c r="AL293" s="57"/>
      <c r="AM293" s="57"/>
      <c r="AN293" s="57"/>
      <c r="AO293" s="57"/>
      <c r="AP293" s="57"/>
      <c r="AQ293" s="57"/>
      <c r="AR293" s="57"/>
      <c r="AS293" s="57"/>
      <c r="AT293" s="57"/>
      <c r="AU293" s="61"/>
      <c r="AV293" s="61"/>
      <c r="AW293" s="57"/>
      <c r="AX293" s="61"/>
      <c r="AY293" s="57"/>
      <c r="AZ293" s="61"/>
      <c r="BA293" s="61"/>
      <c r="BB293" s="57"/>
      <c r="BC293" s="61">
        <v>17.7</v>
      </c>
      <c r="BD293" s="61"/>
      <c r="BE293" s="61"/>
      <c r="BF293" s="57"/>
      <c r="BG293" s="57"/>
      <c r="BH293" s="57"/>
      <c r="BI293" s="61">
        <v>19.3</v>
      </c>
      <c r="BJ293" s="61"/>
      <c r="BK293" s="57"/>
      <c r="BL293" s="57"/>
      <c r="BM293" s="57"/>
      <c r="BN293" s="61"/>
      <c r="BO293" s="57"/>
      <c r="BP293" s="58"/>
      <c r="BQ293" s="61"/>
      <c r="BR293" s="57">
        <v>20.6</v>
      </c>
      <c r="BS293" s="57"/>
      <c r="BT293" s="57"/>
      <c r="BU293" s="57"/>
      <c r="BV293" s="57"/>
      <c r="BW293" s="57">
        <v>22</v>
      </c>
      <c r="BX293" s="57"/>
      <c r="BY293" s="57"/>
      <c r="BZ293" s="57"/>
      <c r="CA293" s="57"/>
      <c r="CB293" s="57"/>
      <c r="CC293" s="27"/>
      <c r="CD293" s="61"/>
      <c r="CE293" s="61">
        <v>23.7</v>
      </c>
      <c r="CF293" s="57"/>
      <c r="CG293" s="57"/>
      <c r="CH293" s="61"/>
      <c r="CI293" s="61"/>
      <c r="CJ293" s="57"/>
      <c r="CK293" s="61"/>
      <c r="CL293" s="61">
        <v>24.4</v>
      </c>
      <c r="CM293" s="61"/>
      <c r="CN293" s="61"/>
      <c r="CO293" s="61"/>
      <c r="CP293" s="61"/>
      <c r="CQ293" s="61" t="s">
        <v>212</v>
      </c>
      <c r="CR293" s="61"/>
      <c r="CS293" s="61"/>
      <c r="CT293" s="61"/>
      <c r="CU293" s="61"/>
      <c r="CV293" s="61"/>
      <c r="CW293" s="61"/>
      <c r="CX293" s="61"/>
      <c r="CY293" s="61"/>
      <c r="CZ293" s="61"/>
      <c r="DA293" s="61"/>
      <c r="DB293" s="61"/>
      <c r="DC293" s="61"/>
      <c r="DD293" s="61"/>
      <c r="DE293" s="61"/>
      <c r="DF293" s="61"/>
      <c r="DG293" s="61"/>
      <c r="DH293" s="61"/>
      <c r="DI293" s="61"/>
      <c r="DJ293" s="61"/>
      <c r="DK293" s="61"/>
      <c r="DL293" s="61"/>
      <c r="DM293" s="61"/>
      <c r="DN293" s="61"/>
      <c r="DO293" s="61"/>
      <c r="DP293" s="61"/>
      <c r="DQ293" s="156"/>
      <c r="DR293" s="156"/>
      <c r="DS293" s="156"/>
      <c r="DT293" s="156"/>
      <c r="DU293" s="156"/>
      <c r="DV293" s="156"/>
      <c r="DW293" s="156"/>
      <c r="DX293" s="156"/>
      <c r="DY293" s="156"/>
      <c r="DZ293" s="65"/>
      <c r="EA293" s="65"/>
      <c r="EB293" s="65"/>
      <c r="EC293" s="65"/>
      <c r="ED293" s="65"/>
      <c r="EE293" s="65"/>
      <c r="EF293" s="65"/>
      <c r="EG293" s="65"/>
    </row>
    <row r="294" spans="1:137" s="97" customFormat="1" ht="15.9" customHeight="1" x14ac:dyDescent="0.3">
      <c r="A294" s="83"/>
      <c r="B294" s="83"/>
      <c r="C294" s="91"/>
      <c r="D294" s="82"/>
      <c r="E294" s="83" t="s">
        <v>563</v>
      </c>
      <c r="F294" s="83"/>
      <c r="G294" s="84" t="s">
        <v>564</v>
      </c>
      <c r="H294" s="84"/>
      <c r="I294" s="203"/>
      <c r="J294" s="167"/>
      <c r="K294" s="220"/>
      <c r="L294" s="92"/>
      <c r="M294" s="288" t="s">
        <v>21</v>
      </c>
      <c r="N294" s="94"/>
      <c r="O294" s="94"/>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94"/>
      <c r="AU294" s="101"/>
      <c r="AV294" s="101"/>
      <c r="AW294" s="94"/>
      <c r="AX294" s="101"/>
      <c r="AY294" s="101"/>
      <c r="AZ294" s="101"/>
      <c r="BA294" s="101"/>
      <c r="BB294" s="101"/>
      <c r="BC294" s="101"/>
      <c r="BD294" s="101"/>
      <c r="BE294" s="101"/>
      <c r="BF294" s="101"/>
      <c r="BG294" s="94"/>
      <c r="BH294" s="94"/>
      <c r="BI294" s="101"/>
      <c r="BJ294" s="101"/>
      <c r="BK294" s="94"/>
      <c r="BL294" s="94"/>
      <c r="BM294" s="94"/>
      <c r="BN294" s="94"/>
      <c r="BO294" s="94"/>
      <c r="BP294" s="95"/>
      <c r="BQ294" s="101"/>
      <c r="BR294" s="94"/>
      <c r="BS294" s="94"/>
      <c r="BT294" s="94"/>
      <c r="BU294" s="94"/>
      <c r="BV294" s="94"/>
      <c r="BW294" s="94"/>
      <c r="BX294" s="94"/>
      <c r="BY294" s="94"/>
      <c r="BZ294" s="94"/>
      <c r="CA294" s="94"/>
      <c r="CB294" s="94"/>
      <c r="CC294" s="93"/>
      <c r="CD294" s="101"/>
      <c r="CE294" s="101"/>
      <c r="CF294" s="94"/>
      <c r="CG294" s="94"/>
      <c r="CH294" s="94"/>
      <c r="CI294" s="94"/>
      <c r="CJ294" s="94"/>
      <c r="CK294" s="101"/>
      <c r="CL294" s="101"/>
      <c r="CM294" s="94"/>
      <c r="CN294" s="94"/>
      <c r="CO294" s="94"/>
      <c r="CP294" s="94"/>
      <c r="CQ294" s="94"/>
      <c r="CR294" s="101"/>
      <c r="CS294" s="101"/>
      <c r="CT294" s="94"/>
      <c r="CU294" s="94"/>
      <c r="CV294" s="101"/>
      <c r="CW294" s="101"/>
      <c r="CX294" s="101"/>
      <c r="CY294" s="101"/>
      <c r="CZ294" s="101"/>
      <c r="DA294" s="101"/>
      <c r="DB294" s="101"/>
      <c r="DC294" s="101"/>
      <c r="DD294" s="101"/>
      <c r="DE294" s="101"/>
      <c r="DF294" s="101"/>
      <c r="DG294" s="101"/>
      <c r="DH294" s="101"/>
      <c r="DI294" s="101"/>
      <c r="DJ294" s="101"/>
      <c r="DK294" s="101"/>
      <c r="DL294" s="101"/>
      <c r="DM294" s="101"/>
      <c r="DN294" s="101"/>
      <c r="DO294" s="101"/>
      <c r="DP294" s="101"/>
      <c r="DQ294" s="161"/>
      <c r="DR294" s="161"/>
      <c r="DS294" s="161"/>
      <c r="DT294" s="161"/>
      <c r="DU294" s="161"/>
      <c r="DV294" s="161"/>
      <c r="DW294" s="161"/>
      <c r="DX294" s="161"/>
      <c r="DY294" s="161"/>
      <c r="DZ294" s="65"/>
      <c r="EA294" s="65"/>
      <c r="EB294" s="65"/>
      <c r="EC294" s="65"/>
      <c r="ED294" s="65"/>
      <c r="EE294" s="65"/>
      <c r="EF294" s="65"/>
      <c r="EG294" s="65"/>
    </row>
    <row r="295" spans="1:137" s="10" customFormat="1" ht="15.9" customHeight="1" outlineLevel="1" x14ac:dyDescent="0.3">
      <c r="A295" s="7"/>
      <c r="B295" s="7"/>
      <c r="C295" s="8" t="s">
        <v>44</v>
      </c>
      <c r="D295" s="8">
        <v>87.33</v>
      </c>
      <c r="E295" s="7" t="s">
        <v>563</v>
      </c>
      <c r="F295" s="7" t="s">
        <v>565</v>
      </c>
      <c r="G295" s="9" t="s">
        <v>566</v>
      </c>
      <c r="H295" s="9"/>
      <c r="I295" s="204" cm="1">
        <f t="array" ref="I295">IFERROR(LOOKUP(2,1/(N295:GR295&lt;&gt;""),N$4:DRA$4),"")</f>
        <v>45229</v>
      </c>
      <c r="J295" s="169" cm="1">
        <f t="array" ref="J295">IFERROR(_xlfn.XLOOKUP(TRUE,N295:EH295&lt;&gt;"",N295:EH295,,,-1)," ")</f>
        <v>23.7</v>
      </c>
      <c r="K295" s="45">
        <v>24</v>
      </c>
      <c r="L295" s="45"/>
      <c r="M295" s="282" t="s">
        <v>34</v>
      </c>
      <c r="N295" s="57"/>
      <c r="O295" s="57"/>
      <c r="P295" s="57"/>
      <c r="Q295" s="57"/>
      <c r="R295" s="57"/>
      <c r="S295" s="57"/>
      <c r="T295" s="57"/>
      <c r="U295" s="57"/>
      <c r="V295" s="57"/>
      <c r="W295" s="57"/>
      <c r="X295" s="57"/>
      <c r="Y295" s="57"/>
      <c r="Z295" s="57"/>
      <c r="AA295" s="57"/>
      <c r="AB295" s="57"/>
      <c r="AC295" s="57"/>
      <c r="AD295" s="57"/>
      <c r="AE295" s="57"/>
      <c r="AF295" s="57"/>
      <c r="AG295" s="57"/>
      <c r="AH295" s="57"/>
      <c r="AI295" s="57"/>
      <c r="AJ295" s="57"/>
      <c r="AK295" s="57"/>
      <c r="AL295" s="57"/>
      <c r="AM295" s="57"/>
      <c r="AN295" s="57"/>
      <c r="AO295" s="57"/>
      <c r="AP295" s="57"/>
      <c r="AQ295" s="57"/>
      <c r="AR295" s="57"/>
      <c r="AS295" s="57"/>
      <c r="AT295" s="57"/>
      <c r="AU295" s="61"/>
      <c r="AV295" s="61"/>
      <c r="AW295" s="57"/>
      <c r="AX295" s="61"/>
      <c r="AY295" s="61"/>
      <c r="AZ295" s="61"/>
      <c r="BA295" s="61"/>
      <c r="BB295" s="61"/>
      <c r="BC295" s="61"/>
      <c r="BD295" s="61"/>
      <c r="BE295" s="61"/>
      <c r="BF295" s="61"/>
      <c r="BG295" s="57"/>
      <c r="BH295" s="57"/>
      <c r="BI295" s="61"/>
      <c r="BJ295" s="61"/>
      <c r="BK295" s="57"/>
      <c r="BL295" s="57"/>
      <c r="BM295" s="57"/>
      <c r="BN295" s="57"/>
      <c r="BO295" s="57"/>
      <c r="BP295" s="58"/>
      <c r="BQ295" s="61"/>
      <c r="BR295" s="57"/>
      <c r="BS295" s="57"/>
      <c r="BT295" s="57"/>
      <c r="BU295" s="57"/>
      <c r="BV295" s="57"/>
      <c r="BW295" s="57"/>
      <c r="BX295" s="57"/>
      <c r="BY295" s="57"/>
      <c r="BZ295" s="57"/>
      <c r="CA295" s="57"/>
      <c r="CB295" s="57"/>
      <c r="CC295" s="27"/>
      <c r="CD295" s="61"/>
      <c r="CE295" s="61"/>
      <c r="CF295" s="57"/>
      <c r="CG295" s="57"/>
      <c r="CH295" s="57"/>
      <c r="CI295" s="57"/>
      <c r="CJ295" s="57">
        <v>24</v>
      </c>
      <c r="CK295" s="61"/>
      <c r="CL295" s="61"/>
      <c r="CM295" s="57"/>
      <c r="CN295" s="57"/>
      <c r="CO295" s="57"/>
      <c r="CP295" s="57"/>
      <c r="CQ295" s="57">
        <v>23.9</v>
      </c>
      <c r="CR295" s="61"/>
      <c r="CS295" s="61"/>
      <c r="CT295" s="57"/>
      <c r="CU295" s="57"/>
      <c r="CV295" s="61"/>
      <c r="CW295" s="61"/>
      <c r="CX295" s="61"/>
      <c r="CY295" s="61"/>
      <c r="CZ295" s="61"/>
      <c r="DA295" s="61"/>
      <c r="DB295" s="61"/>
      <c r="DC295" s="61"/>
      <c r="DD295" s="61">
        <v>23.7</v>
      </c>
      <c r="DE295" s="61"/>
      <c r="DF295" s="61"/>
      <c r="DG295" s="61"/>
      <c r="DH295" s="61"/>
      <c r="DI295" s="61"/>
      <c r="DJ295" s="61"/>
      <c r="DK295" s="61"/>
      <c r="DL295" s="61"/>
      <c r="DM295" s="61"/>
      <c r="DN295" s="61"/>
      <c r="DO295" s="61"/>
      <c r="DP295" s="61"/>
      <c r="DQ295" s="156"/>
      <c r="DR295" s="156"/>
      <c r="DS295" s="156"/>
      <c r="DT295" s="156"/>
      <c r="DU295" s="156"/>
      <c r="DV295" s="156"/>
      <c r="DW295" s="156"/>
      <c r="DX295" s="156"/>
      <c r="DY295" s="156"/>
      <c r="DZ295" s="65"/>
      <c r="EA295" s="65"/>
      <c r="EB295" s="65"/>
      <c r="EC295" s="65"/>
      <c r="ED295" s="65"/>
      <c r="EE295" s="65"/>
      <c r="EF295" s="65"/>
      <c r="EG295" s="65"/>
    </row>
    <row r="296" spans="1:137" s="10" customFormat="1" ht="15.9" customHeight="1" outlineLevel="1" x14ac:dyDescent="0.3">
      <c r="A296" s="7"/>
      <c r="B296" s="7"/>
      <c r="C296" s="8" t="s">
        <v>44</v>
      </c>
      <c r="D296" s="150"/>
      <c r="E296" s="7" t="s">
        <v>563</v>
      </c>
      <c r="F296" s="7" t="s">
        <v>565</v>
      </c>
      <c r="G296" s="9" t="s">
        <v>567</v>
      </c>
      <c r="H296" s="9"/>
      <c r="I296" s="204" t="str" cm="1">
        <f t="array" ref="I296">IFERROR(LOOKUP(2,1/(N296:GR296&lt;&gt;""),N$4:DRA$4),"")</f>
        <v/>
      </c>
      <c r="J296" s="169" t="str" cm="1">
        <f t="array" ref="J296">IFERROR(_xlfn.XLOOKUP(TRUE,N296:EH296&lt;&gt;"",N296:EH296,,,-1)," ")</f>
        <v xml:space="preserve"> </v>
      </c>
      <c r="K296" s="45">
        <v>24</v>
      </c>
      <c r="L296" s="45"/>
      <c r="M296" s="282" t="s">
        <v>34</v>
      </c>
      <c r="N296" s="57"/>
      <c r="O296" s="57"/>
      <c r="P296" s="57"/>
      <c r="Q296" s="57"/>
      <c r="R296" s="57"/>
      <c r="S296" s="57"/>
      <c r="T296" s="57"/>
      <c r="U296" s="57"/>
      <c r="V296" s="57"/>
      <c r="W296" s="57"/>
      <c r="X296" s="57"/>
      <c r="Y296" s="57"/>
      <c r="Z296" s="57"/>
      <c r="AA296" s="57"/>
      <c r="AB296" s="57"/>
      <c r="AC296" s="57"/>
      <c r="AD296" s="57"/>
      <c r="AE296" s="57"/>
      <c r="AF296" s="57"/>
      <c r="AG296" s="57"/>
      <c r="AH296" s="57"/>
      <c r="AI296" s="57"/>
      <c r="AJ296" s="57"/>
      <c r="AK296" s="57"/>
      <c r="AL296" s="57"/>
      <c r="AM296" s="57"/>
      <c r="AN296" s="57"/>
      <c r="AO296" s="57"/>
      <c r="AP296" s="57"/>
      <c r="AQ296" s="57"/>
      <c r="AR296" s="57"/>
      <c r="AS296" s="57"/>
      <c r="AT296" s="57"/>
      <c r="AU296" s="61"/>
      <c r="AV296" s="61"/>
      <c r="AW296" s="57"/>
      <c r="AX296" s="61"/>
      <c r="AY296" s="61"/>
      <c r="AZ296" s="61"/>
      <c r="BA296" s="61"/>
      <c r="BB296" s="61"/>
      <c r="BC296" s="61"/>
      <c r="BD296" s="61"/>
      <c r="BE296" s="61"/>
      <c r="BF296" s="61"/>
      <c r="BG296" s="57"/>
      <c r="BH296" s="57"/>
      <c r="BI296" s="61"/>
      <c r="BJ296" s="61"/>
      <c r="BK296" s="57"/>
      <c r="BL296" s="57"/>
      <c r="BM296" s="57"/>
      <c r="BN296" s="57"/>
      <c r="BO296" s="57"/>
      <c r="BP296" s="58"/>
      <c r="BQ296" s="61"/>
      <c r="BR296" s="57"/>
      <c r="BS296" s="57"/>
      <c r="BT296" s="57"/>
      <c r="BU296" s="57"/>
      <c r="BV296" s="57"/>
      <c r="BW296" s="57"/>
      <c r="BX296" s="57"/>
      <c r="BY296" s="57"/>
      <c r="BZ296" s="57"/>
      <c r="CA296" s="57"/>
      <c r="CB296" s="57"/>
      <c r="CC296" s="27"/>
      <c r="CD296" s="61"/>
      <c r="CE296" s="61"/>
      <c r="CF296" s="57"/>
      <c r="CG296" s="57"/>
      <c r="CH296" s="57"/>
      <c r="CI296" s="57"/>
      <c r="CJ296" s="57"/>
      <c r="CK296" s="61"/>
      <c r="CL296" s="61"/>
      <c r="CM296" s="57"/>
      <c r="CN296" s="57"/>
      <c r="CO296" s="57"/>
      <c r="CP296" s="57"/>
      <c r="CQ296" s="57"/>
      <c r="CR296" s="61"/>
      <c r="CS296" s="61"/>
      <c r="CT296" s="57"/>
      <c r="CU296" s="57"/>
      <c r="CV296" s="61"/>
      <c r="CW296" s="61"/>
      <c r="CX296" s="61"/>
      <c r="CY296" s="61"/>
      <c r="CZ296" s="61"/>
      <c r="DA296" s="61"/>
      <c r="DB296" s="61"/>
      <c r="DC296" s="61"/>
      <c r="DD296" s="61"/>
      <c r="DE296" s="61"/>
      <c r="DF296" s="61"/>
      <c r="DG296" s="61"/>
      <c r="DH296" s="61"/>
      <c r="DI296" s="61"/>
      <c r="DJ296" s="61"/>
      <c r="DK296" s="61"/>
      <c r="DL296" s="61"/>
      <c r="DM296" s="61"/>
      <c r="DN296" s="61"/>
      <c r="DO296" s="61"/>
      <c r="DP296" s="61"/>
      <c r="DQ296" s="156"/>
      <c r="DR296" s="156"/>
      <c r="DS296" s="156"/>
      <c r="DT296" s="156"/>
      <c r="DU296" s="156"/>
      <c r="DV296" s="156"/>
      <c r="DW296" s="156"/>
      <c r="DX296" s="156"/>
      <c r="DY296" s="156"/>
      <c r="DZ296" s="65"/>
      <c r="EA296" s="65"/>
      <c r="EB296" s="65"/>
      <c r="EC296" s="65"/>
      <c r="ED296" s="65"/>
      <c r="EE296" s="65"/>
      <c r="EF296" s="65"/>
      <c r="EG296" s="65"/>
    </row>
    <row r="297" spans="1:137" s="10" customFormat="1" ht="15.9" customHeight="1" outlineLevel="1" x14ac:dyDescent="0.3">
      <c r="A297" s="7"/>
      <c r="B297" s="7"/>
      <c r="C297" s="8" t="s">
        <v>44</v>
      </c>
      <c r="D297" s="150"/>
      <c r="E297" s="7" t="s">
        <v>563</v>
      </c>
      <c r="F297" s="7" t="s">
        <v>565</v>
      </c>
      <c r="G297" s="9" t="s">
        <v>568</v>
      </c>
      <c r="H297" s="9"/>
      <c r="I297" s="204" t="str" cm="1">
        <f t="array" ref="I297">IFERROR(LOOKUP(2,1/(N297:GR297&lt;&gt;""),N$4:DRA$4),"")</f>
        <v/>
      </c>
      <c r="J297" s="169" t="str" cm="1">
        <f t="array" ref="J297">IFERROR(_xlfn.XLOOKUP(TRUE,N297:EH297&lt;&gt;"",N297:EH297,,,-1)," ")</f>
        <v xml:space="preserve"> </v>
      </c>
      <c r="K297" s="45">
        <v>24</v>
      </c>
      <c r="L297" s="45"/>
      <c r="M297" s="282" t="s">
        <v>34</v>
      </c>
      <c r="N297" s="57"/>
      <c r="O297" s="57"/>
      <c r="P297" s="57"/>
      <c r="Q297" s="57"/>
      <c r="R297" s="57"/>
      <c r="S297" s="57"/>
      <c r="T297" s="57"/>
      <c r="U297" s="57"/>
      <c r="V297" s="57"/>
      <c r="W297" s="57"/>
      <c r="X297" s="57"/>
      <c r="Y297" s="57"/>
      <c r="Z297" s="57"/>
      <c r="AA297" s="57"/>
      <c r="AB297" s="57"/>
      <c r="AC297" s="57"/>
      <c r="AD297" s="57"/>
      <c r="AE297" s="57"/>
      <c r="AF297" s="57"/>
      <c r="AG297" s="57"/>
      <c r="AH297" s="57"/>
      <c r="AI297" s="57"/>
      <c r="AJ297" s="57"/>
      <c r="AK297" s="57"/>
      <c r="AL297" s="57"/>
      <c r="AM297" s="57"/>
      <c r="AN297" s="57"/>
      <c r="AO297" s="57"/>
      <c r="AP297" s="57"/>
      <c r="AQ297" s="57"/>
      <c r="AR297" s="57"/>
      <c r="AS297" s="57"/>
      <c r="AT297" s="57"/>
      <c r="AU297" s="61"/>
      <c r="AV297" s="61"/>
      <c r="AW297" s="57"/>
      <c r="AX297" s="61"/>
      <c r="AY297" s="61"/>
      <c r="AZ297" s="61"/>
      <c r="BA297" s="61"/>
      <c r="BB297" s="61"/>
      <c r="BC297" s="61"/>
      <c r="BD297" s="61"/>
      <c r="BE297" s="61"/>
      <c r="BF297" s="61"/>
      <c r="BG297" s="57"/>
      <c r="BH297" s="57"/>
      <c r="BI297" s="61"/>
      <c r="BJ297" s="61"/>
      <c r="BK297" s="57"/>
      <c r="BL297" s="57"/>
      <c r="BM297" s="57"/>
      <c r="BN297" s="57"/>
      <c r="BO297" s="57"/>
      <c r="BP297" s="58"/>
      <c r="BQ297" s="61"/>
      <c r="BR297" s="57"/>
      <c r="BS297" s="57"/>
      <c r="BT297" s="57"/>
      <c r="BU297" s="57"/>
      <c r="BV297" s="57"/>
      <c r="BW297" s="57"/>
      <c r="BX297" s="57"/>
      <c r="BY297" s="57"/>
      <c r="BZ297" s="57"/>
      <c r="CA297" s="57"/>
      <c r="CB297" s="57"/>
      <c r="CC297" s="27"/>
      <c r="CD297" s="61"/>
      <c r="CE297" s="61"/>
      <c r="CF297" s="57"/>
      <c r="CG297" s="57"/>
      <c r="CH297" s="57"/>
      <c r="CI297" s="57"/>
      <c r="CJ297" s="57"/>
      <c r="CK297" s="61"/>
      <c r="CL297" s="61"/>
      <c r="CM297" s="57"/>
      <c r="CN297" s="57"/>
      <c r="CO297" s="57"/>
      <c r="CP297" s="57"/>
      <c r="CQ297" s="57"/>
      <c r="CR297" s="61"/>
      <c r="CS297" s="61"/>
      <c r="CT297" s="57"/>
      <c r="CU297" s="57"/>
      <c r="CV297" s="61"/>
      <c r="CW297" s="61"/>
      <c r="CX297" s="61"/>
      <c r="CY297" s="61"/>
      <c r="CZ297" s="61"/>
      <c r="DA297" s="61"/>
      <c r="DB297" s="61"/>
      <c r="DC297" s="61"/>
      <c r="DD297" s="61"/>
      <c r="DE297" s="61"/>
      <c r="DF297" s="61"/>
      <c r="DG297" s="61"/>
      <c r="DH297" s="61"/>
      <c r="DI297" s="61"/>
      <c r="DJ297" s="61"/>
      <c r="DK297" s="61"/>
      <c r="DL297" s="61"/>
      <c r="DM297" s="61"/>
      <c r="DN297" s="61"/>
      <c r="DO297" s="61"/>
      <c r="DP297" s="61"/>
      <c r="DQ297" s="156"/>
      <c r="DR297" s="156"/>
      <c r="DS297" s="156"/>
      <c r="DT297" s="156"/>
      <c r="DU297" s="156"/>
      <c r="DV297" s="156"/>
      <c r="DW297" s="156"/>
      <c r="DX297" s="156"/>
      <c r="DY297" s="156"/>
      <c r="DZ297" s="59"/>
      <c r="EA297" s="59"/>
      <c r="EB297" s="59"/>
      <c r="EC297" s="59"/>
      <c r="ED297" s="59"/>
      <c r="EE297" s="59"/>
      <c r="EF297" s="59"/>
      <c r="EG297" s="59"/>
    </row>
    <row r="298" spans="1:137" s="5" customFormat="1" ht="15.9" customHeight="1" outlineLevel="1" x14ac:dyDescent="0.3">
      <c r="A298" s="6" t="s">
        <v>22</v>
      </c>
      <c r="B298" s="6"/>
      <c r="C298" s="50" t="s">
        <v>44</v>
      </c>
      <c r="D298" s="147">
        <v>53.76</v>
      </c>
      <c r="E298" s="6" t="s">
        <v>563</v>
      </c>
      <c r="F298" s="6" t="s">
        <v>569</v>
      </c>
      <c r="G298" s="11" t="s">
        <v>570</v>
      </c>
      <c r="H298" s="11"/>
      <c r="I298" s="205" cm="1">
        <f t="array" ref="I298">IFERROR(LOOKUP(2,1/(N298:GR298&lt;&gt;""),N$4:DRA$4),"")</f>
        <v>45216</v>
      </c>
      <c r="J298" s="170" cm="1">
        <f t="array" ref="J298">IFERROR(_xlfn.XLOOKUP(TRUE,N298:EH298&lt;&gt;"",N298:EH298,,,-1)," ")</f>
        <v>25</v>
      </c>
      <c r="K298" s="49">
        <v>24</v>
      </c>
      <c r="L298" s="49"/>
      <c r="M298" s="284" t="s">
        <v>34</v>
      </c>
      <c r="N298" s="62"/>
      <c r="O298" s="62"/>
      <c r="P298" s="62"/>
      <c r="Q298" s="62"/>
      <c r="R298" s="62"/>
      <c r="S298" s="62"/>
      <c r="T298" s="62"/>
      <c r="U298" s="62"/>
      <c r="V298" s="62"/>
      <c r="W298" s="62"/>
      <c r="X298" s="62"/>
      <c r="Y298" s="62"/>
      <c r="Z298" s="62"/>
      <c r="AA298" s="62"/>
      <c r="AB298" s="62"/>
      <c r="AC298" s="62"/>
      <c r="AD298" s="62"/>
      <c r="AE298" s="62"/>
      <c r="AF298" s="62"/>
      <c r="AG298" s="62"/>
      <c r="AH298" s="62"/>
      <c r="AI298" s="62"/>
      <c r="AJ298" s="62"/>
      <c r="AK298" s="62"/>
      <c r="AL298" s="62"/>
      <c r="AM298" s="62"/>
      <c r="AN298" s="62"/>
      <c r="AO298" s="62"/>
      <c r="AP298" s="62"/>
      <c r="AQ298" s="62"/>
      <c r="AR298" s="62"/>
      <c r="AS298" s="62"/>
      <c r="AT298" s="62"/>
      <c r="AU298" s="63"/>
      <c r="AV298" s="63"/>
      <c r="AW298" s="62"/>
      <c r="AX298" s="63"/>
      <c r="AY298" s="63"/>
      <c r="AZ298" s="63"/>
      <c r="BA298" s="63"/>
      <c r="BB298" s="63"/>
      <c r="BC298" s="63"/>
      <c r="BD298" s="63"/>
      <c r="BE298" s="63"/>
      <c r="BF298" s="63"/>
      <c r="BG298" s="62"/>
      <c r="BH298" s="62"/>
      <c r="BI298" s="63"/>
      <c r="BJ298" s="63"/>
      <c r="BK298" s="62"/>
      <c r="BL298" s="62"/>
      <c r="BM298" s="62"/>
      <c r="BN298" s="62"/>
      <c r="BO298" s="62"/>
      <c r="BP298" s="64"/>
      <c r="BQ298" s="63"/>
      <c r="BR298" s="62"/>
      <c r="BS298" s="62"/>
      <c r="BT298" s="62"/>
      <c r="BU298" s="62"/>
      <c r="BV298" s="62"/>
      <c r="BW298" s="62"/>
      <c r="BX298" s="62"/>
      <c r="BY298" s="62"/>
      <c r="BZ298" s="62"/>
      <c r="CA298" s="62"/>
      <c r="CB298" s="62"/>
      <c r="CC298" s="51"/>
      <c r="CD298" s="63"/>
      <c r="CE298" s="63"/>
      <c r="CF298" s="62"/>
      <c r="CG298" s="62"/>
      <c r="CH298" s="62"/>
      <c r="CI298" s="62"/>
      <c r="CJ298" s="62">
        <v>25</v>
      </c>
      <c r="CK298" s="63"/>
      <c r="CL298" s="63"/>
      <c r="CM298" s="62"/>
      <c r="CN298" s="62"/>
      <c r="CO298" s="62"/>
      <c r="CP298" s="62"/>
      <c r="CQ298" s="62">
        <v>25</v>
      </c>
      <c r="CR298" s="63"/>
      <c r="CS298" s="63"/>
      <c r="CT298" s="62"/>
      <c r="CU298" s="62"/>
      <c r="CV298" s="63"/>
      <c r="CW298" s="63"/>
      <c r="CX298" s="63"/>
      <c r="CY298" s="63"/>
      <c r="CZ298" s="63"/>
      <c r="DA298" s="63"/>
      <c r="DB298" s="63"/>
      <c r="DC298" s="63"/>
      <c r="DD298" s="63"/>
      <c r="DE298" s="63"/>
      <c r="DF298" s="63"/>
      <c r="DG298" s="63"/>
      <c r="DH298" s="63"/>
      <c r="DI298" s="63"/>
      <c r="DJ298" s="63"/>
      <c r="DK298" s="63"/>
      <c r="DL298" s="63"/>
      <c r="DM298" s="63"/>
      <c r="DN298" s="63"/>
      <c r="DO298" s="63"/>
      <c r="DP298" s="63"/>
      <c r="DQ298" s="158"/>
      <c r="DR298" s="158"/>
      <c r="DS298" s="158"/>
      <c r="DT298" s="158"/>
      <c r="DU298" s="158"/>
      <c r="DV298" s="158"/>
      <c r="DW298" s="158"/>
      <c r="DX298" s="158"/>
      <c r="DY298" s="158"/>
      <c r="DZ298" s="59"/>
      <c r="EA298" s="59"/>
      <c r="EB298" s="59"/>
      <c r="EC298" s="59"/>
      <c r="ED298" s="59"/>
      <c r="EE298" s="59"/>
      <c r="EF298" s="59"/>
      <c r="EG298" s="59"/>
    </row>
    <row r="299" spans="1:137" s="10" customFormat="1" ht="15.9" customHeight="1" outlineLevel="1" x14ac:dyDescent="0.3">
      <c r="A299" s="7" t="s">
        <v>22</v>
      </c>
      <c r="B299" s="7" t="s">
        <v>23</v>
      </c>
      <c r="C299" s="8" t="s">
        <v>44</v>
      </c>
      <c r="D299" s="146">
        <v>14.84</v>
      </c>
      <c r="E299" s="7" t="s">
        <v>563</v>
      </c>
      <c r="F299" s="7" t="s">
        <v>571</v>
      </c>
      <c r="G299" s="9" t="s">
        <v>572</v>
      </c>
      <c r="H299" s="9"/>
      <c r="I299" s="204" cm="1">
        <f t="array" ref="I299">IFERROR(LOOKUP(2,1/(N299:GR299&lt;&gt;""),N$4:DRA$4),"")</f>
        <v>45225</v>
      </c>
      <c r="J299" s="169" cm="1">
        <f t="array" ref="J299">IFERROR(_xlfn.XLOOKUP(TRUE,N299:EH299&lt;&gt;"",N299:EH299,,,-1)," ")</f>
        <v>24.8</v>
      </c>
      <c r="K299" s="45">
        <v>24</v>
      </c>
      <c r="L299" s="45"/>
      <c r="M299" s="282" t="s">
        <v>151</v>
      </c>
      <c r="N299" s="57"/>
      <c r="O299" s="57"/>
      <c r="P299" s="57"/>
      <c r="Q299" s="57"/>
      <c r="R299" s="57"/>
      <c r="S299" s="57"/>
      <c r="T299" s="57"/>
      <c r="U299" s="57"/>
      <c r="V299" s="57"/>
      <c r="W299" s="57"/>
      <c r="X299" s="57"/>
      <c r="Y299" s="57"/>
      <c r="Z299" s="57"/>
      <c r="AA299" s="57"/>
      <c r="AB299" s="57"/>
      <c r="AC299" s="57"/>
      <c r="AD299" s="57"/>
      <c r="AE299" s="57"/>
      <c r="AF299" s="57"/>
      <c r="AG299" s="57"/>
      <c r="AH299" s="57"/>
      <c r="AI299" s="57"/>
      <c r="AJ299" s="57"/>
      <c r="AK299" s="57"/>
      <c r="AL299" s="57"/>
      <c r="AM299" s="57"/>
      <c r="AN299" s="57"/>
      <c r="AO299" s="57"/>
      <c r="AP299" s="57"/>
      <c r="AQ299" s="57"/>
      <c r="AR299" s="57"/>
      <c r="AS299" s="57"/>
      <c r="AT299" s="57"/>
      <c r="AU299" s="61"/>
      <c r="AV299" s="61"/>
      <c r="AW299" s="57"/>
      <c r="AX299" s="61"/>
      <c r="AY299" s="61"/>
      <c r="AZ299" s="61"/>
      <c r="BA299" s="61"/>
      <c r="BB299" s="61"/>
      <c r="BC299" s="61"/>
      <c r="BD299" s="61"/>
      <c r="BE299" s="61"/>
      <c r="BF299" s="61"/>
      <c r="BG299" s="57"/>
      <c r="BH299" s="57"/>
      <c r="BI299" s="61"/>
      <c r="BJ299" s="61">
        <v>20.6</v>
      </c>
      <c r="BK299" s="57"/>
      <c r="BL299" s="57"/>
      <c r="BM299" s="57"/>
      <c r="BN299" s="57"/>
      <c r="BO299" s="57"/>
      <c r="BP299" s="58"/>
      <c r="BQ299" s="61"/>
      <c r="BR299" s="57"/>
      <c r="BS299" s="57"/>
      <c r="BT299" s="57"/>
      <c r="BU299" s="57"/>
      <c r="BV299" s="57"/>
      <c r="BW299" s="57"/>
      <c r="BX299" s="57"/>
      <c r="BY299" s="57"/>
      <c r="BZ299" s="396">
        <v>23</v>
      </c>
      <c r="CA299" s="57"/>
      <c r="CB299" s="57"/>
      <c r="CC299" s="27"/>
      <c r="CD299" s="61"/>
      <c r="CE299" s="61"/>
      <c r="CF299" s="57">
        <v>22.7</v>
      </c>
      <c r="CG299" s="57"/>
      <c r="CH299" s="57"/>
      <c r="CI299" s="57"/>
      <c r="CJ299" s="57"/>
      <c r="CK299" s="61"/>
      <c r="CL299" s="61"/>
      <c r="CM299" s="57">
        <v>24.7</v>
      </c>
      <c r="CN299" s="57"/>
      <c r="CO299" s="57"/>
      <c r="CP299" s="57"/>
      <c r="CQ299" s="57"/>
      <c r="CR299" s="61"/>
      <c r="CS299" s="61">
        <v>25</v>
      </c>
      <c r="CT299" s="57"/>
      <c r="CU299" s="57"/>
      <c r="CV299" s="61"/>
      <c r="CW299" s="61"/>
      <c r="CX299" s="61"/>
      <c r="CY299" s="61"/>
      <c r="CZ299" s="61">
        <v>24.8</v>
      </c>
      <c r="DA299" s="61"/>
      <c r="DB299" s="61"/>
      <c r="DC299" s="61"/>
      <c r="DD299" s="61"/>
      <c r="DE299" s="61"/>
      <c r="DF299" s="61"/>
      <c r="DG299" s="61"/>
      <c r="DH299" s="61"/>
      <c r="DI299" s="61"/>
      <c r="DJ299" s="61"/>
      <c r="DK299" s="61"/>
      <c r="DL299" s="61"/>
      <c r="DM299" s="61"/>
      <c r="DN299" s="61"/>
      <c r="DO299" s="61"/>
      <c r="DP299" s="61"/>
      <c r="DQ299" s="156"/>
      <c r="DR299" s="156"/>
      <c r="DS299" s="156"/>
      <c r="DT299" s="156"/>
      <c r="DU299" s="156"/>
      <c r="DV299" s="156"/>
      <c r="DW299" s="156"/>
      <c r="DX299" s="156"/>
      <c r="DY299" s="156"/>
      <c r="DZ299" s="59"/>
      <c r="EA299" s="59"/>
      <c r="EB299" s="59"/>
      <c r="EC299" s="59"/>
      <c r="ED299" s="59"/>
      <c r="EE299" s="59"/>
      <c r="EF299" s="59"/>
      <c r="EG299" s="59"/>
    </row>
    <row r="300" spans="1:137" s="5" customFormat="1" ht="15.9" customHeight="1" outlineLevel="1" x14ac:dyDescent="0.3">
      <c r="A300" s="6" t="s">
        <v>23</v>
      </c>
      <c r="B300" s="6" t="s">
        <v>23</v>
      </c>
      <c r="C300" s="50" t="s">
        <v>24</v>
      </c>
      <c r="D300" s="147">
        <v>26.02</v>
      </c>
      <c r="E300" s="6" t="s">
        <v>563</v>
      </c>
      <c r="F300" s="6" t="s">
        <v>573</v>
      </c>
      <c r="G300" s="11" t="s">
        <v>574</v>
      </c>
      <c r="H300" s="11"/>
      <c r="I300" s="205" cm="1">
        <f t="array" ref="I300">IFERROR(LOOKUP(2,1/(N300:GR300&lt;&gt;""),N$4:DRA$4),"")</f>
        <v>45225</v>
      </c>
      <c r="J300" s="170" cm="1">
        <f t="array" ref="J300">IFERROR(_xlfn.XLOOKUP(TRUE,N300:EH300&lt;&gt;"",N300:EH300,,,-1)," ")</f>
        <v>25.4</v>
      </c>
      <c r="K300" s="49">
        <v>24</v>
      </c>
      <c r="L300" s="49">
        <v>24.5</v>
      </c>
      <c r="M300" s="284" t="s">
        <v>575</v>
      </c>
      <c r="N300" s="62"/>
      <c r="O300" s="62"/>
      <c r="P300" s="62"/>
      <c r="Q300" s="62"/>
      <c r="R300" s="62"/>
      <c r="S300" s="62"/>
      <c r="T300" s="62"/>
      <c r="U300" s="62"/>
      <c r="V300" s="62"/>
      <c r="W300" s="62"/>
      <c r="X300" s="62"/>
      <c r="Y300" s="62"/>
      <c r="Z300" s="62"/>
      <c r="AA300" s="62"/>
      <c r="AB300" s="62"/>
      <c r="AC300" s="62"/>
      <c r="AD300" s="62"/>
      <c r="AE300" s="62"/>
      <c r="AF300" s="62"/>
      <c r="AG300" s="62"/>
      <c r="AH300" s="62"/>
      <c r="AI300" s="62"/>
      <c r="AJ300" s="62"/>
      <c r="AK300" s="62"/>
      <c r="AL300" s="62"/>
      <c r="AM300" s="62"/>
      <c r="AN300" s="62"/>
      <c r="AO300" s="62"/>
      <c r="AP300" s="62"/>
      <c r="AQ300" s="62"/>
      <c r="AR300" s="62"/>
      <c r="AS300" s="62"/>
      <c r="AT300" s="62"/>
      <c r="AU300" s="63"/>
      <c r="AV300" s="318">
        <v>18.2</v>
      </c>
      <c r="AW300" s="62"/>
      <c r="AX300" s="63"/>
      <c r="AY300" s="63"/>
      <c r="AZ300" s="63"/>
      <c r="BA300" s="63"/>
      <c r="BB300" s="63"/>
      <c r="BC300" s="63"/>
      <c r="BD300" s="63"/>
      <c r="BE300" s="63"/>
      <c r="BF300" s="62"/>
      <c r="BG300" s="62">
        <v>20.9</v>
      </c>
      <c r="BH300" s="62">
        <v>19.2</v>
      </c>
      <c r="BI300" s="63"/>
      <c r="BJ300" s="63"/>
      <c r="BK300" s="62"/>
      <c r="BL300" s="62"/>
      <c r="BM300" s="62"/>
      <c r="BN300" s="62"/>
      <c r="BO300" s="62"/>
      <c r="BP300" s="64"/>
      <c r="BQ300" s="63"/>
      <c r="BR300" s="62"/>
      <c r="BS300" s="62">
        <v>22.5</v>
      </c>
      <c r="BT300" s="62"/>
      <c r="BU300" s="62"/>
      <c r="BV300" s="62"/>
      <c r="BW300" s="62"/>
      <c r="BX300" s="62"/>
      <c r="BY300" s="62"/>
      <c r="BZ300" s="62"/>
      <c r="CA300" s="62"/>
      <c r="CB300" s="62"/>
      <c r="CC300" s="403">
        <v>23.5</v>
      </c>
      <c r="CD300" s="63"/>
      <c r="CE300" s="63"/>
      <c r="CF300" s="62"/>
      <c r="CG300" s="62"/>
      <c r="CH300" s="62"/>
      <c r="CI300" s="64">
        <v>24.3</v>
      </c>
      <c r="CK300" s="63"/>
      <c r="CL300" s="63"/>
      <c r="CM300" s="62"/>
      <c r="CN300" s="62"/>
      <c r="CO300" s="62"/>
      <c r="CP300" s="64"/>
      <c r="CQ300" s="62"/>
      <c r="CR300" s="63"/>
      <c r="CS300" s="63"/>
      <c r="CT300" s="62"/>
      <c r="CU300" s="62"/>
      <c r="CV300" s="63"/>
      <c r="CW300" s="63"/>
      <c r="CX300" s="63"/>
      <c r="CY300" s="63"/>
      <c r="CZ300" s="63">
        <v>25.4</v>
      </c>
      <c r="DA300" s="63"/>
      <c r="DB300" s="63"/>
      <c r="DC300" s="63"/>
      <c r="DD300" s="63"/>
      <c r="DE300" s="63"/>
      <c r="DF300" s="63"/>
      <c r="DG300" s="63"/>
      <c r="DH300" s="63"/>
      <c r="DI300" s="63"/>
      <c r="DJ300" s="63"/>
      <c r="DK300" s="63"/>
      <c r="DL300" s="63"/>
      <c r="DM300" s="63"/>
      <c r="DN300" s="63"/>
      <c r="DO300" s="63"/>
      <c r="DP300" s="63"/>
      <c r="DQ300" s="158"/>
      <c r="DR300" s="158"/>
      <c r="DS300" s="158"/>
      <c r="DT300" s="158"/>
      <c r="DU300" s="158"/>
      <c r="DV300" s="158"/>
      <c r="DW300" s="158"/>
      <c r="DX300" s="158"/>
      <c r="DY300" s="158"/>
      <c r="DZ300" s="59"/>
      <c r="EA300" s="59"/>
      <c r="EB300" s="59"/>
      <c r="EC300" s="59"/>
      <c r="ED300" s="59"/>
      <c r="EE300" s="59"/>
      <c r="EF300" s="59"/>
      <c r="EG300" s="59"/>
    </row>
    <row r="301" spans="1:137" s="10" customFormat="1" ht="15.9" customHeight="1" outlineLevel="1" x14ac:dyDescent="0.3">
      <c r="A301" s="7" t="s">
        <v>22</v>
      </c>
      <c r="B301" s="7"/>
      <c r="C301" s="8" t="s">
        <v>24</v>
      </c>
      <c r="D301" s="146">
        <v>21.4</v>
      </c>
      <c r="E301" s="7" t="s">
        <v>563</v>
      </c>
      <c r="F301" s="7" t="s">
        <v>576</v>
      </c>
      <c r="G301" s="9" t="s">
        <v>577</v>
      </c>
      <c r="H301" s="9"/>
      <c r="I301" s="204" cm="1">
        <f t="array" ref="I301">IFERROR(LOOKUP(2,1/(N301:GR301&lt;&gt;""),N$4:DRA$4),"")</f>
        <v>45225</v>
      </c>
      <c r="J301" s="169" cm="1">
        <f t="array" ref="J301">IFERROR(_xlfn.XLOOKUP(TRUE,N301:EH301&lt;&gt;"",N301:EH301,,,-1)," ")</f>
        <v>23</v>
      </c>
      <c r="K301" s="45">
        <v>24</v>
      </c>
      <c r="L301" s="45"/>
      <c r="M301" s="282" t="s">
        <v>34</v>
      </c>
      <c r="N301" s="57"/>
      <c r="O301" s="57"/>
      <c r="P301" s="57"/>
      <c r="Q301" s="57"/>
      <c r="R301" s="57"/>
      <c r="S301" s="57"/>
      <c r="T301" s="57"/>
      <c r="U301" s="57"/>
      <c r="V301" s="57"/>
      <c r="W301" s="57"/>
      <c r="X301" s="57"/>
      <c r="Y301" s="57"/>
      <c r="Z301" s="57"/>
      <c r="AA301" s="57"/>
      <c r="AB301" s="57"/>
      <c r="AC301" s="57"/>
      <c r="AD301" s="57"/>
      <c r="AE301" s="57"/>
      <c r="AF301" s="57"/>
      <c r="AG301" s="57"/>
      <c r="AH301" s="57"/>
      <c r="AI301" s="57"/>
      <c r="AJ301" s="57"/>
      <c r="AK301" s="57"/>
      <c r="AL301" s="57"/>
      <c r="AM301" s="57"/>
      <c r="AN301" s="57"/>
      <c r="AO301" s="57"/>
      <c r="AP301" s="57"/>
      <c r="AQ301" s="57"/>
      <c r="AR301" s="57"/>
      <c r="AS301" s="57"/>
      <c r="AT301" s="57"/>
      <c r="AU301" s="61"/>
      <c r="AV301" s="61"/>
      <c r="AW301" s="57"/>
      <c r="AX301" s="61"/>
      <c r="AY301" s="61"/>
      <c r="AZ301" s="61"/>
      <c r="BA301" s="61"/>
      <c r="BB301" s="61"/>
      <c r="BC301" s="61"/>
      <c r="BD301" s="61"/>
      <c r="BE301" s="61"/>
      <c r="BF301" s="61"/>
      <c r="BG301" s="57"/>
      <c r="BH301" s="57"/>
      <c r="BI301" s="61"/>
      <c r="BJ301" s="61"/>
      <c r="BK301" s="57"/>
      <c r="BL301" s="57"/>
      <c r="BM301" s="57"/>
      <c r="BN301" s="57"/>
      <c r="BO301" s="57"/>
      <c r="BP301" s="58"/>
      <c r="BQ301" s="61"/>
      <c r="BR301" s="57"/>
      <c r="BS301" s="57">
        <v>19.2</v>
      </c>
      <c r="BT301" s="57"/>
      <c r="BU301" s="57"/>
      <c r="BV301" s="57"/>
      <c r="BW301" s="57"/>
      <c r="BX301" s="57"/>
      <c r="BY301" s="57"/>
      <c r="BZ301" s="57"/>
      <c r="CA301" s="57"/>
      <c r="CB301" s="57"/>
      <c r="CC301" s="27"/>
      <c r="CD301" s="61">
        <v>20.6</v>
      </c>
      <c r="CE301" s="61"/>
      <c r="CF301" s="57"/>
      <c r="CG301" s="57"/>
      <c r="CH301" s="57"/>
      <c r="CI301" s="57"/>
      <c r="CJ301" s="57"/>
      <c r="CK301" s="61"/>
      <c r="CL301" s="61">
        <v>21.6</v>
      </c>
      <c r="CM301" s="57"/>
      <c r="CN301" s="57"/>
      <c r="CO301" s="57"/>
      <c r="CP301" s="57"/>
      <c r="CQ301" s="57"/>
      <c r="CR301" s="61">
        <v>20.8</v>
      </c>
      <c r="CS301" s="61"/>
      <c r="CT301" s="57"/>
      <c r="CU301" s="57"/>
      <c r="CV301" s="61"/>
      <c r="CW301" s="61"/>
      <c r="CX301" s="61"/>
      <c r="CY301" s="61"/>
      <c r="CZ301" s="61">
        <v>23</v>
      </c>
      <c r="DA301" s="61"/>
      <c r="DB301" s="61"/>
      <c r="DC301" s="61"/>
      <c r="DD301" s="61"/>
      <c r="DE301" s="61"/>
      <c r="DF301" s="61"/>
      <c r="DG301" s="61"/>
      <c r="DH301" s="61"/>
      <c r="DI301" s="61"/>
      <c r="DJ301" s="61"/>
      <c r="DK301" s="61"/>
      <c r="DL301" s="61"/>
      <c r="DM301" s="61"/>
      <c r="DN301" s="61"/>
      <c r="DO301" s="61"/>
      <c r="DP301" s="61"/>
      <c r="DQ301" s="156"/>
      <c r="DR301" s="156"/>
      <c r="DS301" s="156"/>
      <c r="DT301" s="156"/>
      <c r="DU301" s="156"/>
      <c r="DV301" s="156"/>
      <c r="DW301" s="156"/>
      <c r="DX301" s="156"/>
      <c r="DY301" s="156"/>
      <c r="DZ301" s="65"/>
      <c r="EA301" s="65"/>
      <c r="EB301" s="65"/>
      <c r="EC301" s="65"/>
      <c r="ED301" s="65"/>
      <c r="EE301" s="65"/>
      <c r="EF301" s="65"/>
      <c r="EG301" s="65"/>
    </row>
    <row r="302" spans="1:137" s="5" customFormat="1" ht="15.9" customHeight="1" outlineLevel="1" x14ac:dyDescent="0.3">
      <c r="A302" s="6" t="s">
        <v>22</v>
      </c>
      <c r="B302" s="6" t="s">
        <v>23</v>
      </c>
      <c r="C302" s="50" t="s">
        <v>24</v>
      </c>
      <c r="D302" s="147">
        <v>6.32</v>
      </c>
      <c r="E302" s="6" t="s">
        <v>563</v>
      </c>
      <c r="F302" s="6" t="s">
        <v>578</v>
      </c>
      <c r="G302" s="11" t="s">
        <v>579</v>
      </c>
      <c r="H302" s="11"/>
      <c r="I302" s="205" cm="1">
        <f t="array" ref="I302">IFERROR(LOOKUP(2,1/(N302:GR302&lt;&gt;""),N$4:DRA$4),"")</f>
        <v>45222</v>
      </c>
      <c r="J302" s="271" cm="1">
        <f t="array" ref="J302">IFERROR(_xlfn.XLOOKUP(TRUE,N302:EH302&lt;&gt;"",N302:EH302,,,-1)," ")</f>
        <v>25</v>
      </c>
      <c r="K302" s="49">
        <v>24</v>
      </c>
      <c r="L302" s="49">
        <v>24.5</v>
      </c>
      <c r="M302" s="284" t="s">
        <v>28</v>
      </c>
      <c r="N302" s="62"/>
      <c r="O302" s="62"/>
      <c r="P302" s="62"/>
      <c r="Q302" s="62"/>
      <c r="R302" s="62"/>
      <c r="S302" s="62"/>
      <c r="T302" s="62"/>
      <c r="U302" s="62"/>
      <c r="V302" s="62"/>
      <c r="W302" s="62"/>
      <c r="X302" s="62"/>
      <c r="Y302" s="62"/>
      <c r="Z302" s="62"/>
      <c r="AA302" s="62"/>
      <c r="AB302" s="62"/>
      <c r="AC302" s="62"/>
      <c r="AD302" s="62"/>
      <c r="AE302" s="62"/>
      <c r="AF302" s="62"/>
      <c r="AG302" s="62"/>
      <c r="AH302" s="62"/>
      <c r="AI302" s="62"/>
      <c r="AJ302" s="62"/>
      <c r="AK302" s="62"/>
      <c r="AL302" s="62"/>
      <c r="AM302" s="62"/>
      <c r="AN302" s="62"/>
      <c r="AO302" s="62"/>
      <c r="AP302" s="62"/>
      <c r="AQ302" s="62"/>
      <c r="AR302" s="62"/>
      <c r="AS302" s="62"/>
      <c r="AT302" s="62"/>
      <c r="AU302" s="63"/>
      <c r="AV302" s="63"/>
      <c r="AW302" s="62"/>
      <c r="AX302" s="63"/>
      <c r="AY302" s="63"/>
      <c r="AZ302" s="63"/>
      <c r="BA302" s="63"/>
      <c r="BB302" s="63"/>
      <c r="BC302" s="63"/>
      <c r="BD302" s="63"/>
      <c r="BE302" s="63"/>
      <c r="BF302" s="63"/>
      <c r="BG302" s="62"/>
      <c r="BH302" s="62"/>
      <c r="BI302" s="63"/>
      <c r="BJ302" s="63"/>
      <c r="BK302" s="62"/>
      <c r="BL302" s="62"/>
      <c r="BM302" s="62"/>
      <c r="BN302" s="62"/>
      <c r="BO302" s="62"/>
      <c r="BP302" s="64"/>
      <c r="BQ302" s="63"/>
      <c r="BR302" s="62"/>
      <c r="BS302" s="64">
        <v>21.5</v>
      </c>
      <c r="BT302" s="62"/>
      <c r="BU302" s="62"/>
      <c r="BV302" s="62"/>
      <c r="BW302" s="62"/>
      <c r="BX302" s="62"/>
      <c r="BY302" s="62"/>
      <c r="BZ302" s="62"/>
      <c r="CA302" s="62"/>
      <c r="CB302" s="62"/>
      <c r="CC302" s="51"/>
      <c r="CD302" s="63">
        <v>22</v>
      </c>
      <c r="CE302" s="63"/>
      <c r="CF302" s="62"/>
      <c r="CG302" s="62"/>
      <c r="CH302" s="62"/>
      <c r="CI302" s="62"/>
      <c r="CJ302" s="62"/>
      <c r="CK302" s="159">
        <v>23.7</v>
      </c>
      <c r="CM302" s="62"/>
      <c r="CN302" s="62"/>
      <c r="CO302" s="62"/>
      <c r="CP302" s="62"/>
      <c r="CQ302" s="64">
        <v>23.6</v>
      </c>
      <c r="CR302" s="63"/>
      <c r="CS302" s="63"/>
      <c r="CT302" s="62"/>
      <c r="CU302" s="62"/>
      <c r="CV302" s="63"/>
      <c r="CW302" s="63">
        <v>25</v>
      </c>
      <c r="CX302" s="63"/>
      <c r="CY302" s="63"/>
      <c r="CZ302" s="63"/>
      <c r="DA302" s="63"/>
      <c r="DB302" s="63"/>
      <c r="DC302" s="63"/>
      <c r="DD302" s="63"/>
      <c r="DE302" s="63"/>
      <c r="DF302" s="63"/>
      <c r="DG302" s="63"/>
      <c r="DH302" s="63"/>
      <c r="DI302" s="63"/>
      <c r="DJ302" s="63"/>
      <c r="DK302" s="63"/>
      <c r="DL302" s="63"/>
      <c r="DM302" s="63"/>
      <c r="DN302" s="63"/>
      <c r="DO302" s="63"/>
      <c r="DP302" s="63"/>
      <c r="DQ302" s="158"/>
      <c r="DR302" s="158"/>
      <c r="DS302" s="158"/>
      <c r="DT302" s="158"/>
      <c r="DU302" s="158"/>
      <c r="DV302" s="158"/>
      <c r="DW302" s="158"/>
      <c r="DX302" s="158"/>
      <c r="DY302" s="158"/>
      <c r="DZ302" s="59"/>
      <c r="EA302" s="59"/>
      <c r="EB302" s="59"/>
      <c r="EC302" s="59"/>
      <c r="ED302" s="59"/>
      <c r="EE302" s="59"/>
      <c r="EF302" s="59"/>
      <c r="EG302" s="59"/>
    </row>
    <row r="303" spans="1:137" s="5" customFormat="1" ht="15.9" customHeight="1" outlineLevel="1" x14ac:dyDescent="0.3">
      <c r="A303" s="6" t="s">
        <v>22</v>
      </c>
      <c r="B303" s="6"/>
      <c r="C303" s="50" t="s">
        <v>24</v>
      </c>
      <c r="D303" s="147"/>
      <c r="E303" s="6" t="s">
        <v>563</v>
      </c>
      <c r="F303" s="6" t="s">
        <v>578</v>
      </c>
      <c r="G303" s="11" t="s">
        <v>580</v>
      </c>
      <c r="H303" s="11"/>
      <c r="I303" s="205" t="str" cm="1">
        <f t="array" ref="I303">IFERROR(LOOKUP(2,1/(N303:GR303&lt;&gt;""),N$4:DRA$4),"")</f>
        <v/>
      </c>
      <c r="J303" s="170" t="str" cm="1">
        <f t="array" ref="J303">IFERROR(_xlfn.XLOOKUP(TRUE,N303:EH303&lt;&gt;"",N303:EH303,,,-1)," ")</f>
        <v xml:space="preserve"> </v>
      </c>
      <c r="K303" s="49">
        <v>24</v>
      </c>
      <c r="L303" s="49">
        <v>24.5</v>
      </c>
      <c r="M303" s="284" t="s">
        <v>28</v>
      </c>
      <c r="N303" s="62"/>
      <c r="O303" s="62"/>
      <c r="P303" s="62"/>
      <c r="Q303" s="62"/>
      <c r="R303" s="62"/>
      <c r="S303" s="62"/>
      <c r="T303" s="62"/>
      <c r="U303" s="62"/>
      <c r="V303" s="62"/>
      <c r="W303" s="62"/>
      <c r="X303" s="62"/>
      <c r="Y303" s="62"/>
      <c r="Z303" s="62"/>
      <c r="AA303" s="62"/>
      <c r="AB303" s="62"/>
      <c r="AC303" s="62"/>
      <c r="AD303" s="62"/>
      <c r="AE303" s="62"/>
      <c r="AF303" s="62"/>
      <c r="AG303" s="62"/>
      <c r="AH303" s="62"/>
      <c r="AI303" s="62"/>
      <c r="AJ303" s="62"/>
      <c r="AK303" s="62"/>
      <c r="AL303" s="62"/>
      <c r="AM303" s="62"/>
      <c r="AN303" s="62"/>
      <c r="AO303" s="62"/>
      <c r="AP303" s="62"/>
      <c r="AQ303" s="62"/>
      <c r="AR303" s="62"/>
      <c r="AS303" s="62"/>
      <c r="AT303" s="62"/>
      <c r="AU303" s="63"/>
      <c r="AV303" s="63"/>
      <c r="AW303" s="62"/>
      <c r="AX303" s="63"/>
      <c r="AY303" s="63"/>
      <c r="AZ303" s="63"/>
      <c r="BA303" s="63"/>
      <c r="BB303" s="63"/>
      <c r="BC303" s="63"/>
      <c r="BD303" s="63"/>
      <c r="BE303" s="63"/>
      <c r="BF303" s="63"/>
      <c r="BG303" s="62"/>
      <c r="BH303" s="62"/>
      <c r="BI303" s="63"/>
      <c r="BJ303" s="63"/>
      <c r="BK303" s="62"/>
      <c r="BL303" s="62"/>
      <c r="BM303" s="62"/>
      <c r="BN303" s="62"/>
      <c r="BO303" s="62"/>
      <c r="BP303" s="64"/>
      <c r="BQ303" s="63"/>
      <c r="BR303" s="62"/>
      <c r="BS303" s="62"/>
      <c r="BT303" s="62"/>
      <c r="BU303" s="62"/>
      <c r="BV303" s="62"/>
      <c r="BW303" s="62"/>
      <c r="BX303" s="62"/>
      <c r="BY303" s="62"/>
      <c r="BZ303" s="62"/>
      <c r="CA303" s="62"/>
      <c r="CB303" s="62"/>
      <c r="CC303" s="51"/>
      <c r="CD303" s="63"/>
      <c r="CE303" s="63"/>
      <c r="CF303" s="62"/>
      <c r="CG303" s="62"/>
      <c r="CH303" s="62"/>
      <c r="CI303" s="62"/>
      <c r="CJ303" s="62"/>
      <c r="CK303" s="159"/>
      <c r="CL303" s="63"/>
      <c r="CM303" s="62"/>
      <c r="CN303" s="62"/>
      <c r="CO303" s="62"/>
      <c r="CP303" s="62"/>
      <c r="CQ303" s="62"/>
      <c r="CR303" s="63"/>
      <c r="CS303" s="63"/>
      <c r="CT303" s="62"/>
      <c r="CU303" s="62"/>
      <c r="CV303" s="63"/>
      <c r="CW303" s="63"/>
      <c r="CX303" s="63"/>
      <c r="CY303" s="63"/>
      <c r="CZ303" s="63"/>
      <c r="DA303" s="63"/>
      <c r="DB303" s="63"/>
      <c r="DC303" s="63"/>
      <c r="DD303" s="63"/>
      <c r="DE303" s="63"/>
      <c r="DF303" s="63"/>
      <c r="DG303" s="63"/>
      <c r="DH303" s="63"/>
      <c r="DI303" s="63"/>
      <c r="DJ303" s="63"/>
      <c r="DK303" s="63"/>
      <c r="DL303" s="63"/>
      <c r="DM303" s="63"/>
      <c r="DN303" s="63"/>
      <c r="DO303" s="63"/>
      <c r="DP303" s="63"/>
      <c r="DQ303" s="158"/>
      <c r="DR303" s="158"/>
      <c r="DS303" s="158"/>
      <c r="DT303" s="158"/>
      <c r="DU303" s="158"/>
      <c r="DV303" s="158"/>
      <c r="DW303" s="158"/>
      <c r="DX303" s="158"/>
      <c r="DY303" s="158"/>
      <c r="DZ303" s="59"/>
      <c r="EA303" s="59"/>
      <c r="EB303" s="59"/>
      <c r="EC303" s="59"/>
      <c r="ED303" s="59"/>
      <c r="EE303" s="59"/>
      <c r="EF303" s="59"/>
      <c r="EG303" s="59"/>
    </row>
    <row r="304" spans="1:137" s="5" customFormat="1" ht="15.9" customHeight="1" outlineLevel="1" x14ac:dyDescent="0.3">
      <c r="A304" s="6" t="s">
        <v>22</v>
      </c>
      <c r="B304" s="6"/>
      <c r="C304" s="50" t="s">
        <v>24</v>
      </c>
      <c r="D304" s="147"/>
      <c r="E304" s="6" t="s">
        <v>563</v>
      </c>
      <c r="F304" s="6" t="s">
        <v>578</v>
      </c>
      <c r="G304" s="11" t="s">
        <v>581</v>
      </c>
      <c r="H304" s="11"/>
      <c r="I304" s="205" t="str" cm="1">
        <f t="array" ref="I304">IFERROR(LOOKUP(2,1/(N304:GR304&lt;&gt;""),N$4:DRA$4),"")</f>
        <v/>
      </c>
      <c r="J304" s="170" t="str" cm="1">
        <f t="array" ref="J304">IFERROR(_xlfn.XLOOKUP(TRUE,N304:EH304&lt;&gt;"",N304:EH304,,,-1)," ")</f>
        <v xml:space="preserve"> </v>
      </c>
      <c r="K304" s="49">
        <v>24</v>
      </c>
      <c r="L304" s="49">
        <v>24.5</v>
      </c>
      <c r="M304" s="284" t="s">
        <v>28</v>
      </c>
      <c r="N304" s="62"/>
      <c r="O304" s="62"/>
      <c r="P304" s="62"/>
      <c r="Q304" s="62"/>
      <c r="R304" s="62"/>
      <c r="S304" s="62"/>
      <c r="T304" s="62"/>
      <c r="U304" s="62"/>
      <c r="V304" s="62"/>
      <c r="W304" s="62"/>
      <c r="X304" s="62"/>
      <c r="Y304" s="62"/>
      <c r="Z304" s="62"/>
      <c r="AA304" s="62"/>
      <c r="AB304" s="62"/>
      <c r="AC304" s="62"/>
      <c r="AD304" s="62"/>
      <c r="AE304" s="62"/>
      <c r="AF304" s="62"/>
      <c r="AG304" s="62"/>
      <c r="AH304" s="62"/>
      <c r="AI304" s="62"/>
      <c r="AJ304" s="62"/>
      <c r="AK304" s="62"/>
      <c r="AL304" s="62"/>
      <c r="AM304" s="62"/>
      <c r="AN304" s="62"/>
      <c r="AO304" s="62"/>
      <c r="AP304" s="62"/>
      <c r="AQ304" s="62"/>
      <c r="AR304" s="62"/>
      <c r="AS304" s="62"/>
      <c r="AT304" s="62"/>
      <c r="AU304" s="63"/>
      <c r="AV304" s="63"/>
      <c r="AW304" s="62"/>
      <c r="AX304" s="63"/>
      <c r="AY304" s="63"/>
      <c r="AZ304" s="63"/>
      <c r="BA304" s="63"/>
      <c r="BB304" s="63"/>
      <c r="BC304" s="63"/>
      <c r="BD304" s="63"/>
      <c r="BE304" s="63"/>
      <c r="BF304" s="63"/>
      <c r="BG304" s="62"/>
      <c r="BH304" s="62"/>
      <c r="BI304" s="63"/>
      <c r="BJ304" s="63"/>
      <c r="BK304" s="62"/>
      <c r="BL304" s="62"/>
      <c r="BM304" s="62"/>
      <c r="BN304" s="62"/>
      <c r="BO304" s="62"/>
      <c r="BP304" s="64"/>
      <c r="BQ304" s="63"/>
      <c r="BR304" s="62"/>
      <c r="BS304" s="62"/>
      <c r="BT304" s="62"/>
      <c r="BU304" s="62"/>
      <c r="BV304" s="62"/>
      <c r="BW304" s="62"/>
      <c r="BX304" s="62"/>
      <c r="BY304" s="62"/>
      <c r="BZ304" s="62"/>
      <c r="CA304" s="62"/>
      <c r="CB304" s="62"/>
      <c r="CC304" s="51"/>
      <c r="CD304" s="63"/>
      <c r="CE304" s="63"/>
      <c r="CF304" s="62"/>
      <c r="CG304" s="62"/>
      <c r="CH304" s="62"/>
      <c r="CI304" s="62"/>
      <c r="CJ304" s="62"/>
      <c r="CK304" s="159"/>
      <c r="CL304" s="63"/>
      <c r="CM304" s="62"/>
      <c r="CN304" s="62"/>
      <c r="CO304" s="62"/>
      <c r="CP304" s="62"/>
      <c r="CQ304" s="62"/>
      <c r="CR304" s="63"/>
      <c r="CS304" s="63"/>
      <c r="CT304" s="62"/>
      <c r="CU304" s="62"/>
      <c r="CV304" s="63"/>
      <c r="CW304" s="63"/>
      <c r="CX304" s="63"/>
      <c r="CY304" s="63"/>
      <c r="CZ304" s="63"/>
      <c r="DA304" s="63"/>
      <c r="DB304" s="63"/>
      <c r="DC304" s="63"/>
      <c r="DD304" s="63"/>
      <c r="DE304" s="63"/>
      <c r="DF304" s="63"/>
      <c r="DG304" s="63"/>
      <c r="DH304" s="63"/>
      <c r="DI304" s="63"/>
      <c r="DJ304" s="63"/>
      <c r="DK304" s="63"/>
      <c r="DL304" s="63"/>
      <c r="DM304" s="63"/>
      <c r="DN304" s="63"/>
      <c r="DO304" s="63"/>
      <c r="DP304" s="63"/>
      <c r="DQ304" s="158"/>
      <c r="DR304" s="158"/>
      <c r="DS304" s="158"/>
      <c r="DT304" s="158"/>
      <c r="DU304" s="158"/>
      <c r="DV304" s="158"/>
      <c r="DW304" s="158"/>
      <c r="DX304" s="158"/>
      <c r="DY304" s="158"/>
      <c r="DZ304" s="22"/>
      <c r="EA304" s="22"/>
      <c r="EB304" s="22"/>
      <c r="EC304" s="22"/>
      <c r="ED304" s="22"/>
      <c r="EE304" s="22"/>
      <c r="EF304" s="22"/>
      <c r="EG304" s="22"/>
    </row>
    <row r="305" spans="1:137" s="10" customFormat="1" ht="15.9" customHeight="1" outlineLevel="1" x14ac:dyDescent="0.3">
      <c r="A305" s="7"/>
      <c r="B305" s="7"/>
      <c r="C305" s="8" t="s">
        <v>44</v>
      </c>
      <c r="D305" s="146">
        <v>15</v>
      </c>
      <c r="E305" s="7" t="s">
        <v>563</v>
      </c>
      <c r="F305" s="7" t="s">
        <v>582</v>
      </c>
      <c r="G305" s="9" t="s">
        <v>583</v>
      </c>
      <c r="H305" s="9"/>
      <c r="I305" s="204" cm="1">
        <f t="array" ref="I305">IFERROR(LOOKUP(2,1/(N305:GR305&lt;&gt;""),N$4:DRA$4),"")</f>
        <v>45224</v>
      </c>
      <c r="J305" s="169" cm="1">
        <f t="array" ref="J305">IFERROR(_xlfn.XLOOKUP(TRUE,N305:EH305&lt;&gt;"",N305:EH305,,,-1)," ")</f>
        <v>25</v>
      </c>
      <c r="K305" s="45"/>
      <c r="L305" s="45"/>
      <c r="M305" s="7"/>
      <c r="N305" s="57"/>
      <c r="O305" s="57"/>
      <c r="P305" s="57"/>
      <c r="Q305" s="57"/>
      <c r="R305" s="57"/>
      <c r="S305" s="57"/>
      <c r="T305" s="57"/>
      <c r="U305" s="57"/>
      <c r="V305" s="57"/>
      <c r="W305" s="57"/>
      <c r="X305" s="57"/>
      <c r="Y305" s="57"/>
      <c r="Z305" s="57"/>
      <c r="AA305" s="57"/>
      <c r="AB305" s="57"/>
      <c r="AC305" s="57"/>
      <c r="AD305" s="57"/>
      <c r="AE305" s="57"/>
      <c r="AF305" s="57"/>
      <c r="AG305" s="57"/>
      <c r="AH305" s="57"/>
      <c r="AI305" s="57"/>
      <c r="AJ305" s="57"/>
      <c r="AK305" s="57"/>
      <c r="AL305" s="57"/>
      <c r="AM305" s="57"/>
      <c r="AN305" s="57"/>
      <c r="AO305" s="57"/>
      <c r="AP305" s="57"/>
      <c r="AQ305" s="57"/>
      <c r="AR305" s="57"/>
      <c r="AS305" s="57"/>
      <c r="AT305" s="57"/>
      <c r="AU305" s="61"/>
      <c r="AV305" s="61"/>
      <c r="AW305" s="57"/>
      <c r="AX305" s="61"/>
      <c r="AY305" s="61"/>
      <c r="AZ305" s="61"/>
      <c r="BA305" s="61"/>
      <c r="BB305" s="61"/>
      <c r="BC305" s="61"/>
      <c r="BD305" s="61"/>
      <c r="BE305" s="61"/>
      <c r="BF305" s="61"/>
      <c r="BG305" s="57"/>
      <c r="BH305" s="57"/>
      <c r="BI305" s="61"/>
      <c r="BJ305" s="61"/>
      <c r="BK305" s="57"/>
      <c r="BL305" s="57"/>
      <c r="BM305" s="57"/>
      <c r="BN305" s="57"/>
      <c r="BO305" s="57"/>
      <c r="BP305" s="58"/>
      <c r="BQ305" s="61"/>
      <c r="BR305" s="57"/>
      <c r="BS305" s="57"/>
      <c r="BT305" s="57"/>
      <c r="BU305" s="57"/>
      <c r="BV305" s="57"/>
      <c r="BW305" s="57"/>
      <c r="BX305" s="57"/>
      <c r="BY305" s="57"/>
      <c r="BZ305" s="396">
        <v>22.5</v>
      </c>
      <c r="CA305" s="57"/>
      <c r="CB305" s="57"/>
      <c r="CC305" s="27"/>
      <c r="CD305" s="61"/>
      <c r="CE305" s="61"/>
      <c r="CF305" s="57">
        <v>23.1</v>
      </c>
      <c r="CG305" s="57"/>
      <c r="CH305" s="57"/>
      <c r="CI305" s="57"/>
      <c r="CJ305" s="57"/>
      <c r="CK305" s="61"/>
      <c r="CL305" s="61"/>
      <c r="CM305" s="57"/>
      <c r="CN305" s="57">
        <v>23.8</v>
      </c>
      <c r="CO305" s="57"/>
      <c r="CP305" s="57"/>
      <c r="CQ305" s="61"/>
      <c r="CR305" s="61"/>
      <c r="CS305" s="61"/>
      <c r="CT305" s="61">
        <v>22.7</v>
      </c>
      <c r="CU305" s="61"/>
      <c r="CV305" s="61"/>
      <c r="CW305" s="61"/>
      <c r="CX305" s="61"/>
      <c r="CY305" s="61">
        <v>25</v>
      </c>
      <c r="CZ305" s="61"/>
      <c r="DA305" s="61"/>
      <c r="DB305" s="61"/>
      <c r="DC305" s="61"/>
      <c r="DD305" s="61"/>
      <c r="DE305" s="61"/>
      <c r="DF305" s="61"/>
      <c r="DG305" s="61"/>
      <c r="DH305" s="61"/>
      <c r="DI305" s="61"/>
      <c r="DJ305" s="61"/>
      <c r="DK305" s="61"/>
      <c r="DL305" s="61"/>
      <c r="DM305" s="61"/>
      <c r="DN305" s="61"/>
      <c r="DO305" s="61"/>
      <c r="DP305" s="61"/>
      <c r="DQ305" s="156"/>
      <c r="DR305" s="156"/>
      <c r="DS305" s="156"/>
      <c r="DT305" s="156"/>
      <c r="DU305" s="156"/>
      <c r="DV305" s="156"/>
      <c r="DW305" s="156"/>
      <c r="DX305" s="156"/>
      <c r="DY305" s="156"/>
      <c r="DZ305" s="22"/>
      <c r="EA305" s="22"/>
      <c r="EB305" s="22"/>
      <c r="EC305" s="22"/>
      <c r="ED305" s="22"/>
      <c r="EE305" s="22"/>
      <c r="EF305" s="22"/>
      <c r="EG305" s="22"/>
    </row>
    <row r="306" spans="1:137" s="97" customFormat="1" ht="15.9" customHeight="1" x14ac:dyDescent="0.3">
      <c r="A306" s="83"/>
      <c r="B306" s="83"/>
      <c r="C306" s="91"/>
      <c r="D306" s="82"/>
      <c r="E306" s="83" t="s">
        <v>584</v>
      </c>
      <c r="F306" s="83"/>
      <c r="G306" s="84" t="s">
        <v>585</v>
      </c>
      <c r="H306" s="84"/>
      <c r="I306" s="203"/>
      <c r="J306" s="167"/>
      <c r="K306" s="220"/>
      <c r="L306" s="92"/>
      <c r="M306" s="139" t="s">
        <v>21</v>
      </c>
      <c r="N306" s="94"/>
      <c r="O306" s="94"/>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94"/>
      <c r="AU306" s="101"/>
      <c r="AV306" s="101"/>
      <c r="AW306" s="94"/>
      <c r="AX306" s="101"/>
      <c r="AY306" s="101"/>
      <c r="AZ306" s="101"/>
      <c r="BA306" s="101"/>
      <c r="BB306" s="101"/>
      <c r="BC306" s="101"/>
      <c r="BD306" s="101"/>
      <c r="BE306" s="101"/>
      <c r="BF306" s="101"/>
      <c r="BG306" s="94"/>
      <c r="BH306" s="94"/>
      <c r="BI306" s="101"/>
      <c r="BJ306" s="101"/>
      <c r="BK306" s="94"/>
      <c r="BL306" s="94"/>
      <c r="BM306" s="94"/>
      <c r="BN306" s="101"/>
      <c r="BO306" s="94"/>
      <c r="BP306" s="95"/>
      <c r="BQ306" s="101"/>
      <c r="BR306" s="94"/>
      <c r="BS306" s="94"/>
      <c r="BT306" s="94"/>
      <c r="BU306" s="94"/>
      <c r="BV306" s="94"/>
      <c r="BW306" s="94"/>
      <c r="BX306" s="94"/>
      <c r="BY306" s="94"/>
      <c r="BZ306" s="94"/>
      <c r="CA306" s="94"/>
      <c r="CB306" s="94"/>
      <c r="CC306" s="93"/>
      <c r="CD306" s="101"/>
      <c r="CE306" s="101"/>
      <c r="CF306" s="94"/>
      <c r="CG306" s="94"/>
      <c r="CH306" s="101"/>
      <c r="CI306" s="94"/>
      <c r="CJ306" s="94"/>
      <c r="CK306" s="101"/>
      <c r="CL306" s="101"/>
      <c r="CM306" s="94"/>
      <c r="CN306" s="101"/>
      <c r="CO306" s="101"/>
      <c r="CP306" s="101"/>
      <c r="CQ306" s="101"/>
      <c r="CR306" s="101"/>
      <c r="CS306" s="101"/>
      <c r="CT306" s="101"/>
      <c r="CU306" s="101"/>
      <c r="CV306" s="101"/>
      <c r="CW306" s="101"/>
      <c r="CX306" s="101"/>
      <c r="CY306" s="101"/>
      <c r="CZ306" s="101"/>
      <c r="DA306" s="101"/>
      <c r="DB306" s="101"/>
      <c r="DC306" s="101"/>
      <c r="DD306" s="101"/>
      <c r="DE306" s="101"/>
      <c r="DF306" s="101"/>
      <c r="DG306" s="101"/>
      <c r="DH306" s="101"/>
      <c r="DI306" s="101"/>
      <c r="DJ306" s="101"/>
      <c r="DK306" s="101"/>
      <c r="DL306" s="101"/>
      <c r="DM306" s="101"/>
      <c r="DN306" s="101"/>
      <c r="DO306" s="101"/>
      <c r="DP306" s="101"/>
      <c r="DQ306" s="161"/>
      <c r="DR306" s="161"/>
      <c r="DS306" s="161"/>
      <c r="DT306" s="161"/>
      <c r="DU306" s="161"/>
      <c r="DV306" s="161"/>
      <c r="DW306" s="161"/>
      <c r="DX306" s="161"/>
      <c r="DY306" s="161"/>
      <c r="DZ306" s="59"/>
      <c r="EA306" s="59"/>
      <c r="EB306" s="59"/>
      <c r="EC306" s="59"/>
      <c r="ED306" s="59"/>
      <c r="EE306" s="59"/>
      <c r="EF306" s="59"/>
      <c r="EG306" s="59"/>
    </row>
    <row r="307" spans="1:137" s="5" customFormat="1" ht="15.9" customHeight="1" outlineLevel="1" x14ac:dyDescent="0.3">
      <c r="A307" s="6" t="s">
        <v>23</v>
      </c>
      <c r="B307" s="6" t="s">
        <v>23</v>
      </c>
      <c r="C307" s="50" t="s">
        <v>24</v>
      </c>
      <c r="D307" s="147">
        <v>10.029999999999999</v>
      </c>
      <c r="E307" s="6" t="s">
        <v>584</v>
      </c>
      <c r="F307" s="6" t="s">
        <v>586</v>
      </c>
      <c r="G307" s="11" t="s">
        <v>587</v>
      </c>
      <c r="H307" s="11"/>
      <c r="I307" s="205" cm="1">
        <f t="array" ref="I307">IFERROR(LOOKUP(2,1/(N307:GR307&lt;&gt;""),N$4:DRA$4),"")</f>
        <v>45159</v>
      </c>
      <c r="J307" s="170" cm="1">
        <f t="array" ref="J307">IFERROR(_xlfn.XLOOKUP(TRUE,N307:EH307&lt;&gt;"",N307:EH307,,,-1)," ")</f>
        <v>18.2</v>
      </c>
      <c r="K307" s="48">
        <v>17.5</v>
      </c>
      <c r="L307" s="48">
        <v>18.5</v>
      </c>
      <c r="M307" s="6" t="s">
        <v>28</v>
      </c>
      <c r="N307" s="62"/>
      <c r="O307" s="62"/>
      <c r="P307" s="62"/>
      <c r="Q307" s="62"/>
      <c r="R307" s="62"/>
      <c r="S307" s="62"/>
      <c r="T307" s="62"/>
      <c r="U307" s="62"/>
      <c r="V307" s="62"/>
      <c r="W307" s="62"/>
      <c r="X307" s="62"/>
      <c r="Y307" s="64"/>
      <c r="Z307" s="62"/>
      <c r="AA307" s="62">
        <v>15.9</v>
      </c>
      <c r="AB307" s="64"/>
      <c r="AC307" s="64"/>
      <c r="AD307" s="62"/>
      <c r="AE307" s="62"/>
      <c r="AF307" s="64">
        <v>17.2</v>
      </c>
      <c r="AG307" s="62"/>
      <c r="AH307" s="62">
        <v>17.600000000000001</v>
      </c>
      <c r="AI307" s="110"/>
      <c r="AJ307" s="64"/>
      <c r="AK307" s="113"/>
      <c r="AL307" s="64">
        <v>18.2</v>
      </c>
      <c r="AM307" s="62"/>
      <c r="AN307" s="62"/>
      <c r="AO307" s="62"/>
      <c r="AP307" s="62"/>
      <c r="AQ307" s="62"/>
      <c r="AR307" s="62"/>
      <c r="AS307" s="62"/>
      <c r="AT307" s="64"/>
      <c r="AU307" s="63"/>
      <c r="AV307" s="63"/>
      <c r="AW307" s="62"/>
      <c r="AX307" s="63"/>
      <c r="AY307" s="63"/>
      <c r="AZ307" s="63"/>
      <c r="BA307" s="63"/>
      <c r="BB307" s="63"/>
      <c r="BC307" s="63"/>
      <c r="BD307" s="63"/>
      <c r="BE307" s="63"/>
      <c r="BF307" s="63"/>
      <c r="BG307" s="63"/>
      <c r="BH307" s="62"/>
      <c r="BI307" s="63"/>
      <c r="BJ307" s="63"/>
      <c r="BK307" s="62"/>
      <c r="BL307" s="63"/>
      <c r="BM307" s="62"/>
      <c r="BN307" s="63"/>
      <c r="BO307" s="62"/>
      <c r="BP307" s="64"/>
      <c r="BQ307" s="63"/>
      <c r="BR307" s="63"/>
      <c r="BS307" s="62"/>
      <c r="BT307" s="63"/>
      <c r="BU307" s="63"/>
      <c r="BV307" s="63"/>
      <c r="BW307" s="63"/>
      <c r="BX307" s="63"/>
      <c r="BY307" s="63"/>
      <c r="BZ307" s="63"/>
      <c r="CA307" s="63"/>
      <c r="CB307" s="62"/>
      <c r="CC307" s="63"/>
      <c r="CD307" s="63"/>
      <c r="CE307" s="63"/>
      <c r="CF307" s="62"/>
      <c r="CG307" s="63"/>
      <c r="CH307" s="63"/>
      <c r="CI307" s="63"/>
      <c r="CJ307" s="62"/>
      <c r="CK307" s="63"/>
      <c r="CL307" s="63"/>
      <c r="CM307" s="63"/>
      <c r="CN307" s="63"/>
      <c r="CO307" s="63"/>
      <c r="CP307" s="63"/>
      <c r="CQ307" s="63"/>
      <c r="CR307" s="63"/>
      <c r="CS307" s="63"/>
      <c r="CT307" s="63"/>
      <c r="CU307" s="63"/>
      <c r="CV307" s="63"/>
      <c r="CW307" s="63"/>
      <c r="CX307" s="63"/>
      <c r="CY307" s="63"/>
      <c r="CZ307" s="63"/>
      <c r="DA307" s="63"/>
      <c r="DB307" s="63"/>
      <c r="DC307" s="63"/>
      <c r="DD307" s="63"/>
      <c r="DE307" s="63"/>
      <c r="DF307" s="63"/>
      <c r="DG307" s="63"/>
      <c r="DH307" s="63"/>
      <c r="DI307" s="63"/>
      <c r="DJ307" s="63"/>
      <c r="DK307" s="63"/>
      <c r="DL307" s="63"/>
      <c r="DM307" s="63"/>
      <c r="DN307" s="63"/>
      <c r="DO307" s="63"/>
      <c r="DP307" s="63"/>
      <c r="DQ307" s="158"/>
      <c r="DR307" s="158"/>
      <c r="DS307" s="158"/>
      <c r="DT307" s="158"/>
      <c r="DU307" s="158"/>
      <c r="DV307" s="158"/>
      <c r="DW307" s="158"/>
      <c r="DX307" s="158"/>
      <c r="DY307" s="158"/>
      <c r="DZ307" s="65"/>
      <c r="EA307" s="65"/>
      <c r="EB307" s="65"/>
      <c r="EC307" s="65"/>
      <c r="ED307" s="65"/>
      <c r="EE307" s="65"/>
      <c r="EF307" s="65"/>
      <c r="EG307" s="65"/>
    </row>
    <row r="308" spans="1:137" s="10" customFormat="1" ht="15.9" customHeight="1" outlineLevel="1" x14ac:dyDescent="0.3">
      <c r="A308" s="7" t="s">
        <v>22</v>
      </c>
      <c r="B308" s="7" t="s">
        <v>23</v>
      </c>
      <c r="C308" s="8" t="s">
        <v>24</v>
      </c>
      <c r="D308" s="146"/>
      <c r="E308" s="7" t="s">
        <v>584</v>
      </c>
      <c r="F308" s="7" t="s">
        <v>588</v>
      </c>
      <c r="G308" s="9" t="s">
        <v>589</v>
      </c>
      <c r="H308" s="9"/>
      <c r="I308" s="204" cm="1">
        <f t="array" ref="I308">IFERROR(LOOKUP(2,1/(N308:GR308&lt;&gt;""),N$4:DRA$4),"")</f>
        <v>45204</v>
      </c>
      <c r="J308" s="169" cm="1">
        <f t="array" ref="J308">IFERROR(_xlfn.XLOOKUP(TRUE,N308:EH308&lt;&gt;"",N308:EH308,,,-1)," ")</f>
        <v>23</v>
      </c>
      <c r="K308" s="45">
        <v>21.5</v>
      </c>
      <c r="L308" s="45">
        <v>22</v>
      </c>
      <c r="M308" s="7" t="s">
        <v>28</v>
      </c>
      <c r="N308" s="57"/>
      <c r="O308" s="57"/>
      <c r="P308" s="57"/>
      <c r="Q308" s="57"/>
      <c r="R308" s="57"/>
      <c r="S308" s="57"/>
      <c r="T308" s="57"/>
      <c r="U308" s="57"/>
      <c r="V308" s="57"/>
      <c r="W308" s="57"/>
      <c r="X308" s="57"/>
      <c r="Y308" s="57"/>
      <c r="Z308" s="57"/>
      <c r="AA308" s="57">
        <v>16</v>
      </c>
      <c r="AB308" s="57"/>
      <c r="AC308" s="57"/>
      <c r="AD308" s="57"/>
      <c r="AE308" s="57"/>
      <c r="AF308" s="57"/>
      <c r="AG308" s="57">
        <v>16.399999999999999</v>
      </c>
      <c r="AH308" s="57"/>
      <c r="AI308" s="57"/>
      <c r="AJ308" s="57"/>
      <c r="AK308" s="57"/>
      <c r="AL308" s="57"/>
      <c r="AM308" s="57">
        <v>17.2</v>
      </c>
      <c r="AN308" s="57"/>
      <c r="AO308" s="57"/>
      <c r="AP308" s="57"/>
      <c r="AQ308" s="57"/>
      <c r="AR308" s="57"/>
      <c r="AS308" s="57"/>
      <c r="AT308" s="57">
        <v>18.899999999999999</v>
      </c>
      <c r="AU308" s="61"/>
      <c r="AV308" s="61"/>
      <c r="AW308" s="57"/>
      <c r="AX308" s="61"/>
      <c r="AY308" s="61"/>
      <c r="AZ308" s="61"/>
      <c r="BA308" s="61">
        <v>20.3</v>
      </c>
      <c r="BB308" s="61"/>
      <c r="BC308" s="61"/>
      <c r="BD308" s="160">
        <v>19.899999999999999</v>
      </c>
      <c r="BE308" s="61"/>
      <c r="BF308" s="61"/>
      <c r="BG308" s="57"/>
      <c r="BH308" s="57"/>
      <c r="BI308" s="160">
        <v>22.4</v>
      </c>
      <c r="BJ308" s="61"/>
      <c r="BK308" s="57"/>
      <c r="BL308" s="57"/>
      <c r="BM308" s="57"/>
      <c r="BN308" s="61"/>
      <c r="BO308" s="57"/>
      <c r="BP308" s="58"/>
      <c r="BQ308" s="61"/>
      <c r="BR308" s="57"/>
      <c r="BS308" s="57"/>
      <c r="BT308" s="57"/>
      <c r="BU308" s="57"/>
      <c r="BV308" s="57"/>
      <c r="BW308" s="57"/>
      <c r="BX308" s="57"/>
      <c r="BY308" s="57"/>
      <c r="BZ308" s="57"/>
      <c r="CA308" s="57"/>
      <c r="CB308" s="57"/>
      <c r="CC308" s="27"/>
      <c r="CD308" s="61"/>
      <c r="CE308" s="61">
        <v>23</v>
      </c>
      <c r="CF308" s="57"/>
      <c r="CG308" s="61"/>
      <c r="CH308" s="61"/>
      <c r="CI308" s="61"/>
      <c r="CJ308" s="57"/>
      <c r="CK308" s="61"/>
      <c r="CL308" s="61"/>
      <c r="CM308" s="61"/>
      <c r="CN308" s="61"/>
      <c r="CO308" s="61"/>
      <c r="CP308" s="61"/>
      <c r="CQ308" s="61"/>
      <c r="CR308" s="61"/>
      <c r="CS308" s="61"/>
      <c r="CT308" s="61"/>
      <c r="CU308" s="61"/>
      <c r="CV308" s="61"/>
      <c r="CW308" s="61"/>
      <c r="CX308" s="61"/>
      <c r="CY308" s="61"/>
      <c r="CZ308" s="61"/>
      <c r="DA308" s="61"/>
      <c r="DB308" s="61"/>
      <c r="DC308" s="61"/>
      <c r="DD308" s="61"/>
      <c r="DE308" s="61"/>
      <c r="DF308" s="61"/>
      <c r="DG308" s="61"/>
      <c r="DH308" s="61"/>
      <c r="DI308" s="61"/>
      <c r="DJ308" s="61"/>
      <c r="DK308" s="61"/>
      <c r="DL308" s="61"/>
      <c r="DM308" s="61"/>
      <c r="DN308" s="61"/>
      <c r="DO308" s="61"/>
      <c r="DP308" s="61"/>
      <c r="DQ308" s="156"/>
      <c r="DR308" s="156"/>
      <c r="DS308" s="156"/>
      <c r="DT308" s="156"/>
      <c r="DU308" s="156"/>
      <c r="DV308" s="156"/>
      <c r="DW308" s="156"/>
      <c r="DX308" s="156"/>
      <c r="DY308" s="156"/>
      <c r="DZ308" s="59"/>
      <c r="EA308" s="59"/>
      <c r="EB308" s="59"/>
      <c r="EC308" s="59"/>
      <c r="ED308" s="59"/>
      <c r="EE308" s="59"/>
      <c r="EF308" s="59"/>
      <c r="EG308" s="59"/>
    </row>
    <row r="309" spans="1:137" s="10" customFormat="1" ht="15.9" customHeight="1" outlineLevel="1" x14ac:dyDescent="0.3">
      <c r="A309" s="7" t="s">
        <v>22</v>
      </c>
      <c r="B309" s="7" t="s">
        <v>23</v>
      </c>
      <c r="C309" s="8" t="s">
        <v>24</v>
      </c>
      <c r="D309" s="146"/>
      <c r="E309" s="7" t="s">
        <v>584</v>
      </c>
      <c r="F309" s="7" t="s">
        <v>588</v>
      </c>
      <c r="G309" s="9" t="s">
        <v>590</v>
      </c>
      <c r="H309" s="9"/>
      <c r="I309" s="204" cm="1">
        <f t="array" ref="I309">IFERROR(LOOKUP(2,1/(N309:GR309&lt;&gt;""),N$4:DRA$4),"")</f>
        <v>45177</v>
      </c>
      <c r="J309" s="266" cm="1">
        <f t="array" ref="J309">IFERROR(_xlfn.XLOOKUP(TRUE,N309:EH309&lt;&gt;"",N309:EH309,,,-1)," ")</f>
        <v>19.8</v>
      </c>
      <c r="K309" s="45">
        <v>21.5</v>
      </c>
      <c r="L309" s="45">
        <v>22</v>
      </c>
      <c r="M309" s="7" t="s">
        <v>28</v>
      </c>
      <c r="N309" s="57"/>
      <c r="O309" s="57"/>
      <c r="P309" s="57"/>
      <c r="Q309" s="57"/>
      <c r="R309" s="57"/>
      <c r="S309" s="57"/>
      <c r="T309" s="57"/>
      <c r="U309" s="57"/>
      <c r="V309" s="57"/>
      <c r="W309" s="57"/>
      <c r="X309" s="57"/>
      <c r="Y309" s="58"/>
      <c r="Z309" s="57"/>
      <c r="AA309" s="57">
        <v>16.399999999999999</v>
      </c>
      <c r="AB309" s="57"/>
      <c r="AC309" s="57"/>
      <c r="AD309" s="57"/>
      <c r="AE309" s="57"/>
      <c r="AF309" s="57"/>
      <c r="AG309" s="57">
        <v>17</v>
      </c>
      <c r="AH309" s="57"/>
      <c r="AI309" s="57"/>
      <c r="AJ309" s="57"/>
      <c r="AK309" s="57"/>
      <c r="AL309" s="57"/>
      <c r="AM309" s="57">
        <v>18.3</v>
      </c>
      <c r="AN309" s="57"/>
      <c r="AO309" s="57"/>
      <c r="AP309" s="57"/>
      <c r="AQ309" s="57"/>
      <c r="AR309" s="57"/>
      <c r="AS309" s="57"/>
      <c r="AT309" s="57">
        <v>18.399999999999999</v>
      </c>
      <c r="AU309" s="61"/>
      <c r="AV309" s="61"/>
      <c r="AW309" s="57"/>
      <c r="AX309" s="61"/>
      <c r="AY309" s="61"/>
      <c r="AZ309" s="61"/>
      <c r="BA309" s="61">
        <v>19.2</v>
      </c>
      <c r="BB309" s="61"/>
      <c r="BC309" s="61"/>
      <c r="BD309" s="160">
        <v>19.8</v>
      </c>
      <c r="BE309" s="61"/>
      <c r="BF309" s="61"/>
      <c r="BG309" s="57"/>
      <c r="BH309" s="57"/>
      <c r="BI309" s="61"/>
      <c r="BJ309" s="61"/>
      <c r="BK309" s="57"/>
      <c r="BL309" s="57"/>
      <c r="BM309" s="57"/>
      <c r="BN309" s="61"/>
      <c r="BO309" s="57"/>
      <c r="BP309" s="58"/>
      <c r="BQ309" s="61"/>
      <c r="BR309" s="57"/>
      <c r="BS309" s="57"/>
      <c r="BT309" s="57"/>
      <c r="BU309" s="57"/>
      <c r="BV309" s="57"/>
      <c r="BW309" s="57"/>
      <c r="BX309" s="57"/>
      <c r="BY309" s="57"/>
      <c r="BZ309" s="57"/>
      <c r="CA309" s="57"/>
      <c r="CB309" s="57"/>
      <c r="CC309" s="27"/>
      <c r="CD309" s="61"/>
      <c r="CE309" s="61"/>
      <c r="CF309" s="57"/>
      <c r="CG309" s="61"/>
      <c r="CH309" s="61"/>
      <c r="CI309" s="61"/>
      <c r="CJ309" s="57"/>
      <c r="CK309" s="61"/>
      <c r="CL309" s="61"/>
      <c r="CM309" s="61"/>
      <c r="CN309" s="61"/>
      <c r="CO309" s="61"/>
      <c r="CP309" s="61"/>
      <c r="CQ309" s="61"/>
      <c r="CR309" s="61"/>
      <c r="CS309" s="61"/>
      <c r="CT309" s="61"/>
      <c r="CU309" s="61"/>
      <c r="CV309" s="61"/>
      <c r="CW309" s="61"/>
      <c r="CX309" s="61"/>
      <c r="CY309" s="61"/>
      <c r="CZ309" s="61"/>
      <c r="DA309" s="61"/>
      <c r="DB309" s="61"/>
      <c r="DC309" s="61"/>
      <c r="DD309" s="61"/>
      <c r="DE309" s="61"/>
      <c r="DF309" s="61"/>
      <c r="DG309" s="61"/>
      <c r="DH309" s="61"/>
      <c r="DI309" s="61"/>
      <c r="DJ309" s="61"/>
      <c r="DK309" s="61"/>
      <c r="DL309" s="61"/>
      <c r="DM309" s="61"/>
      <c r="DN309" s="61"/>
      <c r="DO309" s="61"/>
      <c r="DP309" s="61"/>
      <c r="DQ309" s="156"/>
      <c r="DR309" s="156"/>
      <c r="DS309" s="156"/>
      <c r="DT309" s="156"/>
      <c r="DU309" s="156"/>
      <c r="DV309" s="156"/>
      <c r="DW309" s="156"/>
      <c r="DX309" s="156"/>
      <c r="DY309" s="156"/>
      <c r="DZ309" s="59"/>
      <c r="EA309" s="59"/>
      <c r="EB309" s="59"/>
      <c r="EC309" s="59"/>
      <c r="ED309" s="59"/>
      <c r="EE309" s="59"/>
      <c r="EF309" s="59"/>
      <c r="EG309" s="59"/>
    </row>
    <row r="310" spans="1:137" s="10" customFormat="1" ht="15.9" customHeight="1" outlineLevel="1" x14ac:dyDescent="0.3">
      <c r="A310" s="7" t="s">
        <v>23</v>
      </c>
      <c r="B310" s="7" t="s">
        <v>23</v>
      </c>
      <c r="C310" s="8" t="s">
        <v>24</v>
      </c>
      <c r="D310" s="146">
        <v>16.87</v>
      </c>
      <c r="E310" s="7" t="s">
        <v>584</v>
      </c>
      <c r="F310" s="7" t="s">
        <v>588</v>
      </c>
      <c r="G310" s="9" t="s">
        <v>591</v>
      </c>
      <c r="H310" s="9"/>
      <c r="I310" s="204" t="str" cm="1">
        <f t="array" ref="I310">IFERROR(LOOKUP(2,1/(N310:GR310&lt;&gt;""),N$4:DRA$4),"")</f>
        <v/>
      </c>
      <c r="J310" s="169" t="str" cm="1">
        <f t="array" ref="J310">IFERROR(_xlfn.XLOOKUP(TRUE,N310:EH310&lt;&gt;"",N310:EH310,,,-1)," ")</f>
        <v xml:space="preserve"> </v>
      </c>
      <c r="K310" s="48" t="s">
        <v>592</v>
      </c>
      <c r="L310" s="48">
        <v>22</v>
      </c>
      <c r="M310" s="7" t="s">
        <v>28</v>
      </c>
      <c r="N310" s="57"/>
      <c r="O310" s="57"/>
      <c r="P310" s="57"/>
      <c r="Q310" s="57"/>
      <c r="R310" s="57"/>
      <c r="S310" s="57"/>
      <c r="T310" s="57"/>
      <c r="U310" s="57"/>
      <c r="V310" s="57"/>
      <c r="W310" s="57"/>
      <c r="X310" s="57"/>
      <c r="Y310" s="57"/>
      <c r="Z310" s="57"/>
      <c r="AA310" s="57"/>
      <c r="AB310" s="58"/>
      <c r="AC310" s="57"/>
      <c r="AD310" s="57"/>
      <c r="AE310" s="57"/>
      <c r="AF310" s="57"/>
      <c r="AG310" s="57"/>
      <c r="AH310" s="57"/>
      <c r="AI310" s="58"/>
      <c r="AJ310" s="58"/>
      <c r="AK310" s="57"/>
      <c r="AL310" s="57"/>
      <c r="AM310" s="57"/>
      <c r="AN310" s="57"/>
      <c r="AO310" s="57"/>
      <c r="AP310" s="57"/>
      <c r="AQ310" s="57"/>
      <c r="AR310" s="57"/>
      <c r="AS310" s="57"/>
      <c r="AT310" s="58"/>
      <c r="AU310" s="61"/>
      <c r="AV310" s="61"/>
      <c r="AW310" s="58"/>
      <c r="AX310" s="61"/>
      <c r="AY310" s="61"/>
      <c r="AZ310" s="61"/>
      <c r="BA310" s="160"/>
      <c r="BB310" s="61"/>
      <c r="BC310" s="61"/>
      <c r="BD310" s="61"/>
      <c r="BE310" s="61"/>
      <c r="BF310" s="61"/>
      <c r="BG310" s="57"/>
      <c r="BH310" s="57"/>
      <c r="BI310" s="61"/>
      <c r="BJ310" s="61"/>
      <c r="BK310" s="57"/>
      <c r="BL310" s="57"/>
      <c r="BM310" s="57"/>
      <c r="BN310" s="61"/>
      <c r="BO310" s="57"/>
      <c r="BP310" s="58"/>
      <c r="BQ310" s="61"/>
      <c r="BR310" s="57"/>
      <c r="BS310" s="57"/>
      <c r="BT310" s="57"/>
      <c r="BU310" s="57"/>
      <c r="BV310" s="57"/>
      <c r="BW310" s="57"/>
      <c r="BX310" s="57"/>
      <c r="BY310" s="57"/>
      <c r="BZ310" s="57"/>
      <c r="CA310" s="57"/>
      <c r="CB310" s="57"/>
      <c r="CC310" s="27"/>
      <c r="CD310" s="61"/>
      <c r="CE310" s="61"/>
      <c r="CF310" s="57"/>
      <c r="CG310" s="61"/>
      <c r="CH310" s="61"/>
      <c r="CI310" s="61"/>
      <c r="CJ310" s="57"/>
      <c r="CK310" s="61"/>
      <c r="CL310" s="61"/>
      <c r="CM310" s="61"/>
      <c r="CN310" s="61"/>
      <c r="CO310" s="61"/>
      <c r="CP310" s="61"/>
      <c r="CQ310" s="61"/>
      <c r="CR310" s="61"/>
      <c r="CS310" s="61"/>
      <c r="CT310" s="61"/>
      <c r="CU310" s="61"/>
      <c r="CV310" s="61"/>
      <c r="CW310" s="61"/>
      <c r="CX310" s="61"/>
      <c r="CY310" s="61"/>
      <c r="CZ310" s="61"/>
      <c r="DA310" s="61"/>
      <c r="DB310" s="61"/>
      <c r="DC310" s="61"/>
      <c r="DD310" s="61"/>
      <c r="DE310" s="61"/>
      <c r="DF310" s="61"/>
      <c r="DG310" s="61"/>
      <c r="DH310" s="61"/>
      <c r="DI310" s="61"/>
      <c r="DJ310" s="61"/>
      <c r="DK310" s="61"/>
      <c r="DL310" s="61"/>
      <c r="DM310" s="61"/>
      <c r="DN310" s="61"/>
      <c r="DO310" s="61"/>
      <c r="DP310" s="61"/>
      <c r="DQ310" s="156"/>
      <c r="DR310" s="156"/>
      <c r="DS310" s="156"/>
      <c r="DT310" s="156"/>
      <c r="DU310" s="156"/>
      <c r="DV310" s="156"/>
      <c r="DW310" s="156"/>
      <c r="DX310" s="156"/>
      <c r="DY310" s="156"/>
      <c r="DZ310" s="22"/>
      <c r="EA310" s="22"/>
      <c r="EB310" s="22"/>
      <c r="EC310" s="22"/>
      <c r="ED310" s="22"/>
      <c r="EE310" s="22"/>
      <c r="EF310" s="22"/>
      <c r="EG310" s="22"/>
    </row>
    <row r="311" spans="1:137" s="97" customFormat="1" ht="15.9" customHeight="1" x14ac:dyDescent="0.3">
      <c r="A311" s="83"/>
      <c r="B311" s="83"/>
      <c r="C311" s="91"/>
      <c r="D311" s="82"/>
      <c r="E311" s="83" t="s">
        <v>593</v>
      </c>
      <c r="F311" s="83"/>
      <c r="G311" s="84" t="s">
        <v>594</v>
      </c>
      <c r="H311" s="84"/>
      <c r="I311" s="203"/>
      <c r="J311" s="167"/>
      <c r="K311" s="220"/>
      <c r="L311" s="92"/>
      <c r="M311" s="139" t="s">
        <v>21</v>
      </c>
      <c r="N311" s="94"/>
      <c r="O311" s="94"/>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94"/>
      <c r="AU311" s="101"/>
      <c r="AV311" s="101"/>
      <c r="AW311" s="94"/>
      <c r="AX311" s="101"/>
      <c r="AY311" s="101"/>
      <c r="AZ311" s="101"/>
      <c r="BA311" s="94"/>
      <c r="BB311" s="101"/>
      <c r="BC311" s="101"/>
      <c r="BD311" s="101"/>
      <c r="BE311" s="101"/>
      <c r="BF311" s="101"/>
      <c r="BG311" s="94"/>
      <c r="BH311" s="94"/>
      <c r="BI311" s="101"/>
      <c r="BJ311" s="101"/>
      <c r="BK311" s="94"/>
      <c r="BL311" s="94"/>
      <c r="BM311" s="94"/>
      <c r="BN311" s="101"/>
      <c r="BO311" s="94"/>
      <c r="BP311" s="95"/>
      <c r="BQ311" s="101"/>
      <c r="BR311" s="94"/>
      <c r="BS311" s="94"/>
      <c r="BT311" s="94"/>
      <c r="BU311" s="94"/>
      <c r="BV311" s="94"/>
      <c r="BW311" s="94"/>
      <c r="BX311" s="94"/>
      <c r="BY311" s="94"/>
      <c r="BZ311" s="94"/>
      <c r="CA311" s="94"/>
      <c r="CB311" s="94"/>
      <c r="CC311" s="93"/>
      <c r="CD311" s="101"/>
      <c r="CE311" s="101"/>
      <c r="CF311" s="94"/>
      <c r="CG311" s="94"/>
      <c r="CH311" s="101"/>
      <c r="CI311" s="94"/>
      <c r="CJ311" s="94"/>
      <c r="CK311" s="101"/>
      <c r="CL311" s="101"/>
      <c r="CM311" s="94"/>
      <c r="CN311" s="101"/>
      <c r="CO311" s="101"/>
      <c r="CP311" s="101"/>
      <c r="CQ311" s="101"/>
      <c r="CR311" s="101"/>
      <c r="CS311" s="101"/>
      <c r="CT311" s="101"/>
      <c r="CU311" s="101"/>
      <c r="CV311" s="101"/>
      <c r="CW311" s="101"/>
      <c r="CX311" s="101"/>
      <c r="CY311" s="101"/>
      <c r="CZ311" s="101"/>
      <c r="DA311" s="101"/>
      <c r="DB311" s="101"/>
      <c r="DC311" s="101"/>
      <c r="DD311" s="101"/>
      <c r="DE311" s="101"/>
      <c r="DF311" s="101"/>
      <c r="DG311" s="101"/>
      <c r="DH311" s="101"/>
      <c r="DI311" s="101"/>
      <c r="DJ311" s="101"/>
      <c r="DK311" s="101"/>
      <c r="DL311" s="101"/>
      <c r="DM311" s="101"/>
      <c r="DN311" s="101"/>
      <c r="DO311" s="101"/>
      <c r="DP311" s="101"/>
      <c r="DQ311" s="161"/>
      <c r="DR311" s="161"/>
      <c r="DS311" s="161"/>
      <c r="DT311" s="161"/>
      <c r="DU311" s="161"/>
      <c r="DV311" s="161"/>
      <c r="DW311" s="161"/>
      <c r="DX311" s="161"/>
      <c r="DY311" s="161"/>
      <c r="DZ311" s="59"/>
      <c r="EA311" s="59"/>
      <c r="EB311" s="59"/>
      <c r="EC311" s="59"/>
      <c r="ED311" s="59"/>
      <c r="EE311" s="59"/>
      <c r="EF311" s="59"/>
      <c r="EG311" s="59"/>
    </row>
    <row r="312" spans="1:137" s="10" customFormat="1" ht="15.9" customHeight="1" outlineLevel="1" x14ac:dyDescent="0.3">
      <c r="A312" s="7" t="s">
        <v>22</v>
      </c>
      <c r="B312" s="7"/>
      <c r="C312" s="8" t="s">
        <v>44</v>
      </c>
      <c r="D312" s="146">
        <v>50.74</v>
      </c>
      <c r="E312" s="7" t="s">
        <v>593</v>
      </c>
      <c r="F312" s="7" t="s">
        <v>595</v>
      </c>
      <c r="G312" s="9" t="s">
        <v>596</v>
      </c>
      <c r="H312" s="9"/>
      <c r="I312" s="204" cm="1">
        <f t="array" ref="I312">IFERROR(LOOKUP(2,1/(N312:GR312&lt;&gt;""),N$4:DRA$4),"")</f>
        <v>45182</v>
      </c>
      <c r="J312" s="169" t="str" cm="1">
        <f t="array" ref="J312">IFERROR(_xlfn.XLOOKUP(TRUE,N312:EH312&lt;&gt;"",N312:EH312,,,-1)," ")</f>
        <v>19.6*</v>
      </c>
      <c r="K312" s="45">
        <v>20</v>
      </c>
      <c r="L312" s="45"/>
      <c r="M312" s="7" t="s">
        <v>597</v>
      </c>
      <c r="N312" s="57"/>
      <c r="O312" s="115"/>
      <c r="P312" s="57"/>
      <c r="Q312" s="57"/>
      <c r="R312" s="57"/>
      <c r="S312" s="57"/>
      <c r="T312" s="57"/>
      <c r="U312" s="57"/>
      <c r="V312" s="57"/>
      <c r="W312" s="57"/>
      <c r="X312" s="57"/>
      <c r="Y312" s="70"/>
      <c r="Z312" s="171">
        <v>14</v>
      </c>
      <c r="AA312" s="57"/>
      <c r="AB312" s="57"/>
      <c r="AC312" s="57"/>
      <c r="AD312" s="57"/>
      <c r="AE312" s="70"/>
      <c r="AF312" s="57"/>
      <c r="AG312" s="171">
        <v>14</v>
      </c>
      <c r="AH312" s="57"/>
      <c r="AI312" s="57"/>
      <c r="AJ312" s="57"/>
      <c r="AK312" s="74"/>
      <c r="AL312" s="57"/>
      <c r="AM312" s="57"/>
      <c r="AN312" s="57"/>
      <c r="AO312" s="171">
        <v>15.8</v>
      </c>
      <c r="AP312" s="57"/>
      <c r="AQ312" s="57"/>
      <c r="AR312" s="57"/>
      <c r="AS312" s="74"/>
      <c r="AT312" s="57"/>
      <c r="AU312" s="61"/>
      <c r="AV312" s="318">
        <v>16.5</v>
      </c>
      <c r="AW312" s="57"/>
      <c r="AX312" s="61"/>
      <c r="AY312" s="61"/>
      <c r="AZ312" s="61"/>
      <c r="BA312" s="57"/>
      <c r="BB312" s="160"/>
      <c r="BC312" s="61"/>
      <c r="BD312" s="61"/>
      <c r="BE312" s="61"/>
      <c r="BF312" s="61"/>
      <c r="BG312" s="318">
        <v>17.399999999999999</v>
      </c>
      <c r="BH312" s="57"/>
      <c r="BI312" s="61" t="s">
        <v>247</v>
      </c>
      <c r="BJ312" s="61"/>
      <c r="BK312" s="57"/>
      <c r="BL312" s="61"/>
      <c r="BM312" s="57"/>
      <c r="BN312" s="61"/>
      <c r="BO312" s="57"/>
      <c r="BP312" s="58"/>
      <c r="BQ312" s="61"/>
      <c r="BR312" s="61"/>
      <c r="BS312" s="57"/>
      <c r="BT312" s="61"/>
      <c r="BU312" s="61"/>
      <c r="BV312" s="61"/>
      <c r="BW312" s="61"/>
      <c r="BX312" s="61"/>
      <c r="BY312" s="61"/>
      <c r="BZ312" s="61"/>
      <c r="CA312" s="61"/>
      <c r="CB312" s="57"/>
      <c r="CC312" s="61"/>
      <c r="CD312" s="61"/>
      <c r="CE312" s="61"/>
      <c r="CF312" s="57"/>
      <c r="CG312" s="61"/>
      <c r="CH312" s="61"/>
      <c r="CI312" s="61"/>
      <c r="CJ312" s="57"/>
      <c r="CK312" s="61"/>
      <c r="CL312" s="61"/>
      <c r="CM312" s="61"/>
      <c r="CN312" s="61"/>
      <c r="CO312" s="61"/>
      <c r="CP312" s="61"/>
      <c r="CQ312" s="61"/>
      <c r="CR312" s="61"/>
      <c r="CS312" s="61"/>
      <c r="CT312" s="61"/>
      <c r="CU312" s="61"/>
      <c r="CV312" s="61"/>
      <c r="CW312" s="61"/>
      <c r="CX312" s="61"/>
      <c r="CY312" s="61"/>
      <c r="CZ312" s="61"/>
      <c r="DA312" s="61"/>
      <c r="DB312" s="61"/>
      <c r="DC312" s="61"/>
      <c r="DD312" s="61"/>
      <c r="DE312" s="61"/>
      <c r="DF312" s="61"/>
      <c r="DG312" s="61"/>
      <c r="DH312" s="61"/>
      <c r="DI312" s="61"/>
      <c r="DJ312" s="61"/>
      <c r="DK312" s="61"/>
      <c r="DL312" s="61"/>
      <c r="DM312" s="61"/>
      <c r="DN312" s="61"/>
      <c r="DO312" s="61"/>
      <c r="DP312" s="61"/>
      <c r="DQ312" s="156"/>
      <c r="DR312" s="156"/>
      <c r="DS312" s="156"/>
      <c r="DT312" s="156"/>
      <c r="DU312" s="156"/>
      <c r="DV312" s="156"/>
      <c r="DW312" s="156"/>
      <c r="DX312" s="156"/>
      <c r="DY312" s="156"/>
      <c r="DZ312" s="59"/>
      <c r="EA312" s="59"/>
      <c r="EB312" s="59"/>
      <c r="EC312" s="59"/>
      <c r="ED312" s="59"/>
      <c r="EE312" s="59"/>
      <c r="EF312" s="59"/>
      <c r="EG312" s="59"/>
    </row>
    <row r="313" spans="1:137" s="5" customFormat="1" ht="15.9" customHeight="1" outlineLevel="1" x14ac:dyDescent="0.3">
      <c r="A313" s="6" t="s">
        <v>23</v>
      </c>
      <c r="B313" s="6" t="s">
        <v>23</v>
      </c>
      <c r="C313" s="50" t="s">
        <v>31</v>
      </c>
      <c r="D313" s="147">
        <v>45.21</v>
      </c>
      <c r="E313" s="6" t="s">
        <v>593</v>
      </c>
      <c r="F313" s="6" t="s">
        <v>598</v>
      </c>
      <c r="G313" s="11" t="s">
        <v>599</v>
      </c>
      <c r="H313" s="11"/>
      <c r="I313" s="205" cm="1">
        <f t="array" ref="I313">IFERROR(LOOKUP(2,1/(N313:GR313&lt;&gt;""),N$4:DRA$4),"")</f>
        <v>45146</v>
      </c>
      <c r="J313" s="170" cm="1">
        <f t="array" ref="J313">IFERROR(_xlfn.XLOOKUP(TRUE,N313:EH313&lt;&gt;"",N313:EH313,,,-1)," ")</f>
        <v>14.8</v>
      </c>
      <c r="K313" s="49">
        <v>20</v>
      </c>
      <c r="L313" s="49"/>
      <c r="M313" s="6" t="s">
        <v>34</v>
      </c>
      <c r="N313" s="62"/>
      <c r="O313" s="62"/>
      <c r="P313" s="62"/>
      <c r="Q313" s="62"/>
      <c r="R313" s="62"/>
      <c r="S313" s="62"/>
      <c r="T313" s="62"/>
      <c r="U313" s="62"/>
      <c r="V313" s="62"/>
      <c r="W313" s="62"/>
      <c r="X313" s="62"/>
      <c r="Y313" s="62">
        <v>14.8</v>
      </c>
      <c r="Z313" s="62"/>
      <c r="AA313" s="62"/>
      <c r="AB313" s="62"/>
      <c r="AC313" s="62"/>
      <c r="AD313" s="62"/>
      <c r="AE313" s="62"/>
      <c r="AF313" s="62"/>
      <c r="AG313" s="62"/>
      <c r="AH313" s="62"/>
      <c r="AI313" s="62"/>
      <c r="AJ313" s="62"/>
      <c r="AK313" s="62"/>
      <c r="AL313" s="62"/>
      <c r="AM313" s="62"/>
      <c r="AN313" s="62"/>
      <c r="AO313" s="62"/>
      <c r="AP313" s="62"/>
      <c r="AQ313" s="62"/>
      <c r="AR313" s="62"/>
      <c r="AS313" s="62"/>
      <c r="AT313" s="62"/>
      <c r="AU313" s="63"/>
      <c r="AV313" s="63"/>
      <c r="AW313" s="62"/>
      <c r="AX313" s="63"/>
      <c r="AY313" s="63"/>
      <c r="AZ313" s="63"/>
      <c r="BA313" s="63"/>
      <c r="BB313" s="63"/>
      <c r="BC313" s="63"/>
      <c r="BD313" s="63"/>
      <c r="BE313" s="63"/>
      <c r="BF313" s="63"/>
      <c r="BG313" s="63"/>
      <c r="BH313" s="62"/>
      <c r="BI313" s="63"/>
      <c r="BJ313" s="63"/>
      <c r="BK313" s="62"/>
      <c r="BL313" s="63"/>
      <c r="BM313" s="62"/>
      <c r="BN313" s="63"/>
      <c r="BO313" s="62"/>
      <c r="BP313" s="64"/>
      <c r="BQ313" s="63"/>
      <c r="BR313" s="63"/>
      <c r="BS313" s="62"/>
      <c r="BT313" s="63"/>
      <c r="BU313" s="63"/>
      <c r="BV313" s="63"/>
      <c r="BW313" s="63"/>
      <c r="BX313" s="63"/>
      <c r="BY313" s="63"/>
      <c r="BZ313" s="63"/>
      <c r="CA313" s="63"/>
      <c r="CB313" s="62"/>
      <c r="CC313" s="63"/>
      <c r="CD313" s="63"/>
      <c r="CE313" s="63"/>
      <c r="CF313" s="62"/>
      <c r="CG313" s="63"/>
      <c r="CH313" s="63"/>
      <c r="CI313" s="63"/>
      <c r="CJ313" s="62"/>
      <c r="CK313" s="63"/>
      <c r="CL313" s="63"/>
      <c r="CM313" s="63"/>
      <c r="CN313" s="63"/>
      <c r="CO313" s="63"/>
      <c r="CP313" s="63"/>
      <c r="CQ313" s="63"/>
      <c r="CR313" s="63"/>
      <c r="CS313" s="63"/>
      <c r="CT313" s="63"/>
      <c r="CU313" s="63"/>
      <c r="CV313" s="63"/>
      <c r="CW313" s="63"/>
      <c r="CX313" s="63"/>
      <c r="CY313" s="63"/>
      <c r="CZ313" s="63"/>
      <c r="DA313" s="63"/>
      <c r="DB313" s="63"/>
      <c r="DC313" s="63"/>
      <c r="DD313" s="63"/>
      <c r="DE313" s="63"/>
      <c r="DF313" s="63"/>
      <c r="DG313" s="63"/>
      <c r="DH313" s="63"/>
      <c r="DI313" s="63"/>
      <c r="DJ313" s="63"/>
      <c r="DK313" s="63"/>
      <c r="DL313" s="63"/>
      <c r="DM313" s="63"/>
      <c r="DN313" s="63"/>
      <c r="DO313" s="63"/>
      <c r="DP313" s="63"/>
      <c r="DQ313" s="158"/>
      <c r="DR313" s="158"/>
      <c r="DS313" s="158"/>
      <c r="DT313" s="158"/>
      <c r="DU313" s="158"/>
      <c r="DV313" s="158"/>
      <c r="DW313" s="158"/>
      <c r="DX313" s="158"/>
      <c r="DY313" s="158"/>
      <c r="DZ313" s="65"/>
      <c r="EA313" s="65"/>
      <c r="EB313" s="65"/>
      <c r="EC313" s="65"/>
      <c r="ED313" s="65"/>
      <c r="EE313" s="65"/>
      <c r="EF313" s="65"/>
      <c r="EG313" s="65"/>
    </row>
    <row r="314" spans="1:137" s="5" customFormat="1" ht="15.9" customHeight="1" outlineLevel="1" x14ac:dyDescent="0.3">
      <c r="A314" s="6" t="s">
        <v>23</v>
      </c>
      <c r="B314" s="6"/>
      <c r="C314" s="50" t="s">
        <v>31</v>
      </c>
      <c r="D314" s="147">
        <v>39.42</v>
      </c>
      <c r="E314" s="6" t="s">
        <v>593</v>
      </c>
      <c r="F314" s="6" t="s">
        <v>600</v>
      </c>
      <c r="G314" s="11" t="s">
        <v>601</v>
      </c>
      <c r="H314" s="11"/>
      <c r="I314" s="205" t="str" cm="1">
        <f t="array" ref="I314">IFERROR(LOOKUP(2,1/(N314:GR314&lt;&gt;""),N$4:DRA$4),"")</f>
        <v/>
      </c>
      <c r="J314" s="170" t="str" cm="1">
        <f t="array" ref="J314">IFERROR(_xlfn.XLOOKUP(TRUE,N314:EH314&lt;&gt;"",N314:EH314,,,-1)," ")</f>
        <v xml:space="preserve"> </v>
      </c>
      <c r="K314" s="49">
        <v>20</v>
      </c>
      <c r="L314" s="49"/>
      <c r="M314" s="6" t="s">
        <v>34</v>
      </c>
      <c r="N314" s="62"/>
      <c r="O314" s="62"/>
      <c r="P314" s="62"/>
      <c r="Q314" s="62"/>
      <c r="R314" s="62"/>
      <c r="S314" s="62"/>
      <c r="T314" s="62"/>
      <c r="U314" s="62"/>
      <c r="V314" s="62"/>
      <c r="W314" s="62"/>
      <c r="X314" s="62"/>
      <c r="Y314" s="62"/>
      <c r="Z314" s="62"/>
      <c r="AA314" s="62"/>
      <c r="AB314" s="62"/>
      <c r="AC314" s="62"/>
      <c r="AD314" s="62"/>
      <c r="AE314" s="62"/>
      <c r="AF314" s="62"/>
      <c r="AG314" s="62"/>
      <c r="AH314" s="62"/>
      <c r="AI314" s="62"/>
      <c r="AJ314" s="62"/>
      <c r="AK314" s="62"/>
      <c r="AL314" s="62"/>
      <c r="AM314" s="62"/>
      <c r="AN314" s="62"/>
      <c r="AO314" s="62"/>
      <c r="AP314" s="62"/>
      <c r="AQ314" s="62"/>
      <c r="AR314" s="62"/>
      <c r="AS314" s="62"/>
      <c r="AT314" s="62"/>
      <c r="AU314" s="63"/>
      <c r="AV314" s="63"/>
      <c r="AW314" s="62"/>
      <c r="AX314" s="63"/>
      <c r="AY314" s="63"/>
      <c r="AZ314" s="63"/>
      <c r="BA314" s="62"/>
      <c r="BB314" s="63"/>
      <c r="BC314" s="63"/>
      <c r="BD314" s="63"/>
      <c r="BE314" s="63"/>
      <c r="BF314" s="63"/>
      <c r="BG314" s="63"/>
      <c r="BH314" s="62"/>
      <c r="BI314" s="63"/>
      <c r="BJ314" s="63"/>
      <c r="BK314" s="62"/>
      <c r="BL314" s="63"/>
      <c r="BM314" s="62"/>
      <c r="BN314" s="63"/>
      <c r="BO314" s="62"/>
      <c r="BP314" s="64"/>
      <c r="BQ314" s="63"/>
      <c r="BR314" s="63"/>
      <c r="BS314" s="62"/>
      <c r="BT314" s="63"/>
      <c r="BU314" s="63"/>
      <c r="BV314" s="63"/>
      <c r="BW314" s="63"/>
      <c r="BX314" s="63"/>
      <c r="BY314" s="63"/>
      <c r="BZ314" s="63"/>
      <c r="CA314" s="63"/>
      <c r="CB314" s="62"/>
      <c r="CC314" s="63"/>
      <c r="CD314" s="63"/>
      <c r="CE314" s="63"/>
      <c r="CF314" s="62"/>
      <c r="CG314" s="63"/>
      <c r="CH314" s="63"/>
      <c r="CI314" s="63"/>
      <c r="CJ314" s="62"/>
      <c r="CK314" s="63"/>
      <c r="CL314" s="63"/>
      <c r="CM314" s="63"/>
      <c r="CN314" s="63"/>
      <c r="CO314" s="63"/>
      <c r="CP314" s="63"/>
      <c r="CQ314" s="63"/>
      <c r="CR314" s="63"/>
      <c r="CS314" s="63"/>
      <c r="CT314" s="63"/>
      <c r="CU314" s="63"/>
      <c r="CV314" s="63"/>
      <c r="CW314" s="63"/>
      <c r="CX314" s="63"/>
      <c r="CY314" s="63"/>
      <c r="CZ314" s="63"/>
      <c r="DA314" s="63"/>
      <c r="DB314" s="63"/>
      <c r="DC314" s="63"/>
      <c r="DD314" s="63"/>
      <c r="DE314" s="63"/>
      <c r="DF314" s="63"/>
      <c r="DG314" s="63"/>
      <c r="DH314" s="63"/>
      <c r="DI314" s="63"/>
      <c r="DJ314" s="63"/>
      <c r="DK314" s="63"/>
      <c r="DL314" s="63"/>
      <c r="DM314" s="63"/>
      <c r="DN314" s="63"/>
      <c r="DO314" s="63"/>
      <c r="DP314" s="63"/>
      <c r="DQ314" s="158"/>
      <c r="DR314" s="158"/>
      <c r="DS314" s="158"/>
      <c r="DT314" s="158"/>
      <c r="DU314" s="158"/>
      <c r="DV314" s="158"/>
      <c r="DW314" s="158"/>
      <c r="DX314" s="158"/>
      <c r="DY314" s="158"/>
      <c r="DZ314" s="59"/>
      <c r="EA314" s="59"/>
      <c r="EB314" s="59"/>
      <c r="EC314" s="59"/>
      <c r="ED314" s="59"/>
      <c r="EE314" s="59"/>
      <c r="EF314" s="59"/>
      <c r="EG314" s="59"/>
    </row>
    <row r="315" spans="1:137" s="5" customFormat="1" ht="15.9" customHeight="1" outlineLevel="1" x14ac:dyDescent="0.3">
      <c r="A315" s="6" t="s">
        <v>23</v>
      </c>
      <c r="B315" s="6" t="s">
        <v>23</v>
      </c>
      <c r="C315" s="50" t="s">
        <v>31</v>
      </c>
      <c r="D315" s="147">
        <v>47.21</v>
      </c>
      <c r="E315" s="6" t="s">
        <v>593</v>
      </c>
      <c r="F315" s="6" t="s">
        <v>602</v>
      </c>
      <c r="G315" s="11" t="s">
        <v>603</v>
      </c>
      <c r="H315" s="11"/>
      <c r="I315" s="205" cm="1">
        <f t="array" ref="I315">IFERROR(LOOKUP(2,1/(N315:GR315&lt;&gt;""),N$4:DRA$4),"")</f>
        <v>45171</v>
      </c>
      <c r="J315" s="170" cm="1">
        <f t="array" ref="J315">IFERROR(_xlfn.XLOOKUP(TRUE,N315:EH315&lt;&gt;"",N315:EH315,,,-1)," ")</f>
        <v>19.399999999999999</v>
      </c>
      <c r="K315" s="49">
        <v>20</v>
      </c>
      <c r="L315" s="49"/>
      <c r="M315" s="6" t="s">
        <v>34</v>
      </c>
      <c r="N315" s="62"/>
      <c r="O315" s="62"/>
      <c r="P315" s="62"/>
      <c r="Q315" s="62"/>
      <c r="R315" s="62"/>
      <c r="S315" s="62"/>
      <c r="T315" s="62"/>
      <c r="U315" s="62"/>
      <c r="V315" s="62"/>
      <c r="W315" s="62"/>
      <c r="X315" s="62"/>
      <c r="Y315" s="62"/>
      <c r="Z315" s="62"/>
      <c r="AA315" s="62"/>
      <c r="AB315" s="62"/>
      <c r="AC315" s="62"/>
      <c r="AD315" s="62"/>
      <c r="AE315" s="62"/>
      <c r="AF315" s="62"/>
      <c r="AG315" s="62"/>
      <c r="AH315" s="62"/>
      <c r="AI315" s="62"/>
      <c r="AJ315" s="62"/>
      <c r="AK315" s="62"/>
      <c r="AL315" s="62"/>
      <c r="AM315" s="62"/>
      <c r="AN315" s="62"/>
      <c r="AO315" s="62"/>
      <c r="AP315" s="62"/>
      <c r="AQ315" s="62"/>
      <c r="AR315" s="62"/>
      <c r="AS315" s="62"/>
      <c r="AT315" s="62"/>
      <c r="AU315" s="63"/>
      <c r="AV315" s="63"/>
      <c r="AW315" s="62"/>
      <c r="AX315" s="63">
        <v>19.399999999999999</v>
      </c>
      <c r="AY315" s="63"/>
      <c r="AZ315" s="63"/>
      <c r="BA315" s="62"/>
      <c r="BB315" s="63"/>
      <c r="BC315" s="63"/>
      <c r="BD315" s="63"/>
      <c r="BE315" s="63"/>
      <c r="BF315" s="63"/>
      <c r="BG315" s="63"/>
      <c r="BH315" s="62"/>
      <c r="BI315" s="63"/>
      <c r="BJ315" s="63"/>
      <c r="BK315" s="62"/>
      <c r="BL315" s="63"/>
      <c r="BM315" s="62"/>
      <c r="BN315" s="63"/>
      <c r="BO315" s="62"/>
      <c r="BP315" s="64"/>
      <c r="BQ315" s="63"/>
      <c r="BR315" s="63"/>
      <c r="BS315" s="62"/>
      <c r="BT315" s="63"/>
      <c r="BU315" s="63"/>
      <c r="BV315" s="63"/>
      <c r="BW315" s="63"/>
      <c r="BX315" s="63"/>
      <c r="BY315" s="63"/>
      <c r="BZ315" s="63"/>
      <c r="CA315" s="63"/>
      <c r="CB315" s="62"/>
      <c r="CC315" s="63"/>
      <c r="CD315" s="63"/>
      <c r="CE315" s="63"/>
      <c r="CF315" s="62"/>
      <c r="CG315" s="63"/>
      <c r="CH315" s="63"/>
      <c r="CI315" s="63"/>
      <c r="CJ315" s="62"/>
      <c r="CK315" s="63"/>
      <c r="CL315" s="63"/>
      <c r="CM315" s="63"/>
      <c r="CN315" s="63"/>
      <c r="CO315" s="63"/>
      <c r="CP315" s="63"/>
      <c r="CQ315" s="63"/>
      <c r="CR315" s="63"/>
      <c r="CS315" s="63"/>
      <c r="CT315" s="63"/>
      <c r="CU315" s="63"/>
      <c r="CV315" s="63"/>
      <c r="CW315" s="63"/>
      <c r="CX315" s="63"/>
      <c r="CY315" s="63"/>
      <c r="CZ315" s="63"/>
      <c r="DA315" s="63"/>
      <c r="DB315" s="63"/>
      <c r="DC315" s="63"/>
      <c r="DD315" s="63"/>
      <c r="DE315" s="63"/>
      <c r="DF315" s="63"/>
      <c r="DG315" s="63"/>
      <c r="DH315" s="63"/>
      <c r="DI315" s="63"/>
      <c r="DJ315" s="63"/>
      <c r="DK315" s="63"/>
      <c r="DL315" s="63"/>
      <c r="DM315" s="63"/>
      <c r="DN315" s="63"/>
      <c r="DO315" s="63"/>
      <c r="DP315" s="63"/>
      <c r="DQ315" s="158"/>
      <c r="DR315" s="158"/>
      <c r="DS315" s="158"/>
      <c r="DT315" s="158"/>
      <c r="DU315" s="158"/>
      <c r="DV315" s="158"/>
      <c r="DW315" s="158"/>
      <c r="DX315" s="158"/>
      <c r="DY315" s="158"/>
      <c r="DZ315" s="59"/>
      <c r="EA315" s="59"/>
      <c r="EB315" s="59"/>
      <c r="EC315" s="59"/>
      <c r="ED315" s="59"/>
      <c r="EE315" s="59"/>
      <c r="EF315" s="59"/>
      <c r="EG315" s="59"/>
    </row>
    <row r="316" spans="1:137" s="5" customFormat="1" ht="15.9" customHeight="1" outlineLevel="1" x14ac:dyDescent="0.3">
      <c r="A316" s="6" t="s">
        <v>23</v>
      </c>
      <c r="B316" s="6"/>
      <c r="C316" s="50" t="s">
        <v>31</v>
      </c>
      <c r="D316" s="147">
        <v>33.53</v>
      </c>
      <c r="E316" s="6" t="s">
        <v>593</v>
      </c>
      <c r="F316" s="6" t="s">
        <v>604</v>
      </c>
      <c r="G316" s="11" t="s">
        <v>605</v>
      </c>
      <c r="H316" s="11"/>
      <c r="I316" s="205" cm="1">
        <f t="array" ref="I316">IFERROR(LOOKUP(2,1/(N316:GR316&lt;&gt;""),N$4:DRA$4),"")</f>
        <v>45171</v>
      </c>
      <c r="J316" s="170" cm="1">
        <f t="array" ref="J316">IFERROR(_xlfn.XLOOKUP(TRUE,N316:EH316&lt;&gt;"",N316:EH316,,,-1)," ")</f>
        <v>19</v>
      </c>
      <c r="K316" s="49">
        <v>20</v>
      </c>
      <c r="L316" s="49"/>
      <c r="M316" s="6" t="s">
        <v>34</v>
      </c>
      <c r="N316" s="62"/>
      <c r="O316" s="62"/>
      <c r="P316" s="62"/>
      <c r="Q316" s="62"/>
      <c r="R316" s="62"/>
      <c r="S316" s="62"/>
      <c r="T316" s="62"/>
      <c r="U316" s="62"/>
      <c r="V316" s="62"/>
      <c r="W316" s="62"/>
      <c r="X316" s="62"/>
      <c r="Y316" s="62"/>
      <c r="Z316" s="62"/>
      <c r="AA316" s="62"/>
      <c r="AB316" s="62"/>
      <c r="AC316" s="62"/>
      <c r="AD316" s="62"/>
      <c r="AE316" s="62"/>
      <c r="AF316" s="62"/>
      <c r="AG316" s="62"/>
      <c r="AH316" s="62"/>
      <c r="AI316" s="62"/>
      <c r="AJ316" s="62"/>
      <c r="AK316" s="62"/>
      <c r="AL316" s="62"/>
      <c r="AM316" s="62"/>
      <c r="AN316" s="62"/>
      <c r="AO316" s="62"/>
      <c r="AP316" s="62"/>
      <c r="AQ316" s="62"/>
      <c r="AR316" s="62"/>
      <c r="AS316" s="62"/>
      <c r="AT316" s="62"/>
      <c r="AU316" s="63"/>
      <c r="AV316" s="63"/>
      <c r="AW316" s="62"/>
      <c r="AX316" s="63">
        <v>19</v>
      </c>
      <c r="AY316" s="63"/>
      <c r="AZ316" s="63"/>
      <c r="BA316" s="63"/>
      <c r="BB316" s="63"/>
      <c r="BC316" s="63"/>
      <c r="BD316" s="63"/>
      <c r="BE316" s="63"/>
      <c r="BF316" s="63"/>
      <c r="BG316" s="63"/>
      <c r="BH316" s="62"/>
      <c r="BI316" s="63"/>
      <c r="BJ316" s="63"/>
      <c r="BK316" s="62"/>
      <c r="BL316" s="63"/>
      <c r="BM316" s="62"/>
      <c r="BN316" s="63"/>
      <c r="BO316" s="62"/>
      <c r="BP316" s="64"/>
      <c r="BQ316" s="63"/>
      <c r="BR316" s="63"/>
      <c r="BS316" s="62"/>
      <c r="BT316" s="63"/>
      <c r="BU316" s="63"/>
      <c r="BV316" s="63"/>
      <c r="BW316" s="63"/>
      <c r="BX316" s="63"/>
      <c r="BY316" s="63"/>
      <c r="BZ316" s="63"/>
      <c r="CA316" s="63"/>
      <c r="CB316" s="62"/>
      <c r="CC316" s="63"/>
      <c r="CD316" s="63"/>
      <c r="CE316" s="63"/>
      <c r="CF316" s="62"/>
      <c r="CG316" s="63"/>
      <c r="CH316" s="63"/>
      <c r="CI316" s="63"/>
      <c r="CJ316" s="62"/>
      <c r="CK316" s="63"/>
      <c r="CL316" s="63"/>
      <c r="CM316" s="63"/>
      <c r="CN316" s="63"/>
      <c r="CO316" s="63"/>
      <c r="CP316" s="63"/>
      <c r="CQ316" s="63"/>
      <c r="CR316" s="63"/>
      <c r="CS316" s="63"/>
      <c r="CT316" s="63"/>
      <c r="CU316" s="63"/>
      <c r="CV316" s="63"/>
      <c r="CW316" s="63"/>
      <c r="CX316" s="63"/>
      <c r="CY316" s="63"/>
      <c r="CZ316" s="63"/>
      <c r="DA316" s="63"/>
      <c r="DB316" s="63"/>
      <c r="DC316" s="63"/>
      <c r="DD316" s="63"/>
      <c r="DE316" s="63"/>
      <c r="DF316" s="63"/>
      <c r="DG316" s="63"/>
      <c r="DH316" s="63"/>
      <c r="DI316" s="63"/>
      <c r="DJ316" s="63"/>
      <c r="DK316" s="63"/>
      <c r="DL316" s="63"/>
      <c r="DM316" s="63"/>
      <c r="DN316" s="63"/>
      <c r="DO316" s="63"/>
      <c r="DP316" s="63"/>
      <c r="DQ316" s="158"/>
      <c r="DR316" s="158"/>
      <c r="DS316" s="158"/>
      <c r="DT316" s="158"/>
      <c r="DU316" s="158"/>
      <c r="DV316" s="158"/>
      <c r="DW316" s="158"/>
      <c r="DX316" s="158"/>
      <c r="DY316" s="158"/>
      <c r="DZ316" s="59"/>
      <c r="EA316" s="59"/>
      <c r="EB316" s="59"/>
      <c r="EC316" s="59"/>
      <c r="ED316" s="59"/>
      <c r="EE316" s="59"/>
      <c r="EF316" s="59"/>
      <c r="EG316" s="59"/>
    </row>
    <row r="317" spans="1:137" s="10" customFormat="1" ht="15.9" customHeight="1" outlineLevel="1" x14ac:dyDescent="0.3">
      <c r="A317" s="7" t="s">
        <v>23</v>
      </c>
      <c r="B317" s="7"/>
      <c r="C317" s="54" t="s">
        <v>24</v>
      </c>
      <c r="D317" s="148">
        <v>37.450000000000003</v>
      </c>
      <c r="E317" s="53" t="s">
        <v>593</v>
      </c>
      <c r="F317" s="53" t="s">
        <v>606</v>
      </c>
      <c r="G317" s="52" t="s">
        <v>607</v>
      </c>
      <c r="H317" s="52"/>
      <c r="I317" s="204" cm="1">
        <f t="array" ref="I317">IFERROR(LOOKUP(2,1/(N317:GR317&lt;&gt;""),N$4:DRA$4),"")</f>
        <v>45156</v>
      </c>
      <c r="J317" s="169" cm="1">
        <f t="array" ref="J317">IFERROR(_xlfn.XLOOKUP(TRUE,N317:EH317&lt;&gt;"",N317:EH317,,,-1)," ")</f>
        <v>19.899999999999999</v>
      </c>
      <c r="K317" s="45">
        <v>20</v>
      </c>
      <c r="L317" s="45"/>
      <c r="M317" s="7" t="s">
        <v>28</v>
      </c>
      <c r="N317" s="57"/>
      <c r="O317" s="57"/>
      <c r="P317" s="57"/>
      <c r="Q317" s="57"/>
      <c r="R317" s="57"/>
      <c r="S317" s="57"/>
      <c r="T317" s="57"/>
      <c r="U317" s="57">
        <v>16.399999999999999</v>
      </c>
      <c r="V317" s="57"/>
      <c r="W317" s="57"/>
      <c r="X317" s="57"/>
      <c r="Y317" s="57"/>
      <c r="Z317" s="57">
        <v>17.2</v>
      </c>
      <c r="AA317" s="57"/>
      <c r="AB317" s="57"/>
      <c r="AC317" s="57"/>
      <c r="AD317" s="57"/>
      <c r="AE317" s="57"/>
      <c r="AF317" s="57">
        <v>19.2</v>
      </c>
      <c r="AG317" s="57"/>
      <c r="AH317" s="57"/>
      <c r="AI317" s="58">
        <v>19.899999999999999</v>
      </c>
      <c r="AJ317" s="57"/>
      <c r="AK317" s="57"/>
      <c r="AL317" s="57"/>
      <c r="AM317" s="57"/>
      <c r="AN317" s="57"/>
      <c r="AO317" s="57"/>
      <c r="AP317" s="57"/>
      <c r="AQ317" s="57"/>
      <c r="AR317" s="57"/>
      <c r="AS317" s="57"/>
      <c r="AT317" s="58"/>
      <c r="AU317" s="61"/>
      <c r="AV317" s="61"/>
      <c r="AW317" s="57"/>
      <c r="AX317" s="61"/>
      <c r="AY317" s="61"/>
      <c r="AZ317" s="61"/>
      <c r="BA317" s="61"/>
      <c r="BB317" s="61"/>
      <c r="BC317" s="61"/>
      <c r="BD317" s="61"/>
      <c r="BE317" s="61"/>
      <c r="BF317" s="61"/>
      <c r="BG317" s="61"/>
      <c r="BH317" s="57"/>
      <c r="BI317" s="61"/>
      <c r="BJ317" s="61"/>
      <c r="BK317" s="57"/>
      <c r="BL317" s="61"/>
      <c r="BM317" s="57"/>
      <c r="BN317" s="61"/>
      <c r="BO317" s="57"/>
      <c r="BP317" s="58"/>
      <c r="BQ317" s="61"/>
      <c r="BR317" s="61"/>
      <c r="BS317" s="57"/>
      <c r="BT317" s="61"/>
      <c r="BU317" s="61"/>
      <c r="BV317" s="61"/>
      <c r="BW317" s="61"/>
      <c r="BX317" s="61"/>
      <c r="BY317" s="61"/>
      <c r="BZ317" s="61"/>
      <c r="CA317" s="61"/>
      <c r="CB317" s="57"/>
      <c r="CC317" s="61"/>
      <c r="CD317" s="61"/>
      <c r="CE317" s="61"/>
      <c r="CF317" s="57"/>
      <c r="CG317" s="61"/>
      <c r="CH317" s="61"/>
      <c r="CI317" s="61"/>
      <c r="CJ317" s="57"/>
      <c r="CK317" s="61"/>
      <c r="CL317" s="61"/>
      <c r="CM317" s="61"/>
      <c r="CN317" s="61"/>
      <c r="CO317" s="61"/>
      <c r="CP317" s="61"/>
      <c r="CQ317" s="61"/>
      <c r="CR317" s="61"/>
      <c r="CS317" s="61"/>
      <c r="CT317" s="61"/>
      <c r="CU317" s="61"/>
      <c r="CV317" s="61"/>
      <c r="CW317" s="61"/>
      <c r="CX317" s="61"/>
      <c r="CY317" s="61"/>
      <c r="CZ317" s="61"/>
      <c r="DA317" s="61"/>
      <c r="DB317" s="61"/>
      <c r="DC317" s="61"/>
      <c r="DD317" s="61"/>
      <c r="DE317" s="61"/>
      <c r="DF317" s="61"/>
      <c r="DG317" s="61"/>
      <c r="DH317" s="61"/>
      <c r="DI317" s="61"/>
      <c r="DJ317" s="61"/>
      <c r="DK317" s="61"/>
      <c r="DL317" s="61"/>
      <c r="DM317" s="61"/>
      <c r="DN317" s="61"/>
      <c r="DO317" s="61"/>
      <c r="DP317" s="61"/>
      <c r="DQ317" s="156"/>
      <c r="DR317" s="156"/>
      <c r="DS317" s="156"/>
      <c r="DT317" s="156"/>
      <c r="DU317" s="156"/>
      <c r="DV317" s="156"/>
      <c r="DW317" s="156"/>
      <c r="DX317" s="156"/>
      <c r="DY317" s="156"/>
      <c r="DZ317" s="59"/>
      <c r="EA317" s="59"/>
      <c r="EB317" s="59"/>
      <c r="EC317" s="59"/>
      <c r="ED317" s="59"/>
      <c r="EE317" s="59"/>
      <c r="EF317" s="59"/>
      <c r="EG317" s="59"/>
    </row>
    <row r="318" spans="1:137" s="5" customFormat="1" ht="15.9" customHeight="1" outlineLevel="1" x14ac:dyDescent="0.3">
      <c r="A318" s="7" t="s">
        <v>23</v>
      </c>
      <c r="B318" s="7" t="s">
        <v>23</v>
      </c>
      <c r="C318" s="8" t="s">
        <v>24</v>
      </c>
      <c r="D318" s="146"/>
      <c r="E318" s="7" t="s">
        <v>593</v>
      </c>
      <c r="F318" s="7" t="s">
        <v>608</v>
      </c>
      <c r="G318" s="9" t="s">
        <v>609</v>
      </c>
      <c r="H318" s="9"/>
      <c r="I318" s="204" cm="1">
        <f t="array" ref="I318">IFERROR(LOOKUP(2,1/(N318:GR318&lt;&gt;""),N$4:DRA$4),"")</f>
        <v>45167</v>
      </c>
      <c r="J318" s="266" cm="1">
        <f t="array" ref="J318">IFERROR(_xlfn.XLOOKUP(TRUE,N318:EH318&lt;&gt;"",N318:EH318,,,-1)," ")</f>
        <v>18.899999999999999</v>
      </c>
      <c r="K318" s="45">
        <v>20</v>
      </c>
      <c r="L318" s="45">
        <v>20.5</v>
      </c>
      <c r="M318" s="7" t="s">
        <v>28</v>
      </c>
      <c r="N318" s="57"/>
      <c r="O318" s="57"/>
      <c r="P318" s="57"/>
      <c r="Q318" s="57"/>
      <c r="R318" s="57"/>
      <c r="S318" s="57"/>
      <c r="T318" s="57"/>
      <c r="U318" s="58"/>
      <c r="V318" s="57"/>
      <c r="W318" s="57"/>
      <c r="X318" s="57"/>
      <c r="Y318" s="57"/>
      <c r="Z318" s="57"/>
      <c r="AA318" s="57"/>
      <c r="AB318" s="57"/>
      <c r="AC318" s="57"/>
      <c r="AD318" s="57"/>
      <c r="AE318" s="57">
        <v>17.2</v>
      </c>
      <c r="AF318" s="57"/>
      <c r="AG318" s="57"/>
      <c r="AH318" s="57"/>
      <c r="AI318" s="57"/>
      <c r="AJ318" s="57"/>
      <c r="AK318" s="57"/>
      <c r="AL318" s="57">
        <v>18.2</v>
      </c>
      <c r="AM318" s="57"/>
      <c r="AN318" s="58">
        <v>18.600000000000001</v>
      </c>
      <c r="AO318" s="57"/>
      <c r="AP318" s="58">
        <v>18.7</v>
      </c>
      <c r="AQ318" s="57"/>
      <c r="AR318" s="57"/>
      <c r="AS318" s="57"/>
      <c r="AT318" s="58">
        <v>18.899999999999999</v>
      </c>
      <c r="AU318" s="61"/>
      <c r="AV318" s="61"/>
      <c r="AW318" s="57"/>
      <c r="AX318" s="61"/>
      <c r="AY318" s="61"/>
      <c r="AZ318" s="61"/>
      <c r="BA318" s="61"/>
      <c r="BB318" s="61"/>
      <c r="BC318" s="61"/>
      <c r="BD318" s="61"/>
      <c r="BE318" s="61"/>
      <c r="BF318" s="61"/>
      <c r="BG318" s="61"/>
      <c r="BH318" s="57"/>
      <c r="BI318" s="61"/>
      <c r="BJ318" s="61"/>
      <c r="BK318" s="57"/>
      <c r="BL318" s="61"/>
      <c r="BM318" s="57"/>
      <c r="BN318" s="61"/>
      <c r="BO318" s="57"/>
      <c r="BP318" s="58"/>
      <c r="BQ318" s="61"/>
      <c r="BR318" s="61"/>
      <c r="BS318" s="57"/>
      <c r="BT318" s="61"/>
      <c r="BU318" s="61"/>
      <c r="BV318" s="61"/>
      <c r="BW318" s="61"/>
      <c r="BX318" s="61"/>
      <c r="BY318" s="61"/>
      <c r="BZ318" s="61"/>
      <c r="CA318" s="61"/>
      <c r="CB318" s="57"/>
      <c r="CC318" s="61"/>
      <c r="CD318" s="61"/>
      <c r="CE318" s="61"/>
      <c r="CF318" s="57"/>
      <c r="CG318" s="61"/>
      <c r="CH318" s="61"/>
      <c r="CI318" s="61"/>
      <c r="CJ318" s="57"/>
      <c r="CK318" s="61"/>
      <c r="CL318" s="61"/>
      <c r="CM318" s="61"/>
      <c r="CN318" s="61"/>
      <c r="CO318" s="61"/>
      <c r="CP318" s="61"/>
      <c r="CQ318" s="61"/>
      <c r="CR318" s="61"/>
      <c r="CS318" s="61"/>
      <c r="CT318" s="61"/>
      <c r="CU318" s="61"/>
      <c r="CV318" s="61"/>
      <c r="CW318" s="61"/>
      <c r="CX318" s="61"/>
      <c r="CY318" s="61"/>
      <c r="CZ318" s="61"/>
      <c r="DA318" s="61"/>
      <c r="DB318" s="61"/>
      <c r="DC318" s="61"/>
      <c r="DD318" s="61"/>
      <c r="DE318" s="61"/>
      <c r="DF318" s="61"/>
      <c r="DG318" s="61"/>
      <c r="DH318" s="61"/>
      <c r="DI318" s="61"/>
      <c r="DJ318" s="61"/>
      <c r="DK318" s="61"/>
      <c r="DL318" s="61"/>
      <c r="DM318" s="61"/>
      <c r="DN318" s="61"/>
      <c r="DO318" s="61"/>
      <c r="DP318" s="61"/>
      <c r="DQ318" s="156"/>
      <c r="DR318" s="156"/>
      <c r="DS318" s="156"/>
      <c r="DT318" s="156"/>
      <c r="DU318" s="156"/>
      <c r="DV318" s="156"/>
      <c r="DW318" s="156"/>
      <c r="DX318" s="156"/>
      <c r="DY318" s="156"/>
      <c r="DZ318" s="59"/>
      <c r="EA318" s="59"/>
      <c r="EB318" s="59"/>
      <c r="EC318" s="59"/>
      <c r="ED318" s="59"/>
      <c r="EE318" s="59"/>
      <c r="EF318" s="59"/>
      <c r="EG318" s="59"/>
    </row>
    <row r="319" spans="1:137" s="5" customFormat="1" ht="15.9" customHeight="1" outlineLevel="1" x14ac:dyDescent="0.3">
      <c r="A319" s="7" t="s">
        <v>23</v>
      </c>
      <c r="B319" s="7" t="s">
        <v>23</v>
      </c>
      <c r="C319" s="8" t="s">
        <v>24</v>
      </c>
      <c r="D319" s="146"/>
      <c r="E319" s="7" t="s">
        <v>593</v>
      </c>
      <c r="F319" s="7" t="s">
        <v>608</v>
      </c>
      <c r="G319" s="9" t="s">
        <v>610</v>
      </c>
      <c r="H319" s="9"/>
      <c r="I319" s="204" cm="1">
        <f t="array" ref="I319">IFERROR(LOOKUP(2,1/(N319:GR319&lt;&gt;""),N$4:DRA$4),"")</f>
        <v>45167</v>
      </c>
      <c r="J319" s="266" cm="1">
        <f t="array" ref="J319">IFERROR(_xlfn.XLOOKUP(TRUE,N319:EH319&lt;&gt;"",N319:EH319,,,-1)," ")</f>
        <v>18.899999999999999</v>
      </c>
      <c r="K319" s="45">
        <v>20</v>
      </c>
      <c r="L319" s="45">
        <v>20.5</v>
      </c>
      <c r="M319" s="7" t="s">
        <v>28</v>
      </c>
      <c r="N319" s="57"/>
      <c r="O319" s="57"/>
      <c r="P319" s="57"/>
      <c r="Q319" s="57"/>
      <c r="R319" s="57"/>
      <c r="S319" s="57"/>
      <c r="T319" s="57"/>
      <c r="U319" s="58"/>
      <c r="V319" s="57"/>
      <c r="W319" s="57"/>
      <c r="X319" s="57"/>
      <c r="Y319" s="57"/>
      <c r="Z319" s="57"/>
      <c r="AA319" s="57"/>
      <c r="AB319" s="57"/>
      <c r="AC319" s="57"/>
      <c r="AD319" s="57"/>
      <c r="AE319" s="57">
        <v>17</v>
      </c>
      <c r="AF319" s="57"/>
      <c r="AG319" s="57"/>
      <c r="AH319" s="57"/>
      <c r="AI319" s="57"/>
      <c r="AJ319" s="57"/>
      <c r="AK319" s="57"/>
      <c r="AL319" s="57">
        <v>17.399999999999999</v>
      </c>
      <c r="AM319" s="57"/>
      <c r="AN319" s="58">
        <v>16.8</v>
      </c>
      <c r="AO319" s="57"/>
      <c r="AP319" s="57"/>
      <c r="AQ319" s="57"/>
      <c r="AR319" s="57"/>
      <c r="AS319" s="57"/>
      <c r="AT319" s="58">
        <v>18.899999999999999</v>
      </c>
      <c r="AU319" s="61"/>
      <c r="AV319" s="61"/>
      <c r="AW319" s="57"/>
      <c r="AX319" s="61"/>
      <c r="AY319" s="61"/>
      <c r="AZ319" s="61"/>
      <c r="BA319" s="61"/>
      <c r="BB319" s="61"/>
      <c r="BC319" s="61"/>
      <c r="BD319" s="61"/>
      <c r="BE319" s="61"/>
      <c r="BF319" s="61"/>
      <c r="BG319" s="61"/>
      <c r="BH319" s="57"/>
      <c r="BI319" s="61"/>
      <c r="BJ319" s="61"/>
      <c r="BK319" s="57"/>
      <c r="BL319" s="61"/>
      <c r="BM319" s="57"/>
      <c r="BN319" s="61"/>
      <c r="BO319" s="57"/>
      <c r="BP319" s="58"/>
      <c r="BQ319" s="61"/>
      <c r="BR319" s="61"/>
      <c r="BS319" s="57"/>
      <c r="BT319" s="61"/>
      <c r="BU319" s="61"/>
      <c r="BV319" s="61"/>
      <c r="BW319" s="61"/>
      <c r="BX319" s="61"/>
      <c r="BY319" s="61"/>
      <c r="BZ319" s="61"/>
      <c r="CA319" s="61"/>
      <c r="CB319" s="57"/>
      <c r="CC319" s="61"/>
      <c r="CD319" s="61"/>
      <c r="CE319" s="61"/>
      <c r="CF319" s="57"/>
      <c r="CG319" s="61"/>
      <c r="CH319" s="61"/>
      <c r="CI319" s="61"/>
      <c r="CJ319" s="57"/>
      <c r="CK319" s="61"/>
      <c r="CL319" s="61"/>
      <c r="CM319" s="61"/>
      <c r="CN319" s="61"/>
      <c r="CO319" s="61"/>
      <c r="CP319" s="61"/>
      <c r="CQ319" s="61"/>
      <c r="CR319" s="61"/>
      <c r="CS319" s="61"/>
      <c r="CT319" s="61"/>
      <c r="CU319" s="61"/>
      <c r="CV319" s="61"/>
      <c r="CW319" s="61"/>
      <c r="CX319" s="61"/>
      <c r="CY319" s="61"/>
      <c r="CZ319" s="61"/>
      <c r="DA319" s="61"/>
      <c r="DB319" s="61"/>
      <c r="DC319" s="61"/>
      <c r="DD319" s="61"/>
      <c r="DE319" s="61"/>
      <c r="DF319" s="61"/>
      <c r="DG319" s="61"/>
      <c r="DH319" s="61"/>
      <c r="DI319" s="61"/>
      <c r="DJ319" s="61"/>
      <c r="DK319" s="61"/>
      <c r="DL319" s="61"/>
      <c r="DM319" s="61"/>
      <c r="DN319" s="61"/>
      <c r="DO319" s="61"/>
      <c r="DP319" s="61"/>
      <c r="DQ319" s="156"/>
      <c r="DR319" s="156"/>
      <c r="DS319" s="156"/>
      <c r="DT319" s="156"/>
      <c r="DU319" s="156"/>
      <c r="DV319" s="156"/>
      <c r="DW319" s="156"/>
      <c r="DX319" s="156"/>
      <c r="DY319" s="156"/>
      <c r="DZ319" s="59"/>
      <c r="EA319" s="59"/>
      <c r="EB319" s="59"/>
      <c r="EC319" s="59"/>
      <c r="ED319" s="59"/>
      <c r="EE319" s="59"/>
      <c r="EF319" s="59"/>
      <c r="EG319" s="59"/>
    </row>
    <row r="320" spans="1:137" s="10" customFormat="1" ht="15.9" customHeight="1" outlineLevel="1" x14ac:dyDescent="0.3">
      <c r="A320" s="7" t="s">
        <v>23</v>
      </c>
      <c r="B320" s="7" t="s">
        <v>23</v>
      </c>
      <c r="C320" s="8" t="s">
        <v>24</v>
      </c>
      <c r="D320" s="146">
        <v>49.45</v>
      </c>
      <c r="E320" s="7" t="s">
        <v>593</v>
      </c>
      <c r="F320" s="7" t="s">
        <v>608</v>
      </c>
      <c r="G320" s="9" t="s">
        <v>611</v>
      </c>
      <c r="H320" s="9"/>
      <c r="I320" s="204"/>
      <c r="J320" s="169"/>
      <c r="K320" s="45">
        <v>20</v>
      </c>
      <c r="L320" s="45">
        <v>20.5</v>
      </c>
      <c r="M320" s="7" t="s">
        <v>28</v>
      </c>
      <c r="N320" s="57"/>
      <c r="O320" s="57"/>
      <c r="P320" s="57"/>
      <c r="Q320" s="58"/>
      <c r="R320" s="57"/>
      <c r="S320" s="57"/>
      <c r="T320" s="57"/>
      <c r="U320" s="57">
        <v>14.8</v>
      </c>
      <c r="V320" s="57"/>
      <c r="W320" s="57"/>
      <c r="X320" s="57"/>
      <c r="Y320" s="57"/>
      <c r="Z320" s="57"/>
      <c r="AA320" s="57"/>
      <c r="AB320" s="57"/>
      <c r="AC320" s="57"/>
      <c r="AD320" s="57"/>
      <c r="AE320" s="57"/>
      <c r="AF320" s="57"/>
      <c r="AG320" s="57"/>
      <c r="AH320" s="57"/>
      <c r="AI320" s="57"/>
      <c r="AJ320" s="58"/>
      <c r="AK320" s="57"/>
      <c r="AL320" s="57"/>
      <c r="AM320" s="57"/>
      <c r="AN320" s="57"/>
      <c r="AO320" s="57"/>
      <c r="AP320" s="57"/>
      <c r="AQ320" s="57"/>
      <c r="AR320" s="57"/>
      <c r="AS320" s="57"/>
      <c r="AT320" s="57"/>
      <c r="AU320" s="61"/>
      <c r="AV320" s="61"/>
      <c r="AW320" s="57"/>
      <c r="AX320" s="61"/>
      <c r="AY320" s="61"/>
      <c r="AZ320" s="61"/>
      <c r="BA320" s="61"/>
      <c r="BB320" s="61"/>
      <c r="BC320" s="61"/>
      <c r="BD320" s="61"/>
      <c r="BE320" s="61"/>
      <c r="BF320" s="61"/>
      <c r="BG320" s="61"/>
      <c r="BH320" s="57"/>
      <c r="BI320" s="61"/>
      <c r="BJ320" s="61"/>
      <c r="BK320" s="57"/>
      <c r="BL320" s="61"/>
      <c r="BM320" s="57"/>
      <c r="BN320" s="61"/>
      <c r="BO320" s="57"/>
      <c r="BP320" s="58"/>
      <c r="BQ320" s="61"/>
      <c r="BR320" s="61"/>
      <c r="BS320" s="57"/>
      <c r="BT320" s="61"/>
      <c r="BU320" s="61"/>
      <c r="BV320" s="61"/>
      <c r="BW320" s="61"/>
      <c r="BX320" s="61"/>
      <c r="BY320" s="61"/>
      <c r="BZ320" s="61"/>
      <c r="CA320" s="61"/>
      <c r="CB320" s="57"/>
      <c r="CC320" s="61"/>
      <c r="CD320" s="61"/>
      <c r="CE320" s="61"/>
      <c r="CF320" s="57"/>
      <c r="CG320" s="61"/>
      <c r="CH320" s="61"/>
      <c r="CI320" s="61"/>
      <c r="CJ320" s="57"/>
      <c r="CK320" s="61"/>
      <c r="CL320" s="61"/>
      <c r="CM320" s="61"/>
      <c r="CN320" s="61"/>
      <c r="CO320" s="61"/>
      <c r="CP320" s="61"/>
      <c r="CQ320" s="61"/>
      <c r="CR320" s="61"/>
      <c r="CS320" s="61"/>
      <c r="CT320" s="61"/>
      <c r="CU320" s="61"/>
      <c r="CV320" s="61"/>
      <c r="CW320" s="61"/>
      <c r="CX320" s="61"/>
      <c r="CY320" s="61"/>
      <c r="CZ320" s="61"/>
      <c r="DA320" s="61"/>
      <c r="DB320" s="61"/>
      <c r="DC320" s="61"/>
      <c r="DD320" s="61"/>
      <c r="DE320" s="61"/>
      <c r="DF320" s="61"/>
      <c r="DG320" s="61"/>
      <c r="DH320" s="61"/>
      <c r="DI320" s="61"/>
      <c r="DJ320" s="61"/>
      <c r="DK320" s="61"/>
      <c r="DL320" s="61"/>
      <c r="DM320" s="61"/>
      <c r="DN320" s="61"/>
      <c r="DO320" s="61"/>
      <c r="DP320" s="61"/>
      <c r="DQ320" s="156"/>
      <c r="DR320" s="156"/>
      <c r="DS320" s="156"/>
      <c r="DT320" s="156"/>
      <c r="DU320" s="156"/>
      <c r="DV320" s="156"/>
      <c r="DW320" s="156"/>
      <c r="DX320" s="156"/>
      <c r="DY320" s="156"/>
      <c r="DZ320" s="22"/>
      <c r="EA320" s="22"/>
      <c r="EB320" s="22"/>
      <c r="EC320" s="22"/>
      <c r="ED320" s="22"/>
      <c r="EE320" s="22"/>
      <c r="EF320" s="22"/>
      <c r="EG320" s="22"/>
    </row>
    <row r="321" spans="1:137" s="10" customFormat="1" ht="15.9" customHeight="1" outlineLevel="1" x14ac:dyDescent="0.3">
      <c r="A321" s="6" t="s">
        <v>23</v>
      </c>
      <c r="B321" s="6" t="s">
        <v>23</v>
      </c>
      <c r="C321" s="50" t="s">
        <v>24</v>
      </c>
      <c r="D321" s="147">
        <v>56.02</v>
      </c>
      <c r="E321" s="6" t="s">
        <v>593</v>
      </c>
      <c r="F321" s="6" t="s">
        <v>612</v>
      </c>
      <c r="G321" s="11" t="s">
        <v>613</v>
      </c>
      <c r="H321" s="11"/>
      <c r="I321" s="205" cm="1">
        <f t="array" ref="I321">IFERROR(LOOKUP(2,1/(N321:GR321&lt;&gt;""),N$4:DRA$4),"")</f>
        <v>45175</v>
      </c>
      <c r="J321" s="227" cm="1">
        <f t="array" ref="J321">IFERROR(_xlfn.XLOOKUP(TRUE,N321:EH321&lt;&gt;"",N321:EH321,,,-1)," ")</f>
        <v>21.7</v>
      </c>
      <c r="K321" s="277">
        <v>20</v>
      </c>
      <c r="L321" s="49">
        <v>21.5</v>
      </c>
      <c r="M321" s="6" t="s">
        <v>28</v>
      </c>
      <c r="N321" s="62"/>
      <c r="O321" s="62"/>
      <c r="P321" s="62"/>
      <c r="Q321" s="62"/>
      <c r="R321" s="62">
        <v>13</v>
      </c>
      <c r="S321" s="62"/>
      <c r="T321" s="62"/>
      <c r="U321" s="64"/>
      <c r="V321" s="62"/>
      <c r="W321" s="62"/>
      <c r="X321" s="62"/>
      <c r="Y321" s="62"/>
      <c r="Z321" s="62"/>
      <c r="AA321" s="62">
        <v>14.6</v>
      </c>
      <c r="AB321" s="62"/>
      <c r="AC321" s="62"/>
      <c r="AD321" s="62"/>
      <c r="AE321" s="62"/>
      <c r="AF321" s="64"/>
      <c r="AG321" s="62"/>
      <c r="AH321" s="62"/>
      <c r="AI321" s="62">
        <v>17.2</v>
      </c>
      <c r="AJ321" s="62"/>
      <c r="AK321" s="62"/>
      <c r="AL321" s="62"/>
      <c r="AM321" s="62"/>
      <c r="AN321" s="62"/>
      <c r="AO321" s="62"/>
      <c r="AP321" s="62">
        <v>18.8</v>
      </c>
      <c r="AQ321" s="62"/>
      <c r="AR321" s="64"/>
      <c r="AS321" s="62"/>
      <c r="AT321" s="62"/>
      <c r="AU321" s="63"/>
      <c r="AV321" s="63">
        <v>20</v>
      </c>
      <c r="AW321" s="64">
        <v>20.399999999999999</v>
      </c>
      <c r="AX321" s="63"/>
      <c r="AY321" s="63"/>
      <c r="AZ321" s="63"/>
      <c r="BA321" s="63"/>
      <c r="BB321" s="159">
        <v>21.7</v>
      </c>
      <c r="BC321" s="63"/>
      <c r="BD321" s="63"/>
      <c r="BE321" s="159"/>
      <c r="BF321" s="63"/>
      <c r="BG321" s="63"/>
      <c r="BH321" s="62"/>
      <c r="BI321" s="63"/>
      <c r="BJ321" s="63"/>
      <c r="BK321" s="62"/>
      <c r="BL321" s="63"/>
      <c r="BM321" s="62"/>
      <c r="BN321" s="63"/>
      <c r="BO321" s="62"/>
      <c r="BP321" s="64"/>
      <c r="BQ321" s="63"/>
      <c r="BR321" s="63"/>
      <c r="BS321" s="62"/>
      <c r="BT321" s="63"/>
      <c r="BU321" s="63"/>
      <c r="BV321" s="63"/>
      <c r="BW321" s="63"/>
      <c r="BX321" s="63"/>
      <c r="BY321" s="63"/>
      <c r="BZ321" s="63"/>
      <c r="CA321" s="63"/>
      <c r="CB321" s="62"/>
      <c r="CC321" s="63"/>
      <c r="CD321" s="63"/>
      <c r="CE321" s="63"/>
      <c r="CF321" s="62"/>
      <c r="CG321" s="63"/>
      <c r="CH321" s="63"/>
      <c r="CI321" s="63"/>
      <c r="CJ321" s="62"/>
      <c r="CK321" s="63"/>
      <c r="CL321" s="63"/>
      <c r="CM321" s="63"/>
      <c r="CN321" s="63"/>
      <c r="CO321" s="63"/>
      <c r="CP321" s="63"/>
      <c r="CQ321" s="63"/>
      <c r="CR321" s="63"/>
      <c r="CS321" s="63"/>
      <c r="CT321" s="63"/>
      <c r="CU321" s="63"/>
      <c r="CV321" s="63"/>
      <c r="CW321" s="63"/>
      <c r="CX321" s="63"/>
      <c r="CY321" s="63"/>
      <c r="CZ321" s="63"/>
      <c r="DA321" s="63"/>
      <c r="DB321" s="63"/>
      <c r="DC321" s="63"/>
      <c r="DD321" s="63"/>
      <c r="DE321" s="63"/>
      <c r="DF321" s="63"/>
      <c r="DG321" s="63"/>
      <c r="DH321" s="63"/>
      <c r="DI321" s="63"/>
      <c r="DJ321" s="63"/>
      <c r="DK321" s="63"/>
      <c r="DL321" s="63"/>
      <c r="DM321" s="63"/>
      <c r="DN321" s="63"/>
      <c r="DO321" s="63"/>
      <c r="DP321" s="63"/>
      <c r="DQ321" s="158"/>
      <c r="DR321" s="158"/>
      <c r="DS321" s="158"/>
      <c r="DT321" s="158"/>
      <c r="DU321" s="158"/>
      <c r="DV321" s="158"/>
      <c r="DW321" s="158"/>
      <c r="DX321" s="158"/>
      <c r="DY321" s="158"/>
      <c r="DZ321" s="59"/>
      <c r="EA321" s="59"/>
      <c r="EB321" s="59"/>
      <c r="EC321" s="59"/>
      <c r="ED321" s="59"/>
      <c r="EE321" s="59"/>
      <c r="EF321" s="59"/>
      <c r="EG321" s="59"/>
    </row>
    <row r="322" spans="1:137" s="10" customFormat="1" ht="15.9" customHeight="1" outlineLevel="1" x14ac:dyDescent="0.3">
      <c r="A322" s="6" t="s">
        <v>23</v>
      </c>
      <c r="B322" s="6" t="s">
        <v>23</v>
      </c>
      <c r="C322" s="50" t="s">
        <v>24</v>
      </c>
      <c r="D322" s="147"/>
      <c r="E322" s="6" t="s">
        <v>593</v>
      </c>
      <c r="F322" s="6" t="s">
        <v>612</v>
      </c>
      <c r="G322" s="11" t="s">
        <v>614</v>
      </c>
      <c r="H322" s="11"/>
      <c r="I322" s="205" cm="1">
        <f t="array" ref="I322">IFERROR(LOOKUP(2,1/(N322:GR322&lt;&gt;""),N$4:DRA$4),"")</f>
        <v>45170</v>
      </c>
      <c r="J322" s="227" cm="1">
        <f t="array" ref="J322">IFERROR(_xlfn.XLOOKUP(TRUE,N322:EH322&lt;&gt;"",N322:EH322,,,-1)," ")</f>
        <v>21.2</v>
      </c>
      <c r="K322" s="277">
        <v>20</v>
      </c>
      <c r="L322" s="49">
        <v>21.5</v>
      </c>
      <c r="M322" s="6" t="s">
        <v>28</v>
      </c>
      <c r="N322" s="62"/>
      <c r="O322" s="62"/>
      <c r="P322" s="62"/>
      <c r="Q322" s="62"/>
      <c r="R322" s="62">
        <v>13</v>
      </c>
      <c r="S322" s="62"/>
      <c r="T322" s="62"/>
      <c r="U322" s="64"/>
      <c r="V322" s="62"/>
      <c r="W322" s="62"/>
      <c r="X322" s="62"/>
      <c r="Y322" s="62"/>
      <c r="Z322" s="62"/>
      <c r="AA322" s="62">
        <v>14.6</v>
      </c>
      <c r="AB322" s="62"/>
      <c r="AC322" s="62"/>
      <c r="AD322" s="62"/>
      <c r="AE322" s="62"/>
      <c r="AF322" s="64"/>
      <c r="AG322" s="62"/>
      <c r="AH322" s="62"/>
      <c r="AI322" s="62">
        <v>16.5</v>
      </c>
      <c r="AJ322" s="62"/>
      <c r="AK322" s="62"/>
      <c r="AL322" s="62"/>
      <c r="AM322" s="62"/>
      <c r="AN322" s="62"/>
      <c r="AO322" s="62"/>
      <c r="AP322" s="62">
        <v>18.399999999999999</v>
      </c>
      <c r="AQ322" s="62"/>
      <c r="AR322" s="62"/>
      <c r="AS322" s="62"/>
      <c r="AT322" s="62"/>
      <c r="AU322" s="63"/>
      <c r="AV322" s="63">
        <v>20.399999999999999</v>
      </c>
      <c r="AW322" s="64">
        <v>21.2</v>
      </c>
      <c r="AX322" s="63"/>
      <c r="AY322" s="63"/>
      <c r="AZ322" s="63"/>
      <c r="BA322" s="63"/>
      <c r="BB322" s="63"/>
      <c r="BC322" s="63"/>
      <c r="BD322" s="63"/>
      <c r="BE322" s="159"/>
      <c r="BF322" s="63"/>
      <c r="BG322" s="63"/>
      <c r="BH322" s="62"/>
      <c r="BI322" s="63"/>
      <c r="BJ322" s="63"/>
      <c r="BK322" s="62"/>
      <c r="BL322" s="63"/>
      <c r="BM322" s="62"/>
      <c r="BN322" s="63"/>
      <c r="BO322" s="62"/>
      <c r="BP322" s="64"/>
      <c r="BQ322" s="63"/>
      <c r="BR322" s="63"/>
      <c r="BS322" s="62"/>
      <c r="BT322" s="63"/>
      <c r="BU322" s="63"/>
      <c r="BV322" s="63"/>
      <c r="BW322" s="63"/>
      <c r="BX322" s="63"/>
      <c r="BY322" s="63"/>
      <c r="BZ322" s="63"/>
      <c r="CA322" s="63"/>
      <c r="CB322" s="62"/>
      <c r="CC322" s="63"/>
      <c r="CD322" s="63"/>
      <c r="CE322" s="63"/>
      <c r="CF322" s="62"/>
      <c r="CG322" s="63"/>
      <c r="CH322" s="63"/>
      <c r="CI322" s="63"/>
      <c r="CJ322" s="62"/>
      <c r="CK322" s="63"/>
      <c r="CL322" s="63"/>
      <c r="CM322" s="63"/>
      <c r="CN322" s="63"/>
      <c r="CO322" s="63"/>
      <c r="CP322" s="63"/>
      <c r="CQ322" s="63"/>
      <c r="CR322" s="63"/>
      <c r="CS322" s="63"/>
      <c r="CT322" s="63"/>
      <c r="CU322" s="63"/>
      <c r="CV322" s="63"/>
      <c r="CW322" s="63"/>
      <c r="CX322" s="63"/>
      <c r="CY322" s="63"/>
      <c r="CZ322" s="63"/>
      <c r="DA322" s="63"/>
      <c r="DB322" s="63"/>
      <c r="DC322" s="63"/>
      <c r="DD322" s="63"/>
      <c r="DE322" s="63"/>
      <c r="DF322" s="63"/>
      <c r="DG322" s="63"/>
      <c r="DH322" s="63"/>
      <c r="DI322" s="63"/>
      <c r="DJ322" s="63"/>
      <c r="DK322" s="63"/>
      <c r="DL322" s="63"/>
      <c r="DM322" s="63"/>
      <c r="DN322" s="63"/>
      <c r="DO322" s="63"/>
      <c r="DP322" s="63"/>
      <c r="DQ322" s="158"/>
      <c r="DR322" s="158"/>
      <c r="DS322" s="158"/>
      <c r="DT322" s="158"/>
      <c r="DU322" s="158"/>
      <c r="DV322" s="158"/>
      <c r="DW322" s="158"/>
      <c r="DX322" s="158"/>
      <c r="DY322" s="158"/>
      <c r="DZ322" s="22"/>
      <c r="EA322" s="22"/>
      <c r="EB322" s="22"/>
      <c r="EC322" s="22"/>
      <c r="ED322" s="22"/>
      <c r="EE322" s="22"/>
      <c r="EF322" s="22"/>
      <c r="EG322" s="22"/>
    </row>
    <row r="323" spans="1:137" s="5" customFormat="1" ht="15.9" customHeight="1" outlineLevel="1" x14ac:dyDescent="0.3">
      <c r="A323" s="6" t="s">
        <v>23</v>
      </c>
      <c r="B323" s="6" t="s">
        <v>23</v>
      </c>
      <c r="C323" s="50" t="s">
        <v>24</v>
      </c>
      <c r="D323" s="147">
        <v>21.38</v>
      </c>
      <c r="E323" s="6" t="s">
        <v>593</v>
      </c>
      <c r="F323" s="6" t="s">
        <v>615</v>
      </c>
      <c r="G323" s="11" t="s">
        <v>616</v>
      </c>
      <c r="H323" s="11"/>
      <c r="I323" s="205" cm="1">
        <f t="array" ref="I323">IFERROR(LOOKUP(2,1/(N323:GR323&lt;&gt;""),N$4:DRA$4),"")</f>
        <v>45180</v>
      </c>
      <c r="J323" s="271" cm="1">
        <f t="array" ref="J323">IFERROR(_xlfn.XLOOKUP(TRUE,N323:EH323&lt;&gt;"",N323:EH323,,,-1)," ")</f>
        <v>22.2</v>
      </c>
      <c r="K323" s="49">
        <v>20</v>
      </c>
      <c r="L323" s="49"/>
      <c r="M323" s="6" t="s">
        <v>617</v>
      </c>
      <c r="N323" s="62"/>
      <c r="O323" s="62"/>
      <c r="P323" s="62"/>
      <c r="Q323" s="62"/>
      <c r="R323" s="62"/>
      <c r="S323" s="62"/>
      <c r="T323" s="62"/>
      <c r="U323" s="62"/>
      <c r="V323" s="62"/>
      <c r="W323" s="62"/>
      <c r="X323" s="62">
        <v>16</v>
      </c>
      <c r="Y323" s="62"/>
      <c r="Z323" s="62"/>
      <c r="AA323" s="62"/>
      <c r="AB323" s="62"/>
      <c r="AC323" s="62"/>
      <c r="AD323" s="62"/>
      <c r="AE323" s="62">
        <v>16.600000000000001</v>
      </c>
      <c r="AF323" s="62"/>
      <c r="AG323" s="62"/>
      <c r="AH323" s="62"/>
      <c r="AI323" s="62"/>
      <c r="AJ323" s="62"/>
      <c r="AK323" s="62"/>
      <c r="AL323" s="62"/>
      <c r="AM323" s="62">
        <v>17.7</v>
      </c>
      <c r="AN323" s="62"/>
      <c r="AO323" s="62"/>
      <c r="AP323" s="62"/>
      <c r="AQ323" s="62"/>
      <c r="AR323" s="62"/>
      <c r="AS323" s="62">
        <v>18.8</v>
      </c>
      <c r="AT323" s="62"/>
      <c r="AU323" s="63"/>
      <c r="AV323" s="63"/>
      <c r="AW323" s="62"/>
      <c r="AX323" s="63"/>
      <c r="AY323" s="63"/>
      <c r="AZ323" s="63">
        <v>20.5</v>
      </c>
      <c r="BA323" s="63"/>
      <c r="BB323" s="159">
        <v>21.3</v>
      </c>
      <c r="BC323" s="63"/>
      <c r="BD323" s="63"/>
      <c r="BE323" s="63"/>
      <c r="BF323" s="63"/>
      <c r="BG323" s="63">
        <v>22.2</v>
      </c>
      <c r="BH323" s="62"/>
      <c r="BI323" s="63"/>
      <c r="BJ323" s="63"/>
      <c r="BK323" s="62"/>
      <c r="BL323" s="63"/>
      <c r="BM323" s="62"/>
      <c r="BN323" s="63"/>
      <c r="BO323" s="62"/>
      <c r="BP323" s="64"/>
      <c r="BQ323" s="63"/>
      <c r="BR323" s="63"/>
      <c r="BS323" s="62"/>
      <c r="BT323" s="63"/>
      <c r="BU323" s="63"/>
      <c r="BV323" s="63"/>
      <c r="BW323" s="63"/>
      <c r="BX323" s="63"/>
      <c r="BY323" s="63"/>
      <c r="BZ323" s="63"/>
      <c r="CA323" s="63"/>
      <c r="CB323" s="62"/>
      <c r="CC323" s="63"/>
      <c r="CD323" s="63"/>
      <c r="CE323" s="63"/>
      <c r="CF323" s="62"/>
      <c r="CG323" s="63"/>
      <c r="CH323" s="63"/>
      <c r="CI323" s="63"/>
      <c r="CJ323" s="62"/>
      <c r="CK323" s="63"/>
      <c r="CL323" s="63"/>
      <c r="CM323" s="63"/>
      <c r="CN323" s="63"/>
      <c r="CO323" s="63"/>
      <c r="CP323" s="63"/>
      <c r="CQ323" s="63"/>
      <c r="CR323" s="63"/>
      <c r="CS323" s="63"/>
      <c r="CT323" s="63"/>
      <c r="CU323" s="63"/>
      <c r="CV323" s="63"/>
      <c r="CW323" s="63"/>
      <c r="CX323" s="63"/>
      <c r="CY323" s="63"/>
      <c r="CZ323" s="63"/>
      <c r="DA323" s="63"/>
      <c r="DB323" s="63"/>
      <c r="DC323" s="63"/>
      <c r="DD323" s="63"/>
      <c r="DE323" s="63"/>
      <c r="DF323" s="63"/>
      <c r="DG323" s="63"/>
      <c r="DH323" s="63"/>
      <c r="DI323" s="63"/>
      <c r="DJ323" s="63"/>
      <c r="DK323" s="63"/>
      <c r="DL323" s="63"/>
      <c r="DM323" s="63"/>
      <c r="DN323" s="63"/>
      <c r="DO323" s="63"/>
      <c r="DP323" s="63"/>
      <c r="DQ323" s="158"/>
      <c r="DR323" s="158"/>
      <c r="DS323" s="158"/>
      <c r="DT323" s="158"/>
      <c r="DU323" s="158"/>
      <c r="DV323" s="158"/>
      <c r="DW323" s="158"/>
      <c r="DX323" s="158"/>
      <c r="DY323" s="158"/>
      <c r="DZ323" s="59"/>
      <c r="EA323" s="59"/>
      <c r="EB323" s="59"/>
      <c r="EC323" s="59"/>
      <c r="ED323" s="59"/>
      <c r="EE323" s="59"/>
      <c r="EF323" s="59"/>
      <c r="EG323" s="59"/>
    </row>
    <row r="324" spans="1:137" s="10" customFormat="1" ht="15.9" customHeight="1" outlineLevel="1" x14ac:dyDescent="0.3">
      <c r="A324" s="7" t="s">
        <v>23</v>
      </c>
      <c r="B324" s="7"/>
      <c r="C324" s="8" t="s">
        <v>24</v>
      </c>
      <c r="D324" s="146">
        <v>7.06</v>
      </c>
      <c r="E324" s="7" t="s">
        <v>593</v>
      </c>
      <c r="F324" s="7" t="s">
        <v>618</v>
      </c>
      <c r="G324" s="9" t="s">
        <v>619</v>
      </c>
      <c r="H324" s="9"/>
      <c r="I324" s="204" cm="1">
        <f t="array" ref="I324">IFERROR(LOOKUP(2,1/(N324:GR324&lt;&gt;""),N$4:DRA$4),"")</f>
        <v>45171</v>
      </c>
      <c r="J324" s="169" cm="1">
        <f t="array" ref="J324">IFERROR(_xlfn.XLOOKUP(TRUE,N324:EH324&lt;&gt;"",N324:EH324,,,-1)," ")</f>
        <v>17</v>
      </c>
      <c r="K324" s="45">
        <v>20</v>
      </c>
      <c r="L324" s="45">
        <v>21</v>
      </c>
      <c r="M324" s="7" t="s">
        <v>28</v>
      </c>
      <c r="N324" s="57"/>
      <c r="O324" s="57"/>
      <c r="P324" s="57"/>
      <c r="Q324" s="57"/>
      <c r="R324" s="57"/>
      <c r="S324" s="57"/>
      <c r="T324" s="57"/>
      <c r="U324" s="57"/>
      <c r="V324" s="57"/>
      <c r="W324" s="57"/>
      <c r="X324" s="57">
        <v>12.8</v>
      </c>
      <c r="Y324" s="57"/>
      <c r="Z324" s="57"/>
      <c r="AA324" s="57"/>
      <c r="AB324" s="57"/>
      <c r="AC324" s="57"/>
      <c r="AD324" s="57"/>
      <c r="AE324" s="57">
        <v>13.2</v>
      </c>
      <c r="AF324" s="57"/>
      <c r="AG324" s="57"/>
      <c r="AH324" s="57"/>
      <c r="AI324" s="57"/>
      <c r="AJ324" s="57"/>
      <c r="AK324" s="57"/>
      <c r="AL324" s="57">
        <v>13.8</v>
      </c>
      <c r="AM324" s="57"/>
      <c r="AN324" s="57"/>
      <c r="AO324" s="57"/>
      <c r="AP324" s="57"/>
      <c r="AQ324" s="57"/>
      <c r="AR324" s="57"/>
      <c r="AS324" s="57">
        <v>14.8</v>
      </c>
      <c r="AT324" s="58"/>
      <c r="AU324" s="160"/>
      <c r="AV324" s="61"/>
      <c r="AW324" s="57"/>
      <c r="AX324" s="61">
        <v>17</v>
      </c>
      <c r="AY324" s="61"/>
      <c r="AZ324" s="61"/>
      <c r="BA324" s="57"/>
      <c r="BB324" s="61"/>
      <c r="BC324" s="61"/>
      <c r="BD324" s="61"/>
      <c r="BE324" s="61"/>
      <c r="BF324" s="61"/>
      <c r="BG324" s="61"/>
      <c r="BH324" s="57"/>
      <c r="BI324" s="61"/>
      <c r="BJ324" s="61"/>
      <c r="BK324" s="57"/>
      <c r="BL324" s="61"/>
      <c r="BM324" s="57"/>
      <c r="BN324" s="61"/>
      <c r="BO324" s="57"/>
      <c r="BP324" s="58"/>
      <c r="BQ324" s="61"/>
      <c r="BR324" s="61"/>
      <c r="BS324" s="57"/>
      <c r="BT324" s="61"/>
      <c r="BU324" s="61"/>
      <c r="BV324" s="61"/>
      <c r="BW324" s="61"/>
      <c r="BX324" s="61"/>
      <c r="BY324" s="61"/>
      <c r="BZ324" s="61"/>
      <c r="CA324" s="61"/>
      <c r="CB324" s="57"/>
      <c r="CC324" s="27"/>
      <c r="CD324" s="61"/>
      <c r="CE324" s="61"/>
      <c r="CF324" s="57"/>
      <c r="CG324" s="61"/>
      <c r="CH324" s="61"/>
      <c r="CI324" s="61"/>
      <c r="CJ324" s="57"/>
      <c r="CK324" s="61"/>
      <c r="CL324" s="61"/>
      <c r="CM324" s="61"/>
      <c r="CN324" s="61"/>
      <c r="CO324" s="61"/>
      <c r="CP324" s="61"/>
      <c r="CQ324" s="61"/>
      <c r="CR324" s="61"/>
      <c r="CS324" s="61"/>
      <c r="CT324" s="61"/>
      <c r="CU324" s="61"/>
      <c r="CV324" s="61"/>
      <c r="CW324" s="61"/>
      <c r="CX324" s="61"/>
      <c r="CY324" s="61"/>
      <c r="CZ324" s="61"/>
      <c r="DA324" s="61"/>
      <c r="DB324" s="61"/>
      <c r="DC324" s="61"/>
      <c r="DD324" s="61"/>
      <c r="DE324" s="61"/>
      <c r="DF324" s="61"/>
      <c r="DG324" s="61"/>
      <c r="DH324" s="61"/>
      <c r="DI324" s="61"/>
      <c r="DJ324" s="61"/>
      <c r="DK324" s="61"/>
      <c r="DL324" s="61"/>
      <c r="DM324" s="61"/>
      <c r="DN324" s="61"/>
      <c r="DO324" s="61"/>
      <c r="DP324" s="61"/>
      <c r="DQ324" s="156"/>
      <c r="DR324" s="156"/>
      <c r="DS324" s="156"/>
      <c r="DT324" s="156"/>
      <c r="DU324" s="156"/>
      <c r="DV324" s="156"/>
      <c r="DW324" s="156"/>
      <c r="DX324" s="156"/>
      <c r="DY324" s="156"/>
      <c r="DZ324" s="65"/>
      <c r="EA324" s="65"/>
      <c r="EB324" s="65"/>
      <c r="EC324" s="65"/>
      <c r="ED324" s="65"/>
      <c r="EE324" s="65"/>
      <c r="EF324" s="65"/>
      <c r="EG324" s="65"/>
    </row>
    <row r="325" spans="1:137" s="5" customFormat="1" ht="15.9" customHeight="1" outlineLevel="1" x14ac:dyDescent="0.3">
      <c r="A325" s="7" t="s">
        <v>22</v>
      </c>
      <c r="B325" s="7"/>
      <c r="C325" s="8" t="s">
        <v>31</v>
      </c>
      <c r="D325" s="146"/>
      <c r="E325" s="7" t="s">
        <v>593</v>
      </c>
      <c r="F325" s="7" t="s">
        <v>620</v>
      </c>
      <c r="G325" s="9" t="s">
        <v>621</v>
      </c>
      <c r="H325" s="9"/>
      <c r="I325" s="204" cm="1">
        <f t="array" ref="I325">IFERROR(LOOKUP(2,1/(N325:GR325&lt;&gt;""),N$4:DRA$4),"")</f>
        <v>45182</v>
      </c>
      <c r="J325" s="169" cm="1">
        <f t="array" ref="J325">IFERROR(_xlfn.XLOOKUP(TRUE,N325:EH325&lt;&gt;"",N325:EH325,,,-1)," ")</f>
        <v>20.399999999999999</v>
      </c>
      <c r="K325" s="45">
        <v>20</v>
      </c>
      <c r="L325" s="45"/>
      <c r="M325" s="7" t="s">
        <v>158</v>
      </c>
      <c r="N325" s="57"/>
      <c r="O325" s="57"/>
      <c r="P325" s="57"/>
      <c r="Q325" s="57"/>
      <c r="R325" s="57"/>
      <c r="S325" s="57"/>
      <c r="T325" s="57"/>
      <c r="U325" s="57"/>
      <c r="V325" s="57"/>
      <c r="W325" s="57"/>
      <c r="X325" s="57"/>
      <c r="Y325" s="57"/>
      <c r="Z325" s="57"/>
      <c r="AA325" s="57"/>
      <c r="AB325" s="57"/>
      <c r="AC325" s="57">
        <v>13</v>
      </c>
      <c r="AD325" s="57"/>
      <c r="AE325" s="57"/>
      <c r="AF325" s="57"/>
      <c r="AG325" s="57"/>
      <c r="AH325" s="57"/>
      <c r="AI325" s="57"/>
      <c r="AJ325" s="57"/>
      <c r="AK325" s="57"/>
      <c r="AL325" s="57"/>
      <c r="AM325" s="58"/>
      <c r="AN325" s="57"/>
      <c r="AO325" s="57"/>
      <c r="AP325" s="57"/>
      <c r="AQ325" s="57"/>
      <c r="AR325" s="57"/>
      <c r="AS325" s="57"/>
      <c r="AT325" s="57"/>
      <c r="AU325" s="61"/>
      <c r="AV325" s="61"/>
      <c r="AW325" s="57"/>
      <c r="AX325" s="61"/>
      <c r="AY325" s="61"/>
      <c r="AZ325" s="61"/>
      <c r="BA325" s="57"/>
      <c r="BB325" s="61"/>
      <c r="BC325" s="61"/>
      <c r="BD325" s="61"/>
      <c r="BE325" s="61"/>
      <c r="BF325" s="61"/>
      <c r="BG325" s="61"/>
      <c r="BH325" s="57"/>
      <c r="BI325" s="61">
        <v>20.399999999999999</v>
      </c>
      <c r="BJ325" s="61"/>
      <c r="BK325" s="57"/>
      <c r="BL325" s="61"/>
      <c r="BM325" s="57"/>
      <c r="BN325" s="61"/>
      <c r="BO325" s="57"/>
      <c r="BP325" s="58"/>
      <c r="BQ325" s="61"/>
      <c r="BR325" s="61"/>
      <c r="BS325" s="57"/>
      <c r="BT325" s="61"/>
      <c r="BU325" s="61"/>
      <c r="BV325" s="61"/>
      <c r="BW325" s="61"/>
      <c r="BX325" s="61"/>
      <c r="BY325" s="61"/>
      <c r="BZ325" s="61"/>
      <c r="CA325" s="61"/>
      <c r="CB325" s="57"/>
      <c r="CC325" s="61"/>
      <c r="CD325" s="61"/>
      <c r="CE325" s="61"/>
      <c r="CF325" s="57"/>
      <c r="CG325" s="61"/>
      <c r="CH325" s="61"/>
      <c r="CI325" s="61"/>
      <c r="CJ325" s="57"/>
      <c r="CK325" s="61"/>
      <c r="CL325" s="61"/>
      <c r="CM325" s="61"/>
      <c r="CN325" s="61"/>
      <c r="CO325" s="61"/>
      <c r="CP325" s="61"/>
      <c r="CQ325" s="61"/>
      <c r="CR325" s="61"/>
      <c r="CS325" s="61"/>
      <c r="CT325" s="61"/>
      <c r="CU325" s="61"/>
      <c r="CV325" s="61"/>
      <c r="CW325" s="61"/>
      <c r="CX325" s="61"/>
      <c r="CY325" s="61"/>
      <c r="CZ325" s="61"/>
      <c r="DA325" s="61"/>
      <c r="DB325" s="61"/>
      <c r="DC325" s="61"/>
      <c r="DD325" s="61"/>
      <c r="DE325" s="61"/>
      <c r="DF325" s="61"/>
      <c r="DG325" s="61"/>
      <c r="DH325" s="61"/>
      <c r="DI325" s="61"/>
      <c r="DJ325" s="61"/>
      <c r="DK325" s="61"/>
      <c r="DL325" s="61"/>
      <c r="DM325" s="61"/>
      <c r="DN325" s="61"/>
      <c r="DO325" s="61"/>
      <c r="DP325" s="61"/>
      <c r="DQ325" s="156"/>
      <c r="DR325" s="156"/>
      <c r="DS325" s="156"/>
      <c r="DT325" s="156"/>
      <c r="DU325" s="156"/>
      <c r="DV325" s="156"/>
      <c r="DW325" s="156"/>
      <c r="DX325" s="156"/>
      <c r="DY325" s="156"/>
      <c r="DZ325" s="59"/>
      <c r="EA325" s="59"/>
      <c r="EB325" s="59"/>
      <c r="EC325" s="59"/>
      <c r="ED325" s="59"/>
      <c r="EE325" s="59"/>
      <c r="EF325" s="59"/>
      <c r="EG325" s="59"/>
    </row>
    <row r="326" spans="1:137" s="5" customFormat="1" ht="15.9" customHeight="1" outlineLevel="1" x14ac:dyDescent="0.3">
      <c r="A326" s="6" t="s">
        <v>23</v>
      </c>
      <c r="B326" s="6"/>
      <c r="C326" s="50" t="s">
        <v>31</v>
      </c>
      <c r="D326" s="147">
        <v>10.58</v>
      </c>
      <c r="E326" s="6" t="s">
        <v>593</v>
      </c>
      <c r="F326" s="6" t="s">
        <v>622</v>
      </c>
      <c r="G326" s="11" t="s">
        <v>623</v>
      </c>
      <c r="H326" s="11"/>
      <c r="I326" s="205" cm="1">
        <f t="array" ref="I326">IFERROR(LOOKUP(2,1/(N326:GR326&lt;&gt;""),N$4:DRA$4),"")</f>
        <v>45195</v>
      </c>
      <c r="J326" s="170" cm="1">
        <f t="array" ref="J326">IFERROR(_xlfn.XLOOKUP(TRUE,N326:EH326&lt;&gt;"",N326:EH326,,,-1)," ")</f>
        <v>20.7</v>
      </c>
      <c r="K326" s="49">
        <v>20</v>
      </c>
      <c r="L326" s="49"/>
      <c r="M326" s="284" t="s">
        <v>158</v>
      </c>
      <c r="N326" s="62"/>
      <c r="O326" s="62"/>
      <c r="P326" s="62"/>
      <c r="Q326" s="62"/>
      <c r="R326" s="62"/>
      <c r="S326" s="62"/>
      <c r="T326" s="62"/>
      <c r="U326" s="62"/>
      <c r="V326" s="62"/>
      <c r="W326" s="62"/>
      <c r="X326" s="62"/>
      <c r="Y326" s="62"/>
      <c r="Z326" s="62"/>
      <c r="AA326" s="62"/>
      <c r="AB326" s="62"/>
      <c r="AC326" s="62">
        <v>13.2</v>
      </c>
      <c r="AD326" s="62"/>
      <c r="AE326" s="62"/>
      <c r="AF326" s="62"/>
      <c r="AG326" s="62"/>
      <c r="AH326" s="62"/>
      <c r="AI326" s="62"/>
      <c r="AJ326" s="62"/>
      <c r="AK326" s="62"/>
      <c r="AL326" s="62"/>
      <c r="AM326" s="64"/>
      <c r="AN326" s="62">
        <v>17</v>
      </c>
      <c r="AO326" s="62"/>
      <c r="AP326" s="62"/>
      <c r="AQ326" s="62"/>
      <c r="AR326" s="62"/>
      <c r="AS326" s="62"/>
      <c r="AT326" s="62"/>
      <c r="AU326" s="63"/>
      <c r="AV326" s="63"/>
      <c r="AW326" s="62"/>
      <c r="AX326" s="63"/>
      <c r="AY326" s="63"/>
      <c r="AZ326" s="63"/>
      <c r="BA326" s="62"/>
      <c r="BB326" s="63"/>
      <c r="BC326" s="63">
        <v>18</v>
      </c>
      <c r="BD326" s="63"/>
      <c r="BE326" s="63"/>
      <c r="BF326" s="63"/>
      <c r="BG326" s="63"/>
      <c r="BH326" s="62"/>
      <c r="BI326" s="63" t="s">
        <v>624</v>
      </c>
      <c r="BJ326" s="63"/>
      <c r="BK326" s="62"/>
      <c r="BL326" s="63"/>
      <c r="BM326" s="62"/>
      <c r="BN326" s="63"/>
      <c r="BO326" s="62">
        <v>20.7</v>
      </c>
      <c r="BP326" s="64"/>
      <c r="BQ326" s="63"/>
      <c r="BR326" s="63"/>
      <c r="BS326" s="62"/>
      <c r="BT326" s="63"/>
      <c r="BU326" s="63"/>
      <c r="BV326" s="63">
        <v>20.7</v>
      </c>
      <c r="BW326" s="63"/>
      <c r="BX326" s="63"/>
      <c r="BY326" s="63"/>
      <c r="BZ326" s="63"/>
      <c r="CA326" s="63"/>
      <c r="CB326" s="62"/>
      <c r="CC326" s="51"/>
      <c r="CD326" s="63"/>
      <c r="CE326" s="63"/>
      <c r="CF326" s="62"/>
      <c r="CG326" s="63"/>
      <c r="CH326" s="63"/>
      <c r="CI326" s="63"/>
      <c r="CJ326" s="62"/>
      <c r="CK326" s="63"/>
      <c r="CL326" s="63"/>
      <c r="CM326" s="63"/>
      <c r="CN326" s="63"/>
      <c r="CO326" s="63"/>
      <c r="CP326" s="63"/>
      <c r="CQ326" s="63"/>
      <c r="CR326" s="63"/>
      <c r="CS326" s="63"/>
      <c r="CT326" s="63"/>
      <c r="CU326" s="63"/>
      <c r="CV326" s="63"/>
      <c r="CW326" s="63"/>
      <c r="CX326" s="63"/>
      <c r="CY326" s="63"/>
      <c r="CZ326" s="63"/>
      <c r="DA326" s="63"/>
      <c r="DB326" s="63"/>
      <c r="DC326" s="63"/>
      <c r="DD326" s="63"/>
      <c r="DE326" s="63"/>
      <c r="DF326" s="63"/>
      <c r="DG326" s="63"/>
      <c r="DH326" s="63"/>
      <c r="DI326" s="63"/>
      <c r="DJ326" s="63"/>
      <c r="DK326" s="63"/>
      <c r="DL326" s="63"/>
      <c r="DM326" s="63"/>
      <c r="DN326" s="63"/>
      <c r="DO326" s="63"/>
      <c r="DP326" s="63"/>
      <c r="DQ326" s="158"/>
      <c r="DR326" s="158"/>
      <c r="DS326" s="158"/>
      <c r="DT326" s="158"/>
      <c r="DU326" s="158"/>
      <c r="DV326" s="158"/>
      <c r="DW326" s="158"/>
      <c r="DX326" s="158"/>
      <c r="DY326" s="158"/>
      <c r="DZ326" s="59"/>
      <c r="EA326" s="59"/>
      <c r="EB326" s="59"/>
      <c r="EC326" s="59"/>
      <c r="ED326" s="59"/>
      <c r="EE326" s="59"/>
      <c r="EF326" s="59"/>
      <c r="EG326" s="59"/>
    </row>
    <row r="327" spans="1:137" s="10" customFormat="1" ht="15.9" customHeight="1" outlineLevel="1" x14ac:dyDescent="0.3">
      <c r="A327" s="6" t="s">
        <v>22</v>
      </c>
      <c r="B327" s="6"/>
      <c r="C327" s="50" t="s">
        <v>31</v>
      </c>
      <c r="D327" s="147">
        <v>3.91</v>
      </c>
      <c r="E327" s="6" t="s">
        <v>593</v>
      </c>
      <c r="F327" s="6" t="s">
        <v>625</v>
      </c>
      <c r="G327" s="11" t="s">
        <v>626</v>
      </c>
      <c r="H327" s="11"/>
      <c r="I327" s="205" cm="1">
        <f t="array" ref="I327">IFERROR(LOOKUP(2,1/(N327:GR327&lt;&gt;""),N$4:DRA$4),"")</f>
        <v>45195</v>
      </c>
      <c r="J327" s="170" cm="1">
        <f t="array" ref="J327">IFERROR(_xlfn.XLOOKUP(TRUE,N327:EH327&lt;&gt;"",N327:EH327,,,-1)," ")</f>
        <v>21</v>
      </c>
      <c r="K327" s="49">
        <v>20</v>
      </c>
      <c r="L327" s="49"/>
      <c r="M327" s="284" t="s">
        <v>158</v>
      </c>
      <c r="N327" s="62"/>
      <c r="O327" s="62"/>
      <c r="P327" s="62"/>
      <c r="Q327" s="62"/>
      <c r="R327" s="62"/>
      <c r="S327" s="62"/>
      <c r="T327" s="62"/>
      <c r="U327" s="62"/>
      <c r="V327" s="62"/>
      <c r="W327" s="62"/>
      <c r="X327" s="62"/>
      <c r="Y327" s="62"/>
      <c r="Z327" s="62"/>
      <c r="AA327" s="62"/>
      <c r="AB327" s="62"/>
      <c r="AC327" s="62"/>
      <c r="AD327" s="62"/>
      <c r="AE327" s="62"/>
      <c r="AF327" s="62"/>
      <c r="AG327" s="62"/>
      <c r="AH327" s="62"/>
      <c r="AI327" s="62"/>
      <c r="AJ327" s="62"/>
      <c r="AK327" s="62"/>
      <c r="AL327" s="62"/>
      <c r="AM327" s="64"/>
      <c r="AN327" s="62"/>
      <c r="AO327" s="62"/>
      <c r="AP327" s="62"/>
      <c r="AQ327" s="62"/>
      <c r="AR327" s="62"/>
      <c r="AS327" s="62"/>
      <c r="AT327" s="62"/>
      <c r="AU327" s="63"/>
      <c r="AV327" s="63"/>
      <c r="AW327" s="62"/>
      <c r="AX327" s="63"/>
      <c r="AY327" s="63"/>
      <c r="AZ327" s="63"/>
      <c r="BA327" s="62"/>
      <c r="BB327" s="63"/>
      <c r="BC327" s="63">
        <v>16.8</v>
      </c>
      <c r="BD327" s="63"/>
      <c r="BE327" s="63"/>
      <c r="BF327" s="63"/>
      <c r="BG327" s="63"/>
      <c r="BH327" s="62"/>
      <c r="BI327" s="63"/>
      <c r="BJ327" s="63"/>
      <c r="BK327" s="62"/>
      <c r="BL327" s="63"/>
      <c r="BM327" s="62"/>
      <c r="BN327" s="63"/>
      <c r="BO327" s="62"/>
      <c r="BP327" s="64"/>
      <c r="BQ327" s="63"/>
      <c r="BR327" s="63"/>
      <c r="BS327" s="62"/>
      <c r="BT327" s="63"/>
      <c r="BU327" s="63"/>
      <c r="BV327" s="63">
        <v>21</v>
      </c>
      <c r="BW327" s="63"/>
      <c r="BX327" s="63"/>
      <c r="BY327" s="63"/>
      <c r="BZ327" s="63"/>
      <c r="CA327" s="63"/>
      <c r="CB327" s="62"/>
      <c r="CC327" s="63"/>
      <c r="CD327" s="63"/>
      <c r="CE327" s="63"/>
      <c r="CF327" s="62"/>
      <c r="CG327" s="63"/>
      <c r="CH327" s="63"/>
      <c r="CI327" s="63"/>
      <c r="CJ327" s="62"/>
      <c r="CK327" s="63"/>
      <c r="CL327" s="63"/>
      <c r="CM327" s="63"/>
      <c r="CN327" s="63"/>
      <c r="CO327" s="63"/>
      <c r="CP327" s="63"/>
      <c r="CQ327" s="63"/>
      <c r="CR327" s="63"/>
      <c r="CS327" s="63"/>
      <c r="CT327" s="63"/>
      <c r="CU327" s="63"/>
      <c r="CV327" s="63"/>
      <c r="CW327" s="63"/>
      <c r="CX327" s="63"/>
      <c r="CY327" s="63"/>
      <c r="CZ327" s="63"/>
      <c r="DA327" s="63"/>
      <c r="DB327" s="63"/>
      <c r="DC327" s="63"/>
      <c r="DD327" s="63"/>
      <c r="DE327" s="63"/>
      <c r="DF327" s="63"/>
      <c r="DG327" s="63"/>
      <c r="DH327" s="63"/>
      <c r="DI327" s="63"/>
      <c r="DJ327" s="63"/>
      <c r="DK327" s="63"/>
      <c r="DL327" s="63"/>
      <c r="DM327" s="63"/>
      <c r="DN327" s="63"/>
      <c r="DO327" s="63"/>
      <c r="DP327" s="63"/>
      <c r="DQ327" s="158"/>
      <c r="DR327" s="158"/>
      <c r="DS327" s="158"/>
      <c r="DT327" s="158"/>
      <c r="DU327" s="158"/>
      <c r="DV327" s="158"/>
      <c r="DW327" s="158"/>
      <c r="DX327" s="158"/>
      <c r="DY327" s="158"/>
      <c r="DZ327" s="65"/>
      <c r="EA327" s="65"/>
      <c r="EB327" s="65"/>
      <c r="EC327" s="65"/>
      <c r="ED327" s="65"/>
      <c r="EE327" s="65"/>
      <c r="EF327" s="65"/>
      <c r="EG327" s="65"/>
    </row>
    <row r="328" spans="1:137" s="97" customFormat="1" ht="15.9" customHeight="1" x14ac:dyDescent="0.3">
      <c r="A328" s="83"/>
      <c r="B328" s="83"/>
      <c r="C328" s="91"/>
      <c r="D328" s="82"/>
      <c r="E328" s="83" t="s">
        <v>627</v>
      </c>
      <c r="F328" s="83"/>
      <c r="G328" s="84" t="s">
        <v>628</v>
      </c>
      <c r="H328" s="84"/>
      <c r="I328" s="203"/>
      <c r="J328" s="167"/>
      <c r="K328" s="220"/>
      <c r="L328" s="92"/>
      <c r="M328" s="139" t="s">
        <v>21</v>
      </c>
      <c r="N328" s="94"/>
      <c r="O328" s="94"/>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94"/>
      <c r="AU328" s="101"/>
      <c r="AV328" s="101"/>
      <c r="AW328" s="94"/>
      <c r="AX328" s="101"/>
      <c r="AY328" s="101"/>
      <c r="AZ328" s="101"/>
      <c r="BA328" s="101"/>
      <c r="BB328" s="101"/>
      <c r="BC328" s="101"/>
      <c r="BD328" s="101"/>
      <c r="BE328" s="101"/>
      <c r="BF328" s="101"/>
      <c r="BG328" s="94"/>
      <c r="BH328" s="94"/>
      <c r="BI328" s="101"/>
      <c r="BJ328" s="101"/>
      <c r="BK328" s="94"/>
      <c r="BL328" s="94"/>
      <c r="BM328" s="94"/>
      <c r="BN328" s="101"/>
      <c r="BO328" s="94"/>
      <c r="BP328" s="95"/>
      <c r="BQ328" s="101"/>
      <c r="BR328" s="94"/>
      <c r="BS328" s="94"/>
      <c r="BT328" s="94"/>
      <c r="BU328" s="94"/>
      <c r="BV328" s="94"/>
      <c r="BW328" s="94"/>
      <c r="BX328" s="94"/>
      <c r="BY328" s="94"/>
      <c r="BZ328" s="94"/>
      <c r="CA328" s="94"/>
      <c r="CB328" s="94"/>
      <c r="CC328" s="93"/>
      <c r="CD328" s="101"/>
      <c r="CE328" s="101"/>
      <c r="CF328" s="94"/>
      <c r="CG328" s="94"/>
      <c r="CH328" s="101"/>
      <c r="CI328" s="94"/>
      <c r="CJ328" s="94"/>
      <c r="CK328" s="101"/>
      <c r="CL328" s="101"/>
      <c r="CM328" s="94"/>
      <c r="CN328" s="101"/>
      <c r="CO328" s="101"/>
      <c r="CP328" s="101"/>
      <c r="CQ328" s="101"/>
      <c r="CR328" s="101"/>
      <c r="CS328" s="101"/>
      <c r="CT328" s="101"/>
      <c r="CU328" s="101"/>
      <c r="CV328" s="101"/>
      <c r="CW328" s="101"/>
      <c r="CX328" s="101"/>
      <c r="CY328" s="101"/>
      <c r="CZ328" s="101"/>
      <c r="DA328" s="101"/>
      <c r="DB328" s="101"/>
      <c r="DC328" s="101"/>
      <c r="DD328" s="101"/>
      <c r="DE328" s="101"/>
      <c r="DF328" s="101"/>
      <c r="DG328" s="101"/>
      <c r="DH328" s="101"/>
      <c r="DI328" s="101"/>
      <c r="DJ328" s="101"/>
      <c r="DK328" s="101"/>
      <c r="DL328" s="101"/>
      <c r="DM328" s="101"/>
      <c r="DN328" s="101"/>
      <c r="DO328" s="101"/>
      <c r="DP328" s="101"/>
      <c r="DQ328" s="161"/>
      <c r="DR328" s="161"/>
      <c r="DS328" s="161"/>
      <c r="DT328" s="161"/>
      <c r="DU328" s="161"/>
      <c r="DV328" s="161"/>
      <c r="DW328" s="161"/>
      <c r="DX328" s="161"/>
      <c r="DY328" s="161"/>
      <c r="DZ328" s="59"/>
      <c r="EA328" s="59"/>
      <c r="EB328" s="59"/>
      <c r="EC328" s="59"/>
      <c r="ED328" s="59"/>
      <c r="EE328" s="59"/>
      <c r="EF328" s="59"/>
      <c r="EG328" s="59"/>
    </row>
    <row r="329" spans="1:137" s="1" customFormat="1" ht="15.9" customHeight="1" outlineLevel="1" x14ac:dyDescent="0.3">
      <c r="A329" s="2" t="s">
        <v>22</v>
      </c>
      <c r="B329" s="2"/>
      <c r="C329" s="4" t="s">
        <v>31</v>
      </c>
      <c r="D329" s="145">
        <v>9.5500000000000007</v>
      </c>
      <c r="E329" s="2" t="s">
        <v>627</v>
      </c>
      <c r="F329" s="2" t="s">
        <v>629</v>
      </c>
      <c r="G329" s="3" t="s">
        <v>630</v>
      </c>
      <c r="H329" s="3"/>
      <c r="I329" s="205" t="str" cm="1">
        <f t="array" ref="I329">IFERROR(LOOKUP(2,1/(N329:GR329&lt;&gt;""),N$4:DRA$4),"")</f>
        <v/>
      </c>
      <c r="J329" s="170" t="str" cm="1">
        <f t="array" ref="J329">IFERROR(_xlfn.XLOOKUP(TRUE,N329:EH329&lt;&gt;"",N329:EH329,,,-1)," ")</f>
        <v xml:space="preserve"> </v>
      </c>
      <c r="K329" s="46">
        <v>21</v>
      </c>
      <c r="L329" s="46"/>
      <c r="M329" s="2" t="s">
        <v>34</v>
      </c>
      <c r="N329" s="55"/>
      <c r="O329" s="55"/>
      <c r="P329" s="55"/>
      <c r="Q329" s="55"/>
      <c r="R329" s="55"/>
      <c r="S329" s="55"/>
      <c r="T329" s="55"/>
      <c r="U329" s="55"/>
      <c r="V329" s="55"/>
      <c r="W329" s="55"/>
      <c r="X329" s="55"/>
      <c r="Y329" s="55"/>
      <c r="Z329" s="55"/>
      <c r="AA329" s="55"/>
      <c r="AB329" s="55"/>
      <c r="AC329" s="55"/>
      <c r="AD329" s="55"/>
      <c r="AE329" s="55"/>
      <c r="AF329" s="55"/>
      <c r="AG329" s="55"/>
      <c r="AH329" s="55"/>
      <c r="AI329" s="55"/>
      <c r="AJ329" s="55"/>
      <c r="AK329" s="55"/>
      <c r="AL329" s="55"/>
      <c r="AM329" s="55"/>
      <c r="AN329" s="55"/>
      <c r="AO329" s="55"/>
      <c r="AP329" s="55"/>
      <c r="AQ329" s="55"/>
      <c r="AR329" s="55"/>
      <c r="AS329" s="55"/>
      <c r="AT329" s="55"/>
      <c r="AU329" s="153"/>
      <c r="AV329" s="153"/>
      <c r="AW329" s="55"/>
      <c r="AX329" s="153"/>
      <c r="AY329" s="153"/>
      <c r="AZ329" s="55"/>
      <c r="BA329" s="153"/>
      <c r="BB329" s="153"/>
      <c r="BC329" s="153"/>
      <c r="BD329" s="153"/>
      <c r="BE329" s="153"/>
      <c r="BF329" s="153"/>
      <c r="BG329" s="55"/>
      <c r="BH329" s="55"/>
      <c r="BI329" s="153"/>
      <c r="BJ329" s="153"/>
      <c r="BK329" s="55"/>
      <c r="BL329" s="55"/>
      <c r="BM329" s="55"/>
      <c r="BN329" s="153"/>
      <c r="BO329" s="55"/>
      <c r="BP329" s="56"/>
      <c r="BQ329" s="153"/>
      <c r="BR329" s="153"/>
      <c r="BS329" s="55"/>
      <c r="BT329" s="153"/>
      <c r="BU329" s="153"/>
      <c r="BV329" s="153"/>
      <c r="BW329" s="153"/>
      <c r="BX329" s="153"/>
      <c r="BY329" s="153"/>
      <c r="BZ329" s="153"/>
      <c r="CA329" s="153"/>
      <c r="CB329" s="55"/>
      <c r="CC329" s="401"/>
      <c r="CD329" s="153"/>
      <c r="CE329" s="153"/>
      <c r="CF329" s="55"/>
      <c r="CG329" s="153"/>
      <c r="CH329" s="153"/>
      <c r="CI329" s="153"/>
      <c r="CJ329" s="55"/>
      <c r="CK329" s="153"/>
      <c r="CL329" s="153"/>
      <c r="CM329" s="153"/>
      <c r="CN329" s="153"/>
      <c r="CO329" s="153"/>
      <c r="CP329" s="153"/>
      <c r="CQ329" s="153"/>
      <c r="CR329" s="153"/>
      <c r="CS329" s="153"/>
      <c r="CT329" s="153"/>
      <c r="CU329" s="153"/>
      <c r="CV329" s="153"/>
      <c r="CW329" s="153"/>
      <c r="CX329" s="153"/>
      <c r="CY329" s="153"/>
      <c r="CZ329" s="153"/>
      <c r="DA329" s="153"/>
      <c r="DB329" s="153"/>
      <c r="DC329" s="153"/>
      <c r="DD329" s="153"/>
      <c r="DE329" s="153"/>
      <c r="DF329" s="153"/>
      <c r="DG329" s="153"/>
      <c r="DH329" s="153"/>
      <c r="DI329" s="153"/>
      <c r="DJ329" s="153"/>
      <c r="DK329" s="153"/>
      <c r="DL329" s="153"/>
      <c r="DM329" s="153"/>
      <c r="DN329" s="153"/>
      <c r="DO329" s="153"/>
      <c r="DP329" s="153"/>
      <c r="DQ329" s="154"/>
      <c r="DR329" s="154"/>
      <c r="DS329" s="154"/>
      <c r="DT329" s="154"/>
      <c r="DU329" s="154"/>
      <c r="DV329" s="154"/>
      <c r="DW329" s="154"/>
      <c r="DX329" s="154"/>
      <c r="DY329" s="154"/>
      <c r="DZ329" s="65"/>
      <c r="EA329" s="65"/>
      <c r="EB329" s="65"/>
      <c r="EC329" s="65"/>
      <c r="ED329" s="65"/>
      <c r="EE329" s="65"/>
      <c r="EF329" s="65"/>
      <c r="EG329" s="65"/>
    </row>
    <row r="330" spans="1:137" s="97" customFormat="1" ht="15.9" customHeight="1" x14ac:dyDescent="0.3">
      <c r="A330" s="83"/>
      <c r="B330" s="83"/>
      <c r="C330" s="91"/>
      <c r="D330" s="82"/>
      <c r="E330" s="83" t="s">
        <v>631</v>
      </c>
      <c r="F330" s="83"/>
      <c r="G330" s="84" t="s">
        <v>632</v>
      </c>
      <c r="H330" s="84"/>
      <c r="I330" s="203"/>
      <c r="J330" s="167"/>
      <c r="K330" s="220"/>
      <c r="L330" s="92"/>
      <c r="M330" s="139" t="s">
        <v>21</v>
      </c>
      <c r="N330" s="94"/>
      <c r="O330" s="94"/>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94"/>
      <c r="AU330" s="101"/>
      <c r="AV330" s="101"/>
      <c r="AW330" s="94"/>
      <c r="AX330" s="101"/>
      <c r="AY330" s="101"/>
      <c r="AZ330" s="94"/>
      <c r="BA330" s="101"/>
      <c r="BB330" s="101"/>
      <c r="BC330" s="101"/>
      <c r="BD330" s="94"/>
      <c r="BE330" s="94"/>
      <c r="BF330" s="101"/>
      <c r="BG330" s="94"/>
      <c r="BH330" s="94"/>
      <c r="BI330" s="101"/>
      <c r="BJ330" s="101"/>
      <c r="BK330" s="94"/>
      <c r="BL330" s="94"/>
      <c r="BM330" s="94"/>
      <c r="BN330" s="101"/>
      <c r="BO330" s="94"/>
      <c r="BP330" s="95"/>
      <c r="BQ330" s="101"/>
      <c r="BR330" s="94"/>
      <c r="BS330" s="94"/>
      <c r="BT330" s="94"/>
      <c r="BU330" s="94"/>
      <c r="BV330" s="94"/>
      <c r="BW330" s="94"/>
      <c r="BX330" s="94"/>
      <c r="BY330" s="94"/>
      <c r="BZ330" s="94"/>
      <c r="CA330" s="94"/>
      <c r="CB330" s="94"/>
      <c r="CC330" s="93"/>
      <c r="CD330" s="101"/>
      <c r="CE330" s="101"/>
      <c r="CF330" s="94"/>
      <c r="CG330" s="94"/>
      <c r="CH330" s="101"/>
      <c r="CI330" s="94"/>
      <c r="CJ330" s="94"/>
      <c r="CK330" s="101"/>
      <c r="CL330" s="101"/>
      <c r="CM330" s="94"/>
      <c r="CN330" s="101"/>
      <c r="CO330" s="101"/>
      <c r="CP330" s="101"/>
      <c r="CQ330" s="101"/>
      <c r="CR330" s="101"/>
      <c r="CS330" s="101"/>
      <c r="CT330" s="101"/>
      <c r="CU330" s="101"/>
      <c r="CV330" s="101"/>
      <c r="CW330" s="101"/>
      <c r="CX330" s="101"/>
      <c r="CY330" s="101"/>
      <c r="CZ330" s="101"/>
      <c r="DA330" s="101"/>
      <c r="DB330" s="101"/>
      <c r="DC330" s="101"/>
      <c r="DD330" s="101"/>
      <c r="DE330" s="101"/>
      <c r="DF330" s="101"/>
      <c r="DG330" s="101"/>
      <c r="DH330" s="101"/>
      <c r="DI330" s="101"/>
      <c r="DJ330" s="101"/>
      <c r="DK330" s="101"/>
      <c r="DL330" s="101"/>
      <c r="DM330" s="101"/>
      <c r="DN330" s="101"/>
      <c r="DO330" s="101"/>
      <c r="DP330" s="101"/>
      <c r="DQ330" s="161"/>
      <c r="DR330" s="161"/>
      <c r="DS330" s="161"/>
      <c r="DT330" s="161"/>
      <c r="DU330" s="161"/>
      <c r="DV330" s="161"/>
      <c r="DW330" s="161"/>
      <c r="DX330" s="161"/>
      <c r="DY330" s="161"/>
      <c r="DZ330" s="65"/>
      <c r="EA330" s="65"/>
      <c r="EB330" s="65"/>
      <c r="EC330" s="65"/>
      <c r="ED330" s="65"/>
      <c r="EE330" s="65"/>
      <c r="EF330" s="65"/>
      <c r="EG330" s="65"/>
    </row>
    <row r="331" spans="1:137" s="1" customFormat="1" ht="15.9" customHeight="1" outlineLevel="1" x14ac:dyDescent="0.3">
      <c r="A331" s="2" t="s">
        <v>22</v>
      </c>
      <c r="B331" s="2" t="s">
        <v>23</v>
      </c>
      <c r="C331" s="4" t="s">
        <v>44</v>
      </c>
      <c r="D331" s="145">
        <v>60.52</v>
      </c>
      <c r="E331" s="2" t="s">
        <v>631</v>
      </c>
      <c r="F331" s="2" t="s">
        <v>633</v>
      </c>
      <c r="G331" s="3" t="s">
        <v>634</v>
      </c>
      <c r="H331" s="3"/>
      <c r="I331" s="205" cm="1">
        <f t="array" ref="I331">IFERROR(LOOKUP(2,1/(N331:GR331&lt;&gt;""),N$4:DRA$4),"")</f>
        <v>45190</v>
      </c>
      <c r="J331" s="170" cm="1">
        <f t="array" ref="J331">IFERROR(_xlfn.XLOOKUP(TRUE,N331:EH331&lt;&gt;"",N331:EH331,,,-1)," ")</f>
        <v>23</v>
      </c>
      <c r="K331" s="46">
        <v>24</v>
      </c>
      <c r="L331" s="46">
        <v>25</v>
      </c>
      <c r="M331" s="2" t="s">
        <v>28</v>
      </c>
      <c r="N331" s="55"/>
      <c r="O331" s="55"/>
      <c r="P331" s="55"/>
      <c r="Q331" s="55"/>
      <c r="R331" s="55"/>
      <c r="S331" s="55"/>
      <c r="T331" s="55"/>
      <c r="U331" s="55"/>
      <c r="V331" s="55"/>
      <c r="W331" s="55"/>
      <c r="X331" s="55"/>
      <c r="Y331" s="55"/>
      <c r="Z331" s="55"/>
      <c r="AA331" s="55"/>
      <c r="AB331" s="55"/>
      <c r="AC331" s="55"/>
      <c r="AD331" s="55"/>
      <c r="AE331" s="55"/>
      <c r="AF331" s="55"/>
      <c r="AG331" s="55"/>
      <c r="AH331" s="55"/>
      <c r="AI331" s="55"/>
      <c r="AJ331" s="55"/>
      <c r="AK331" s="55"/>
      <c r="AL331" s="55"/>
      <c r="AM331" s="55"/>
      <c r="AN331" s="55"/>
      <c r="AO331" s="55"/>
      <c r="AP331" s="55"/>
      <c r="AQ331" s="55"/>
      <c r="AR331" s="55"/>
      <c r="AS331" s="55"/>
      <c r="AT331" s="55"/>
      <c r="AU331" s="153"/>
      <c r="AV331" s="153"/>
      <c r="AW331" s="55"/>
      <c r="AX331" s="153"/>
      <c r="AY331" s="153"/>
      <c r="AZ331" s="55"/>
      <c r="BA331" s="153"/>
      <c r="BB331" s="153"/>
      <c r="BC331" s="153"/>
      <c r="BD331" s="21"/>
      <c r="BE331" s="55"/>
      <c r="BF331" s="153"/>
      <c r="BG331" s="55"/>
      <c r="BH331" s="55"/>
      <c r="BI331" s="153"/>
      <c r="BJ331" s="153"/>
      <c r="BK331" s="55"/>
      <c r="BL331" s="55"/>
      <c r="BM331" s="55"/>
      <c r="BN331" s="153"/>
      <c r="BO331" s="55"/>
      <c r="BP331" s="56"/>
      <c r="BQ331" s="318">
        <v>23</v>
      </c>
      <c r="BR331" s="55"/>
      <c r="BS331" s="55"/>
      <c r="BT331" s="55"/>
      <c r="BU331" s="55"/>
      <c r="BV331" s="55"/>
      <c r="BW331" s="55"/>
      <c r="BX331" s="55"/>
      <c r="BY331" s="55"/>
      <c r="BZ331" s="55"/>
      <c r="CA331" s="55"/>
      <c r="CB331" s="55"/>
      <c r="CC331" s="401"/>
      <c r="CD331" s="153"/>
      <c r="CE331" s="153"/>
      <c r="CF331" s="55"/>
      <c r="CG331" s="153"/>
      <c r="CH331" s="153"/>
      <c r="CI331" s="153"/>
      <c r="CJ331" s="55"/>
      <c r="CK331" s="153"/>
      <c r="CL331" s="153"/>
      <c r="CM331" s="153"/>
      <c r="CN331" s="153"/>
      <c r="CO331" s="153"/>
      <c r="CP331" s="153"/>
      <c r="CQ331" s="153"/>
      <c r="CR331" s="153"/>
      <c r="CS331" s="153"/>
      <c r="CT331" s="153"/>
      <c r="CU331" s="153"/>
      <c r="CV331" s="153"/>
      <c r="CW331" s="153"/>
      <c r="CX331" s="153"/>
      <c r="CY331" s="153"/>
      <c r="CZ331" s="153"/>
      <c r="DA331" s="153"/>
      <c r="DB331" s="153"/>
      <c r="DC331" s="153"/>
      <c r="DD331" s="153"/>
      <c r="DE331" s="153"/>
      <c r="DF331" s="153"/>
      <c r="DG331" s="153"/>
      <c r="DH331" s="153"/>
      <c r="DI331" s="153"/>
      <c r="DJ331" s="153"/>
      <c r="DK331" s="153"/>
      <c r="DL331" s="153"/>
      <c r="DM331" s="153"/>
      <c r="DN331" s="153"/>
      <c r="DO331" s="153"/>
      <c r="DP331" s="153"/>
      <c r="DQ331" s="154"/>
      <c r="DR331" s="154"/>
      <c r="DS331" s="154"/>
      <c r="DT331" s="154"/>
      <c r="DU331" s="154"/>
      <c r="DV331" s="154"/>
      <c r="DW331" s="154"/>
      <c r="DX331" s="154"/>
      <c r="DY331" s="154"/>
      <c r="DZ331" s="22"/>
      <c r="EA331" s="22"/>
      <c r="EB331" s="22"/>
      <c r="EC331" s="22"/>
      <c r="ED331" s="22"/>
      <c r="EE331" s="22"/>
      <c r="EF331" s="22"/>
      <c r="EG331" s="22"/>
    </row>
    <row r="332" spans="1:137" s="1" customFormat="1" ht="15.9" customHeight="1" outlineLevel="1" x14ac:dyDescent="0.3">
      <c r="A332" s="2" t="s">
        <v>22</v>
      </c>
      <c r="B332" s="2" t="s">
        <v>23</v>
      </c>
      <c r="C332" s="4" t="s">
        <v>44</v>
      </c>
      <c r="D332" s="145"/>
      <c r="E332" s="2" t="s">
        <v>631</v>
      </c>
      <c r="F332" s="2" t="s">
        <v>633</v>
      </c>
      <c r="G332" s="3" t="s">
        <v>635</v>
      </c>
      <c r="H332" s="3"/>
      <c r="I332" s="202" cm="1">
        <f t="array" ref="I332">IFERROR(LOOKUP(2,1/(N332:GR332&lt;&gt;""),N$4:DRA$4),"")</f>
        <v>45198</v>
      </c>
      <c r="J332" s="168" cm="1">
        <f t="array" ref="J332">IFERROR(_xlfn.XLOOKUP(TRUE,N332:EH332&lt;&gt;"",N332:EH332,,,-1)," ")</f>
        <v>24.3</v>
      </c>
      <c r="K332" s="46">
        <v>24</v>
      </c>
      <c r="L332" s="46">
        <v>25</v>
      </c>
      <c r="M332" s="2" t="s">
        <v>28</v>
      </c>
      <c r="N332" s="55"/>
      <c r="O332" s="55"/>
      <c r="P332" s="55"/>
      <c r="Q332" s="55"/>
      <c r="R332" s="55"/>
      <c r="S332" s="55"/>
      <c r="T332" s="55"/>
      <c r="U332" s="55"/>
      <c r="V332" s="55"/>
      <c r="W332" s="55"/>
      <c r="X332" s="55"/>
      <c r="Y332" s="55"/>
      <c r="Z332" s="55"/>
      <c r="AA332" s="55"/>
      <c r="AB332" s="55"/>
      <c r="AC332" s="55"/>
      <c r="AD332" s="55"/>
      <c r="AE332" s="55"/>
      <c r="AF332" s="55"/>
      <c r="AG332" s="55"/>
      <c r="AH332" s="55"/>
      <c r="AI332" s="55"/>
      <c r="AJ332" s="55"/>
      <c r="AK332" s="55"/>
      <c r="AL332" s="55"/>
      <c r="AM332" s="55"/>
      <c r="AN332" s="55"/>
      <c r="AO332" s="55"/>
      <c r="AP332" s="55"/>
      <c r="AQ332" s="55"/>
      <c r="AR332" s="55"/>
      <c r="AS332" s="55">
        <v>20.399999999999999</v>
      </c>
      <c r="AT332" s="55"/>
      <c r="AU332" s="153"/>
      <c r="AV332" s="153"/>
      <c r="AW332" s="55"/>
      <c r="AX332" s="153"/>
      <c r="AY332" s="153"/>
      <c r="AZ332" s="55"/>
      <c r="BA332" s="153"/>
      <c r="BB332" s="153"/>
      <c r="BC332" s="153"/>
      <c r="BD332" s="56"/>
      <c r="BE332" s="55"/>
      <c r="BF332" s="153"/>
      <c r="BG332" s="55"/>
      <c r="BH332" s="55"/>
      <c r="BI332" s="153"/>
      <c r="BJ332" s="153">
        <v>23.1</v>
      </c>
      <c r="BK332" s="55"/>
      <c r="BL332" s="55"/>
      <c r="BM332" s="55"/>
      <c r="BN332" s="153"/>
      <c r="BO332" s="55"/>
      <c r="BP332" s="56"/>
      <c r="BQ332" s="153"/>
      <c r="BR332" s="55"/>
      <c r="BS332" s="55"/>
      <c r="BT332" s="55"/>
      <c r="BU332" s="55"/>
      <c r="BV332" s="55"/>
      <c r="BW332" s="55"/>
      <c r="BX332" s="55"/>
      <c r="BY332" s="55">
        <v>24.3</v>
      </c>
      <c r="BZ332" s="55"/>
      <c r="CA332" s="55"/>
      <c r="CB332" s="55"/>
      <c r="CC332" s="401"/>
      <c r="CD332" s="153"/>
      <c r="CE332" s="153"/>
      <c r="CF332" s="55"/>
      <c r="CG332" s="153"/>
      <c r="CH332" s="153"/>
      <c r="CI332" s="153"/>
      <c r="CJ332" s="55"/>
      <c r="CK332" s="153"/>
      <c r="CL332" s="153"/>
      <c r="CM332" s="153"/>
      <c r="CN332" s="153"/>
      <c r="CO332" s="153"/>
      <c r="CP332" s="153"/>
      <c r="CQ332" s="153"/>
      <c r="CR332" s="153"/>
      <c r="CS332" s="153"/>
      <c r="CT332" s="153"/>
      <c r="CU332" s="153"/>
      <c r="CV332" s="153"/>
      <c r="CW332" s="153"/>
      <c r="CX332" s="153"/>
      <c r="CY332" s="153"/>
      <c r="CZ332" s="153"/>
      <c r="DA332" s="153"/>
      <c r="DB332" s="153"/>
      <c r="DC332" s="153"/>
      <c r="DD332" s="153"/>
      <c r="DE332" s="153"/>
      <c r="DF332" s="153"/>
      <c r="DG332" s="153"/>
      <c r="DH332" s="153"/>
      <c r="DI332" s="153"/>
      <c r="DJ332" s="153"/>
      <c r="DK332" s="153"/>
      <c r="DL332" s="153"/>
      <c r="DM332" s="153"/>
      <c r="DN332" s="153"/>
      <c r="DO332" s="153"/>
      <c r="DP332" s="153"/>
      <c r="DQ332" s="154"/>
      <c r="DR332" s="154"/>
      <c r="DS332" s="154"/>
      <c r="DT332" s="154"/>
      <c r="DU332" s="154"/>
      <c r="DV332" s="154"/>
      <c r="DW332" s="154"/>
      <c r="DX332" s="154"/>
      <c r="DY332" s="154"/>
      <c r="DZ332" s="59"/>
      <c r="EA332" s="59"/>
      <c r="EB332" s="59"/>
      <c r="EC332" s="59"/>
      <c r="ED332" s="59"/>
      <c r="EE332" s="59"/>
      <c r="EF332" s="59"/>
      <c r="EG332" s="59"/>
    </row>
    <row r="333" spans="1:137" s="1" customFormat="1" ht="15.9" customHeight="1" outlineLevel="1" x14ac:dyDescent="0.3">
      <c r="A333" s="2" t="s">
        <v>22</v>
      </c>
      <c r="B333" s="2" t="s">
        <v>23</v>
      </c>
      <c r="C333" s="4" t="s">
        <v>44</v>
      </c>
      <c r="D333" s="145"/>
      <c r="E333" s="2" t="s">
        <v>631</v>
      </c>
      <c r="F333" s="2" t="s">
        <v>633</v>
      </c>
      <c r="G333" s="3" t="s">
        <v>636</v>
      </c>
      <c r="H333" s="3"/>
      <c r="I333" s="202" t="str" cm="1">
        <f t="array" ref="I333">IFERROR(LOOKUP(2,1/(N333:GR333&lt;&gt;""),N$4:DRA$4),"")</f>
        <v/>
      </c>
      <c r="J333" s="168" t="str" cm="1">
        <f t="array" ref="J333">IFERROR(_xlfn.XLOOKUP(TRUE,N333:EH333&lt;&gt;"",N333:EH333,,,-1)," ")</f>
        <v xml:space="preserve"> </v>
      </c>
      <c r="K333" s="46">
        <v>24</v>
      </c>
      <c r="L333" s="46">
        <v>25</v>
      </c>
      <c r="M333" s="2" t="s">
        <v>28</v>
      </c>
      <c r="N333" s="55"/>
      <c r="O333" s="55"/>
      <c r="P333" s="55"/>
      <c r="Q333" s="55"/>
      <c r="R333" s="55"/>
      <c r="S333" s="55"/>
      <c r="T333" s="55"/>
      <c r="U333" s="55"/>
      <c r="V333" s="55"/>
      <c r="W333" s="55"/>
      <c r="X333" s="55"/>
      <c r="Y333" s="55"/>
      <c r="Z333" s="55"/>
      <c r="AA333" s="55"/>
      <c r="AB333" s="55"/>
      <c r="AC333" s="55"/>
      <c r="AD333" s="55"/>
      <c r="AE333" s="55"/>
      <c r="AF333" s="55"/>
      <c r="AG333" s="55"/>
      <c r="AH333" s="55"/>
      <c r="AI333" s="55"/>
      <c r="AJ333" s="55"/>
      <c r="AK333" s="55"/>
      <c r="AL333" s="55"/>
      <c r="AM333" s="55"/>
      <c r="AN333" s="55"/>
      <c r="AO333" s="55"/>
      <c r="AP333" s="55"/>
      <c r="AQ333" s="55"/>
      <c r="AR333" s="55"/>
      <c r="AS333" s="55"/>
      <c r="AT333" s="55"/>
      <c r="AU333" s="153"/>
      <c r="AV333" s="153"/>
      <c r="AW333" s="55"/>
      <c r="AX333" s="153"/>
      <c r="AY333" s="153"/>
      <c r="AZ333" s="55"/>
      <c r="BA333" s="153"/>
      <c r="BB333" s="153"/>
      <c r="BC333" s="153"/>
      <c r="BD333" s="55"/>
      <c r="BE333" s="55"/>
      <c r="BF333" s="153"/>
      <c r="BG333" s="55"/>
      <c r="BH333" s="55"/>
      <c r="BI333" s="153"/>
      <c r="BJ333" s="153"/>
      <c r="BK333" s="55"/>
      <c r="BL333" s="55"/>
      <c r="BM333" s="55"/>
      <c r="BN333" s="153"/>
      <c r="BO333" s="55"/>
      <c r="BP333" s="56"/>
      <c r="BQ333" s="153"/>
      <c r="BR333" s="55"/>
      <c r="BS333" s="55"/>
      <c r="BT333" s="55"/>
      <c r="BU333" s="55"/>
      <c r="BV333" s="55"/>
      <c r="BW333" s="55"/>
      <c r="BX333" s="55"/>
      <c r="BY333" s="55"/>
      <c r="BZ333" s="55"/>
      <c r="CA333" s="55"/>
      <c r="CB333" s="55"/>
      <c r="CC333" s="401"/>
      <c r="CD333" s="153"/>
      <c r="CE333" s="153"/>
      <c r="CF333" s="55"/>
      <c r="CG333" s="153"/>
      <c r="CH333" s="153"/>
      <c r="CI333" s="153"/>
      <c r="CJ333" s="55"/>
      <c r="CK333" s="153"/>
      <c r="CL333" s="153"/>
      <c r="CM333" s="153"/>
      <c r="CN333" s="153"/>
      <c r="CO333" s="153"/>
      <c r="CP333" s="153"/>
      <c r="CQ333" s="153"/>
      <c r="CR333" s="153"/>
      <c r="CS333" s="153"/>
      <c r="CT333" s="153"/>
      <c r="CU333" s="153"/>
      <c r="CV333" s="153"/>
      <c r="CW333" s="153"/>
      <c r="CX333" s="153"/>
      <c r="CY333" s="153"/>
      <c r="CZ333" s="153"/>
      <c r="DA333" s="153"/>
      <c r="DB333" s="153"/>
      <c r="DC333" s="153"/>
      <c r="DD333" s="153"/>
      <c r="DE333" s="153"/>
      <c r="DF333" s="153"/>
      <c r="DG333" s="153"/>
      <c r="DH333" s="153"/>
      <c r="DI333" s="153"/>
      <c r="DJ333" s="153"/>
      <c r="DK333" s="153"/>
      <c r="DL333" s="153"/>
      <c r="DM333" s="153"/>
      <c r="DN333" s="153"/>
      <c r="DO333" s="153"/>
      <c r="DP333" s="153"/>
      <c r="DQ333" s="154"/>
      <c r="DR333" s="154"/>
      <c r="DS333" s="154"/>
      <c r="DT333" s="154"/>
      <c r="DU333" s="154"/>
      <c r="DV333" s="154"/>
      <c r="DW333" s="154"/>
      <c r="DX333" s="154"/>
      <c r="DY333" s="154"/>
      <c r="DZ333" s="22"/>
      <c r="EA333" s="22"/>
      <c r="EB333" s="22"/>
      <c r="EC333" s="22"/>
      <c r="ED333" s="22"/>
      <c r="EE333" s="22"/>
      <c r="EF333" s="22"/>
      <c r="EG333" s="22"/>
    </row>
    <row r="334" spans="1:137" s="1" customFormat="1" ht="15.9" customHeight="1" outlineLevel="1" x14ac:dyDescent="0.3">
      <c r="A334" s="2" t="s">
        <v>22</v>
      </c>
      <c r="B334" s="2" t="s">
        <v>23</v>
      </c>
      <c r="C334" s="4" t="s">
        <v>44</v>
      </c>
      <c r="D334" s="145"/>
      <c r="E334" s="2" t="s">
        <v>631</v>
      </c>
      <c r="F334" s="2" t="s">
        <v>633</v>
      </c>
      <c r="G334" s="3" t="s">
        <v>637</v>
      </c>
      <c r="H334" s="3"/>
      <c r="I334" s="202" cm="1">
        <f t="array" ref="I334">IFERROR(LOOKUP(2,1/(N334:GR334&lt;&gt;""),N$4:DRA$4),"")</f>
        <v>45198</v>
      </c>
      <c r="J334" s="168" cm="1">
        <f t="array" ref="J334">IFERROR(_xlfn.XLOOKUP(TRUE,N334:EH334&lt;&gt;"",N334:EH334,,,-1)," ")</f>
        <v>24.2</v>
      </c>
      <c r="K334" s="46">
        <v>24</v>
      </c>
      <c r="L334" s="46">
        <v>25</v>
      </c>
      <c r="M334" s="2" t="s">
        <v>28</v>
      </c>
      <c r="N334" s="55"/>
      <c r="O334" s="55"/>
      <c r="P334" s="55"/>
      <c r="Q334" s="55"/>
      <c r="R334" s="55"/>
      <c r="S334" s="55"/>
      <c r="T334" s="55"/>
      <c r="U334" s="55"/>
      <c r="V334" s="55"/>
      <c r="W334" s="55"/>
      <c r="X334" s="55"/>
      <c r="Y334" s="55"/>
      <c r="Z334" s="55"/>
      <c r="AA334" s="55"/>
      <c r="AB334" s="55"/>
      <c r="AC334" s="55"/>
      <c r="AD334" s="55"/>
      <c r="AE334" s="55"/>
      <c r="AF334" s="55"/>
      <c r="AG334" s="55"/>
      <c r="AH334" s="55"/>
      <c r="AI334" s="55"/>
      <c r="AJ334" s="55"/>
      <c r="AK334" s="55"/>
      <c r="AL334" s="55"/>
      <c r="AM334" s="55"/>
      <c r="AN334" s="55"/>
      <c r="AO334" s="55"/>
      <c r="AP334" s="55"/>
      <c r="AQ334" s="55"/>
      <c r="AR334" s="55"/>
      <c r="AS334" s="55"/>
      <c r="AT334" s="55"/>
      <c r="AU334" s="153"/>
      <c r="AV334" s="153"/>
      <c r="AW334" s="55"/>
      <c r="AX334" s="153"/>
      <c r="AY334" s="153"/>
      <c r="AZ334" s="55"/>
      <c r="BA334" s="153"/>
      <c r="BB334" s="153"/>
      <c r="BC334" s="153"/>
      <c r="BD334" s="55"/>
      <c r="BE334" s="55"/>
      <c r="BF334" s="153"/>
      <c r="BG334" s="55"/>
      <c r="BH334" s="55"/>
      <c r="BI334" s="153"/>
      <c r="BJ334" s="153">
        <v>23.1</v>
      </c>
      <c r="BK334" s="55"/>
      <c r="BL334" s="55"/>
      <c r="BM334" s="55"/>
      <c r="BN334" s="153"/>
      <c r="BO334" s="55"/>
      <c r="BP334" s="56"/>
      <c r="BQ334" s="153"/>
      <c r="BR334" s="55"/>
      <c r="BS334" s="55"/>
      <c r="BT334" s="55"/>
      <c r="BU334" s="55"/>
      <c r="BV334" s="55"/>
      <c r="BW334" s="55"/>
      <c r="BX334" s="55"/>
      <c r="BY334" s="55">
        <v>24.2</v>
      </c>
      <c r="BZ334" s="55"/>
      <c r="CA334" s="55"/>
      <c r="CB334" s="55"/>
      <c r="CC334" s="401"/>
      <c r="CD334" s="153"/>
      <c r="CE334" s="153"/>
      <c r="CF334" s="55"/>
      <c r="CG334" s="153"/>
      <c r="CH334" s="153"/>
      <c r="CI334" s="153"/>
      <c r="CJ334" s="55"/>
      <c r="CK334" s="153"/>
      <c r="CL334" s="153"/>
      <c r="CM334" s="153"/>
      <c r="CN334" s="153"/>
      <c r="CO334" s="153"/>
      <c r="CP334" s="153"/>
      <c r="CQ334" s="153"/>
      <c r="CR334" s="153"/>
      <c r="CS334" s="153"/>
      <c r="CT334" s="153"/>
      <c r="CU334" s="153"/>
      <c r="CV334" s="153"/>
      <c r="CW334" s="153"/>
      <c r="CX334" s="153"/>
      <c r="CY334" s="153"/>
      <c r="CZ334" s="153"/>
      <c r="DA334" s="153"/>
      <c r="DB334" s="153"/>
      <c r="DC334" s="153"/>
      <c r="DD334" s="153"/>
      <c r="DE334" s="153"/>
      <c r="DF334" s="153"/>
      <c r="DG334" s="153"/>
      <c r="DH334" s="153"/>
      <c r="DI334" s="153"/>
      <c r="DJ334" s="153"/>
      <c r="DK334" s="153"/>
      <c r="DL334" s="153"/>
      <c r="DM334" s="153"/>
      <c r="DN334" s="153"/>
      <c r="DO334" s="153"/>
      <c r="DP334" s="153"/>
      <c r="DQ334" s="154"/>
      <c r="DR334" s="154"/>
      <c r="DS334" s="154"/>
      <c r="DT334" s="154"/>
      <c r="DU334" s="154"/>
      <c r="DV334" s="154"/>
      <c r="DW334" s="154"/>
      <c r="DX334" s="154"/>
      <c r="DY334" s="154"/>
      <c r="DZ334" s="22"/>
      <c r="EA334" s="22"/>
      <c r="EB334" s="22"/>
      <c r="EC334" s="22"/>
      <c r="ED334" s="22"/>
      <c r="EE334" s="22"/>
      <c r="EF334" s="22"/>
      <c r="EG334" s="22"/>
    </row>
    <row r="335" spans="1:137" s="10" customFormat="1" ht="15.9" customHeight="1" outlineLevel="1" x14ac:dyDescent="0.3">
      <c r="A335" s="7" t="s">
        <v>22</v>
      </c>
      <c r="B335" s="7"/>
      <c r="C335" s="8" t="s">
        <v>24</v>
      </c>
      <c r="D335" s="146">
        <v>19.71</v>
      </c>
      <c r="E335" s="7" t="s">
        <v>631</v>
      </c>
      <c r="F335" s="7" t="s">
        <v>638</v>
      </c>
      <c r="G335" s="9" t="s">
        <v>639</v>
      </c>
      <c r="H335" s="9"/>
      <c r="I335" s="204" cm="1">
        <f t="array" ref="I335">IFERROR(LOOKUP(2,1/(N335:GR335&lt;&gt;""),N$4:DRA$4),"")</f>
        <v>45195</v>
      </c>
      <c r="J335" s="169" t="str" cm="1">
        <f t="array" ref="J335">IFERROR(_xlfn.XLOOKUP(TRUE,N335:EH335&lt;&gt;"",N335:EH335,,,-1)," ")</f>
        <v>25.3*</v>
      </c>
      <c r="K335" s="45">
        <v>24</v>
      </c>
      <c r="L335" s="45">
        <v>25</v>
      </c>
      <c r="M335" s="7" t="s">
        <v>34</v>
      </c>
      <c r="N335" s="57"/>
      <c r="O335" s="57"/>
      <c r="P335" s="57"/>
      <c r="Q335" s="57"/>
      <c r="R335" s="57"/>
      <c r="S335" s="57"/>
      <c r="T335" s="57"/>
      <c r="U335" s="57"/>
      <c r="V335" s="57"/>
      <c r="W335" s="57"/>
      <c r="X335" s="57"/>
      <c r="Y335" s="57"/>
      <c r="Z335" s="57"/>
      <c r="AA335" s="57"/>
      <c r="AB335" s="57"/>
      <c r="AC335" s="57"/>
      <c r="AD335" s="57"/>
      <c r="AE335" s="57"/>
      <c r="AF335" s="57"/>
      <c r="AG335" s="57"/>
      <c r="AH335" s="57"/>
      <c r="AI335" s="57"/>
      <c r="AJ335" s="57"/>
      <c r="AK335" s="57"/>
      <c r="AL335" s="57"/>
      <c r="AM335" s="57"/>
      <c r="AN335" s="57"/>
      <c r="AO335" s="57"/>
      <c r="AP335" s="57"/>
      <c r="AQ335" s="57"/>
      <c r="AR335" s="57"/>
      <c r="AS335" s="57"/>
      <c r="AT335" s="57"/>
      <c r="AU335" s="61"/>
      <c r="AV335" s="61"/>
      <c r="AW335" s="57"/>
      <c r="AX335" s="61"/>
      <c r="AY335" s="61"/>
      <c r="AZ335" s="57"/>
      <c r="BA335" s="61">
        <v>20.3</v>
      </c>
      <c r="BB335" s="61"/>
      <c r="BC335" s="61"/>
      <c r="BD335" s="57"/>
      <c r="BE335" s="57"/>
      <c r="BF335" s="61"/>
      <c r="BG335" s="57"/>
      <c r="BH335" s="57"/>
      <c r="BI335" s="61"/>
      <c r="BJ335" s="61"/>
      <c r="BK335" s="57"/>
      <c r="BL335" s="57">
        <v>23.1</v>
      </c>
      <c r="BM335" s="57"/>
      <c r="BN335" s="61"/>
      <c r="BO335" s="57"/>
      <c r="BP335" s="58"/>
      <c r="BQ335" s="61"/>
      <c r="BR335" s="57"/>
      <c r="BS335" s="57"/>
      <c r="BT335" s="57"/>
      <c r="BU335" s="57"/>
      <c r="BV335" s="57" t="s">
        <v>383</v>
      </c>
      <c r="BW335" s="57"/>
      <c r="BX335" s="57"/>
      <c r="BY335" s="57"/>
      <c r="BZ335" s="57"/>
      <c r="CA335" s="57"/>
      <c r="CB335" s="57"/>
      <c r="CC335" s="61"/>
      <c r="CD335" s="61"/>
      <c r="CE335" s="61"/>
      <c r="CF335" s="57"/>
      <c r="CG335" s="61"/>
      <c r="CH335" s="61"/>
      <c r="CI335" s="61"/>
      <c r="CJ335" s="57"/>
      <c r="CK335" s="61"/>
      <c r="CL335" s="61"/>
      <c r="CM335" s="61"/>
      <c r="CN335" s="61"/>
      <c r="CO335" s="61"/>
      <c r="CP335" s="61"/>
      <c r="CQ335" s="61"/>
      <c r="CR335" s="61"/>
      <c r="CS335" s="61"/>
      <c r="CT335" s="61"/>
      <c r="CU335" s="61"/>
      <c r="CV335" s="61"/>
      <c r="CW335" s="61"/>
      <c r="CX335" s="61"/>
      <c r="CY335" s="61"/>
      <c r="CZ335" s="61"/>
      <c r="DA335" s="61"/>
      <c r="DB335" s="61"/>
      <c r="DC335" s="61"/>
      <c r="DD335" s="61"/>
      <c r="DE335" s="61"/>
      <c r="DF335" s="61"/>
      <c r="DG335" s="61"/>
      <c r="DH335" s="61"/>
      <c r="DI335" s="61"/>
      <c r="DJ335" s="61"/>
      <c r="DK335" s="61"/>
      <c r="DL335" s="61"/>
      <c r="DM335" s="61"/>
      <c r="DN335" s="61"/>
      <c r="DO335" s="61"/>
      <c r="DP335" s="61"/>
      <c r="DQ335" s="156"/>
      <c r="DR335" s="156"/>
      <c r="DS335" s="156"/>
      <c r="DT335" s="156"/>
      <c r="DU335" s="156"/>
      <c r="DV335" s="156"/>
      <c r="DW335" s="156"/>
      <c r="DX335" s="156"/>
      <c r="DY335" s="156"/>
      <c r="DZ335" s="22"/>
      <c r="EA335" s="22"/>
      <c r="EB335" s="22"/>
      <c r="EC335" s="22"/>
      <c r="ED335" s="22"/>
      <c r="EE335" s="22"/>
      <c r="EF335" s="22"/>
      <c r="EG335" s="22"/>
    </row>
    <row r="336" spans="1:137" s="97" customFormat="1" ht="15.9" customHeight="1" x14ac:dyDescent="0.3">
      <c r="A336" s="83"/>
      <c r="B336" s="83"/>
      <c r="C336" s="91"/>
      <c r="D336" s="82"/>
      <c r="E336" s="83" t="s">
        <v>640</v>
      </c>
      <c r="F336" s="83"/>
      <c r="G336" s="84" t="s">
        <v>641</v>
      </c>
      <c r="H336" s="84"/>
      <c r="I336" s="203"/>
      <c r="J336" s="167"/>
      <c r="K336" s="220"/>
      <c r="L336" s="92"/>
      <c r="M336" s="139" t="s">
        <v>21</v>
      </c>
      <c r="N336" s="94"/>
      <c r="O336" s="94"/>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94"/>
      <c r="AU336" s="101"/>
      <c r="AV336" s="101"/>
      <c r="AW336" s="94"/>
      <c r="AX336" s="101"/>
      <c r="AY336" s="101"/>
      <c r="AZ336" s="101"/>
      <c r="BA336" s="101"/>
      <c r="BB336" s="101"/>
      <c r="BC336" s="101"/>
      <c r="BD336" s="101"/>
      <c r="BE336" s="101"/>
      <c r="BF336" s="101"/>
      <c r="BG336" s="94"/>
      <c r="BH336" s="94"/>
      <c r="BI336" s="101"/>
      <c r="BJ336" s="101"/>
      <c r="BK336" s="94"/>
      <c r="BL336" s="94"/>
      <c r="BM336" s="94"/>
      <c r="BN336" s="101"/>
      <c r="BO336" s="94"/>
      <c r="BP336" s="95"/>
      <c r="BQ336" s="101"/>
      <c r="BR336" s="94"/>
      <c r="BS336" s="94"/>
      <c r="BT336" s="94"/>
      <c r="BU336" s="94"/>
      <c r="BV336" s="94"/>
      <c r="BW336" s="94"/>
      <c r="BX336" s="94"/>
      <c r="BY336" s="94"/>
      <c r="BZ336" s="94"/>
      <c r="CA336" s="94"/>
      <c r="CB336" s="94"/>
      <c r="CC336" s="93"/>
      <c r="CD336" s="101"/>
      <c r="CE336" s="101"/>
      <c r="CF336" s="94"/>
      <c r="CG336" s="94"/>
      <c r="CH336" s="101"/>
      <c r="CI336" s="94"/>
      <c r="CJ336" s="94"/>
      <c r="CK336" s="101"/>
      <c r="CL336" s="101"/>
      <c r="CM336" s="94"/>
      <c r="CN336" s="101"/>
      <c r="CO336" s="101"/>
      <c r="CP336" s="101"/>
      <c r="CQ336" s="101"/>
      <c r="CR336" s="101"/>
      <c r="CS336" s="101"/>
      <c r="CT336" s="101"/>
      <c r="CU336" s="101"/>
      <c r="CV336" s="101"/>
      <c r="CW336" s="101"/>
      <c r="CX336" s="101"/>
      <c r="CY336" s="101"/>
      <c r="CZ336" s="101"/>
      <c r="DA336" s="101"/>
      <c r="DB336" s="101"/>
      <c r="DC336" s="101"/>
      <c r="DD336" s="101"/>
      <c r="DE336" s="101"/>
      <c r="DF336" s="101"/>
      <c r="DG336" s="101"/>
      <c r="DH336" s="101"/>
      <c r="DI336" s="101"/>
      <c r="DJ336" s="101"/>
      <c r="DK336" s="101"/>
      <c r="DL336" s="101"/>
      <c r="DM336" s="101"/>
      <c r="DN336" s="101"/>
      <c r="DO336" s="101"/>
      <c r="DP336" s="101"/>
      <c r="DQ336" s="161"/>
      <c r="DR336" s="161"/>
      <c r="DS336" s="161"/>
      <c r="DT336" s="161"/>
      <c r="DU336" s="161"/>
      <c r="DV336" s="161"/>
      <c r="DW336" s="161"/>
      <c r="DX336" s="161"/>
      <c r="DY336" s="161"/>
      <c r="DZ336" s="59"/>
      <c r="EA336" s="59"/>
      <c r="EB336" s="59"/>
      <c r="EC336" s="59"/>
      <c r="ED336" s="59"/>
      <c r="EE336" s="59"/>
      <c r="EF336" s="59"/>
      <c r="EG336" s="59"/>
    </row>
    <row r="337" spans="1:137" s="1" customFormat="1" ht="15.9" customHeight="1" outlineLevel="1" x14ac:dyDescent="0.3">
      <c r="A337" s="2" t="s">
        <v>22</v>
      </c>
      <c r="B337" s="2" t="s">
        <v>23</v>
      </c>
      <c r="C337" s="4" t="s">
        <v>24</v>
      </c>
      <c r="D337" s="145">
        <v>8.34</v>
      </c>
      <c r="E337" s="2" t="s">
        <v>640</v>
      </c>
      <c r="F337" s="2" t="s">
        <v>642</v>
      </c>
      <c r="G337" s="3" t="s">
        <v>643</v>
      </c>
      <c r="H337" s="3"/>
      <c r="I337" s="202" cm="1">
        <f t="array" ref="I337">IFERROR(LOOKUP(2,1/(N337:GR337&lt;&gt;""),N$4:DRA$4),"")</f>
        <v>45209</v>
      </c>
      <c r="J337" s="271" cm="1">
        <f t="array" ref="J337">IFERROR(_xlfn.XLOOKUP(TRUE,N337:EH337&lt;&gt;"",N337:EH337,,,-1)," ")</f>
        <v>28.4</v>
      </c>
      <c r="K337" s="46">
        <v>26</v>
      </c>
      <c r="L337" s="46"/>
      <c r="M337" s="6" t="s">
        <v>28</v>
      </c>
      <c r="N337" s="55"/>
      <c r="O337" s="55"/>
      <c r="P337" s="55"/>
      <c r="Q337" s="55"/>
      <c r="R337" s="55"/>
      <c r="S337" s="55"/>
      <c r="T337" s="55"/>
      <c r="U337" s="55"/>
      <c r="V337" s="55"/>
      <c r="W337" s="55"/>
      <c r="X337" s="55"/>
      <c r="Y337" s="55"/>
      <c r="Z337" s="55"/>
      <c r="AA337" s="55"/>
      <c r="AB337" s="55"/>
      <c r="AC337" s="55"/>
      <c r="AD337" s="55"/>
      <c r="AE337" s="55"/>
      <c r="AF337" s="55"/>
      <c r="AG337" s="55"/>
      <c r="AH337" s="55"/>
      <c r="AI337" s="55"/>
      <c r="AJ337" s="55"/>
      <c r="AK337" s="55"/>
      <c r="AL337" s="55"/>
      <c r="AM337" s="55"/>
      <c r="AN337" s="55"/>
      <c r="AO337" s="55"/>
      <c r="AP337" s="55"/>
      <c r="AQ337" s="55"/>
      <c r="AR337" s="55"/>
      <c r="AS337" s="55"/>
      <c r="AT337" s="55"/>
      <c r="AU337" s="153"/>
      <c r="AV337" s="153"/>
      <c r="AW337" s="55"/>
      <c r="AX337" s="153"/>
      <c r="AY337" s="153"/>
      <c r="AZ337" s="153"/>
      <c r="BA337" s="153"/>
      <c r="BB337" s="153"/>
      <c r="BC337" s="153"/>
      <c r="BD337" s="153"/>
      <c r="BE337" s="153"/>
      <c r="BF337" s="153"/>
      <c r="BG337" s="55"/>
      <c r="BH337" s="55"/>
      <c r="BI337" s="153"/>
      <c r="BJ337" s="153"/>
      <c r="BK337" s="55"/>
      <c r="BL337" s="55"/>
      <c r="BM337" s="55"/>
      <c r="BN337" s="153"/>
      <c r="BO337" s="55"/>
      <c r="BP337" s="56"/>
      <c r="BQ337" s="153"/>
      <c r="BR337" s="55" t="s">
        <v>644</v>
      </c>
      <c r="BS337" s="55"/>
      <c r="BT337" s="56"/>
      <c r="BU337" s="56"/>
      <c r="BV337" s="55"/>
      <c r="BW337" s="55"/>
      <c r="BX337" s="55"/>
      <c r="BY337" s="55"/>
      <c r="BZ337" s="56"/>
      <c r="CA337" s="55"/>
      <c r="CB337" s="55">
        <v>26</v>
      </c>
      <c r="CC337" s="60">
        <v>25.4</v>
      </c>
      <c r="CD337" s="157"/>
      <c r="CE337" s="153"/>
      <c r="CF337" s="55"/>
      <c r="CG337" s="153"/>
      <c r="CH337" s="153"/>
      <c r="CI337" s="153"/>
      <c r="CJ337" s="56">
        <v>28.4</v>
      </c>
      <c r="CK337" s="153"/>
      <c r="CL337" s="153"/>
      <c r="CM337" s="153"/>
      <c r="CN337" s="157"/>
      <c r="CO337" s="153"/>
      <c r="CP337" s="153"/>
      <c r="CQ337" s="153"/>
      <c r="CR337" s="153"/>
      <c r="CS337" s="153"/>
      <c r="CT337" s="153"/>
      <c r="CU337" s="153"/>
      <c r="CV337" s="153"/>
      <c r="CW337" s="153"/>
      <c r="CX337" s="153"/>
      <c r="CY337" s="153"/>
      <c r="CZ337" s="153"/>
      <c r="DA337" s="153"/>
      <c r="DB337" s="153"/>
      <c r="DC337" s="153"/>
      <c r="DD337" s="153"/>
      <c r="DE337" s="153"/>
      <c r="DF337" s="153"/>
      <c r="DG337" s="153"/>
      <c r="DH337" s="153"/>
      <c r="DI337" s="153"/>
      <c r="DJ337" s="153"/>
      <c r="DK337" s="153"/>
      <c r="DL337" s="153"/>
      <c r="DM337" s="153"/>
      <c r="DN337" s="153"/>
      <c r="DO337" s="153"/>
      <c r="DP337" s="153"/>
      <c r="DQ337" s="154"/>
      <c r="DR337" s="154"/>
      <c r="DS337" s="154"/>
      <c r="DT337" s="154"/>
      <c r="DU337" s="154"/>
      <c r="DV337" s="154"/>
      <c r="DW337" s="154"/>
      <c r="DX337" s="154"/>
      <c r="DY337" s="154"/>
      <c r="DZ337" s="107"/>
      <c r="EA337" s="107"/>
      <c r="EB337" s="107"/>
      <c r="EC337" s="107"/>
      <c r="ED337" s="107"/>
      <c r="EE337" s="107"/>
      <c r="EF337" s="107"/>
      <c r="EG337" s="107"/>
    </row>
    <row r="338" spans="1:137" s="97" customFormat="1" ht="15.9" customHeight="1" x14ac:dyDescent="0.3">
      <c r="A338" s="83"/>
      <c r="B338" s="83"/>
      <c r="C338" s="91"/>
      <c r="D338" s="82"/>
      <c r="E338" s="83" t="s">
        <v>645</v>
      </c>
      <c r="F338" s="83"/>
      <c r="G338" s="84" t="s">
        <v>646</v>
      </c>
      <c r="H338" s="84"/>
      <c r="I338" s="203"/>
      <c r="J338" s="167"/>
      <c r="K338" s="220"/>
      <c r="L338" s="92"/>
      <c r="M338" s="139" t="s">
        <v>21</v>
      </c>
      <c r="N338" s="94"/>
      <c r="O338" s="94"/>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94"/>
      <c r="AU338" s="101"/>
      <c r="AV338" s="101"/>
      <c r="AW338" s="94"/>
      <c r="AX338" s="101"/>
      <c r="AY338" s="101"/>
      <c r="AZ338" s="101"/>
      <c r="BA338" s="94"/>
      <c r="BB338" s="94"/>
      <c r="BC338" s="101"/>
      <c r="BD338" s="94"/>
      <c r="BE338" s="101"/>
      <c r="BF338" s="101"/>
      <c r="BG338" s="94"/>
      <c r="BH338" s="94"/>
      <c r="BI338" s="101"/>
      <c r="BJ338" s="101"/>
      <c r="BK338" s="94"/>
      <c r="BL338" s="94"/>
      <c r="BM338" s="94"/>
      <c r="BN338" s="101"/>
      <c r="BO338" s="94"/>
      <c r="BP338" s="95"/>
      <c r="BQ338" s="101"/>
      <c r="BR338" s="94"/>
      <c r="BS338" s="94"/>
      <c r="BT338" s="94"/>
      <c r="BU338" s="94"/>
      <c r="BV338" s="94"/>
      <c r="BW338" s="94"/>
      <c r="BX338" s="94"/>
      <c r="BY338" s="94"/>
      <c r="BZ338" s="94"/>
      <c r="CA338" s="94"/>
      <c r="CB338" s="94"/>
      <c r="CC338" s="93"/>
      <c r="CD338" s="101"/>
      <c r="CE338" s="101"/>
      <c r="CF338" s="94"/>
      <c r="CG338" s="94"/>
      <c r="CH338" s="94"/>
      <c r="CI338" s="94"/>
      <c r="CJ338" s="94"/>
      <c r="CK338" s="101"/>
      <c r="CL338" s="101"/>
      <c r="CM338" s="94"/>
      <c r="CN338" s="94"/>
      <c r="CO338" s="94"/>
      <c r="CP338" s="94"/>
      <c r="CQ338" s="94"/>
      <c r="CR338" s="101"/>
      <c r="CS338" s="101"/>
      <c r="CT338" s="94"/>
      <c r="CU338" s="94"/>
      <c r="CV338" s="101"/>
      <c r="CW338" s="101"/>
      <c r="CX338" s="101"/>
      <c r="CY338" s="101"/>
      <c r="CZ338" s="101"/>
      <c r="DA338" s="101"/>
      <c r="DB338" s="101"/>
      <c r="DC338" s="101"/>
      <c r="DD338" s="101"/>
      <c r="DE338" s="101"/>
      <c r="DF338" s="101"/>
      <c r="DG338" s="101"/>
      <c r="DH338" s="101"/>
      <c r="DI338" s="101"/>
      <c r="DJ338" s="101"/>
      <c r="DK338" s="101"/>
      <c r="DL338" s="101"/>
      <c r="DM338" s="101"/>
      <c r="DN338" s="101"/>
      <c r="DO338" s="101"/>
      <c r="DP338" s="101"/>
      <c r="DQ338" s="161"/>
      <c r="DR338" s="161"/>
      <c r="DS338" s="161"/>
      <c r="DT338" s="161"/>
      <c r="DU338" s="161"/>
      <c r="DV338" s="161"/>
      <c r="DW338" s="161"/>
      <c r="DX338" s="161"/>
      <c r="DY338" s="161"/>
      <c r="DZ338" s="59"/>
      <c r="EA338" s="59"/>
      <c r="EB338" s="59"/>
      <c r="EC338" s="59"/>
      <c r="ED338" s="59"/>
      <c r="EE338" s="59"/>
      <c r="EF338" s="59"/>
      <c r="EG338" s="59"/>
    </row>
    <row r="339" spans="1:137" s="1" customFormat="1" ht="15.9" customHeight="1" outlineLevel="1" x14ac:dyDescent="0.3">
      <c r="A339" s="2" t="s">
        <v>22</v>
      </c>
      <c r="B339" s="2"/>
      <c r="C339" s="4" t="s">
        <v>44</v>
      </c>
      <c r="D339" s="145">
        <v>22.59</v>
      </c>
      <c r="E339" s="2" t="s">
        <v>645</v>
      </c>
      <c r="F339" s="2" t="s">
        <v>647</v>
      </c>
      <c r="G339" s="3" t="s">
        <v>648</v>
      </c>
      <c r="H339" s="3"/>
      <c r="I339" s="202" cm="1">
        <f t="array" ref="I339">IFERROR(LOOKUP(2,1/(N339:GR339&lt;&gt;""),N$4:DRA$4),"")</f>
        <v>45208</v>
      </c>
      <c r="J339" s="170" cm="1">
        <f t="array" ref="J339">IFERROR(_xlfn.XLOOKUP(TRUE,N339:EH339&lt;&gt;"",N339:EH339,,,-1)," ")</f>
        <v>24.9</v>
      </c>
      <c r="K339" s="46"/>
      <c r="L339" s="46"/>
      <c r="M339" s="2" t="s">
        <v>34</v>
      </c>
      <c r="N339" s="55"/>
      <c r="O339" s="55"/>
      <c r="P339" s="55"/>
      <c r="Q339" s="55"/>
      <c r="R339" s="55"/>
      <c r="S339" s="55"/>
      <c r="T339" s="55"/>
      <c r="U339" s="55"/>
      <c r="V339" s="55"/>
      <c r="W339" s="55"/>
      <c r="X339" s="55"/>
      <c r="Y339" s="55"/>
      <c r="Z339" s="55"/>
      <c r="AA339" s="55"/>
      <c r="AB339" s="55"/>
      <c r="AC339" s="55"/>
      <c r="AD339" s="55"/>
      <c r="AE339" s="55"/>
      <c r="AF339" s="55"/>
      <c r="AG339" s="55"/>
      <c r="AH339" s="55"/>
      <c r="AI339" s="55"/>
      <c r="AJ339" s="55"/>
      <c r="AK339" s="55"/>
      <c r="AL339" s="55"/>
      <c r="AM339" s="55"/>
      <c r="AN339" s="55"/>
      <c r="AO339" s="55"/>
      <c r="AP339" s="55"/>
      <c r="AQ339" s="55"/>
      <c r="AR339" s="55"/>
      <c r="AS339" s="55"/>
      <c r="AT339" s="55"/>
      <c r="AU339" s="153"/>
      <c r="AV339" s="153"/>
      <c r="AW339" s="55">
        <v>18.8</v>
      </c>
      <c r="AX339" s="153"/>
      <c r="AY339" s="153"/>
      <c r="AZ339" s="153"/>
      <c r="BA339" s="55"/>
      <c r="BB339" s="55"/>
      <c r="BC339" s="153"/>
      <c r="BD339" s="55"/>
      <c r="BE339" s="153"/>
      <c r="BF339" s="153"/>
      <c r="BG339" s="55"/>
      <c r="BH339" s="55">
        <v>21</v>
      </c>
      <c r="BI339" s="153"/>
      <c r="BJ339" s="153"/>
      <c r="BK339" s="55"/>
      <c r="BL339" s="55"/>
      <c r="BM339" s="55"/>
      <c r="BN339" s="318">
        <v>23</v>
      </c>
      <c r="BO339" s="55"/>
      <c r="BP339" s="56"/>
      <c r="BQ339" s="153"/>
      <c r="BR339" s="55"/>
      <c r="BS339" s="55">
        <v>22.3</v>
      </c>
      <c r="BT339" s="55"/>
      <c r="BU339" s="55"/>
      <c r="BV339" s="55"/>
      <c r="BW339" s="55"/>
      <c r="BX339" s="55"/>
      <c r="BY339" s="55"/>
      <c r="BZ339" s="55"/>
      <c r="CA339" s="55"/>
      <c r="CB339" s="55"/>
      <c r="CC339" s="401"/>
      <c r="CD339" s="153"/>
      <c r="CE339" s="153"/>
      <c r="CF339" s="55"/>
      <c r="CG339" s="55"/>
      <c r="CH339" s="55"/>
      <c r="CI339" s="55">
        <v>24.9</v>
      </c>
      <c r="CJ339" s="55"/>
      <c r="CK339" s="153"/>
      <c r="CL339" s="153"/>
      <c r="CM339" s="55"/>
      <c r="CN339" s="55"/>
      <c r="CO339" s="55"/>
      <c r="CP339" s="55"/>
      <c r="CQ339" s="153"/>
      <c r="CR339" s="153"/>
      <c r="CS339" s="153"/>
      <c r="CT339" s="153"/>
      <c r="CU339" s="153"/>
      <c r="CV339" s="153"/>
      <c r="CW339" s="153"/>
      <c r="CX339" s="153"/>
      <c r="CY339" s="153"/>
      <c r="CZ339" s="153"/>
      <c r="DA339" s="153"/>
      <c r="DB339" s="153"/>
      <c r="DC339" s="153"/>
      <c r="DD339" s="153"/>
      <c r="DE339" s="153"/>
      <c r="DF339" s="153"/>
      <c r="DG339" s="153"/>
      <c r="DH339" s="153"/>
      <c r="DI339" s="153"/>
      <c r="DJ339" s="153"/>
      <c r="DK339" s="153"/>
      <c r="DL339" s="153"/>
      <c r="DM339" s="153"/>
      <c r="DN339" s="153"/>
      <c r="DO339" s="153"/>
      <c r="DP339" s="153"/>
      <c r="DQ339" s="154"/>
      <c r="DR339" s="154"/>
      <c r="DS339" s="154"/>
      <c r="DT339" s="154"/>
      <c r="DU339" s="154"/>
      <c r="DV339" s="154"/>
      <c r="DW339" s="154"/>
      <c r="DX339" s="154"/>
      <c r="DY339" s="154"/>
      <c r="DZ339" s="65"/>
      <c r="EA339" s="65"/>
      <c r="EB339" s="65"/>
      <c r="EC339" s="65"/>
      <c r="ED339" s="65"/>
      <c r="EE339" s="65"/>
      <c r="EF339" s="65"/>
      <c r="EG339" s="65"/>
    </row>
    <row r="340" spans="1:137" s="10" customFormat="1" ht="15.9" customHeight="1" outlineLevel="1" x14ac:dyDescent="0.3">
      <c r="A340" s="7" t="s">
        <v>22</v>
      </c>
      <c r="B340" s="7" t="s">
        <v>23</v>
      </c>
      <c r="C340" s="8" t="s">
        <v>24</v>
      </c>
      <c r="D340" s="146">
        <v>24.87</v>
      </c>
      <c r="E340" s="7" t="s">
        <v>645</v>
      </c>
      <c r="F340" s="7" t="s">
        <v>649</v>
      </c>
      <c r="G340" s="9" t="s">
        <v>650</v>
      </c>
      <c r="H340" s="9"/>
      <c r="I340" s="204" cm="1">
        <f t="array" ref="I340">IFERROR(LOOKUP(2,1/(N340:GR340&lt;&gt;""),N$4:DRA$4),"")</f>
        <v>45213</v>
      </c>
      <c r="J340" s="169" cm="1">
        <f t="array" ref="J340">IFERROR(_xlfn.XLOOKUP(TRUE,N340:EH340&lt;&gt;"",N340:EH340,,,-1)," ")</f>
        <v>26.8</v>
      </c>
      <c r="K340" s="45">
        <v>24.5</v>
      </c>
      <c r="L340" s="45">
        <v>25</v>
      </c>
      <c r="M340" s="7" t="s">
        <v>28</v>
      </c>
      <c r="N340" s="57"/>
      <c r="O340" s="57"/>
      <c r="P340" s="57"/>
      <c r="Q340" s="57"/>
      <c r="R340" s="57"/>
      <c r="S340" s="57"/>
      <c r="T340" s="57"/>
      <c r="U340" s="57"/>
      <c r="V340" s="57"/>
      <c r="W340" s="57"/>
      <c r="X340" s="57"/>
      <c r="Y340" s="57"/>
      <c r="Z340" s="57"/>
      <c r="AA340" s="57"/>
      <c r="AB340" s="57"/>
      <c r="AC340" s="57"/>
      <c r="AD340" s="57"/>
      <c r="AE340" s="57"/>
      <c r="AF340" s="57"/>
      <c r="AG340" s="57"/>
      <c r="AH340" s="57"/>
      <c r="AI340" s="57"/>
      <c r="AJ340" s="57"/>
      <c r="AK340" s="57"/>
      <c r="AL340" s="57"/>
      <c r="AM340" s="57"/>
      <c r="AN340" s="57"/>
      <c r="AO340" s="57"/>
      <c r="AP340" s="57"/>
      <c r="AQ340" s="57">
        <v>18</v>
      </c>
      <c r="AR340" s="57"/>
      <c r="AS340" s="57"/>
      <c r="AT340" s="57"/>
      <c r="AU340" s="61"/>
      <c r="AV340" s="61"/>
      <c r="AW340" s="57"/>
      <c r="AX340" s="61"/>
      <c r="AY340" s="61"/>
      <c r="AZ340" s="61"/>
      <c r="BA340" s="57"/>
      <c r="BB340" s="57"/>
      <c r="BC340" s="61"/>
      <c r="BD340" s="57"/>
      <c r="BE340" s="61"/>
      <c r="BF340" s="61"/>
      <c r="BG340" s="57"/>
      <c r="BH340" s="57"/>
      <c r="BI340" s="61"/>
      <c r="BJ340" s="61">
        <v>22.5</v>
      </c>
      <c r="BK340" s="57"/>
      <c r="BL340" s="57"/>
      <c r="BM340" s="57"/>
      <c r="BN340" s="61"/>
      <c r="BO340" s="57"/>
      <c r="BP340" s="58"/>
      <c r="BQ340" s="61"/>
      <c r="BR340" s="57"/>
      <c r="BS340" s="57">
        <v>24.3</v>
      </c>
      <c r="BT340" s="57"/>
      <c r="BU340" s="58"/>
      <c r="BV340" s="57"/>
      <c r="BW340" s="57"/>
      <c r="BX340" s="57"/>
      <c r="BY340" s="57"/>
      <c r="BZ340" s="57"/>
      <c r="CA340" s="57"/>
      <c r="CB340" s="57"/>
      <c r="CC340" s="405">
        <v>25.3</v>
      </c>
      <c r="CD340" s="61"/>
      <c r="CE340" s="61"/>
      <c r="CF340" s="57"/>
      <c r="CG340" s="57"/>
      <c r="CH340" s="57"/>
      <c r="CI340" s="57"/>
      <c r="CJ340" s="58"/>
      <c r="CK340" s="61"/>
      <c r="CL340" s="61"/>
      <c r="CM340" s="57"/>
      <c r="CN340" s="57">
        <v>26.8</v>
      </c>
      <c r="CO340" s="61"/>
      <c r="CP340" s="61"/>
      <c r="CQ340" s="61"/>
      <c r="CR340" s="61"/>
      <c r="CS340" s="61"/>
      <c r="CT340" s="61"/>
      <c r="CU340" s="61"/>
      <c r="CV340" s="61"/>
      <c r="CW340" s="61"/>
      <c r="CX340" s="61"/>
      <c r="CY340" s="61"/>
      <c r="CZ340" s="61"/>
      <c r="DA340" s="61"/>
      <c r="DB340" s="61"/>
      <c r="DC340" s="61"/>
      <c r="DD340" s="61"/>
      <c r="DE340" s="61"/>
      <c r="DF340" s="61"/>
      <c r="DG340" s="61"/>
      <c r="DH340" s="61"/>
      <c r="DI340" s="61"/>
      <c r="DJ340" s="61"/>
      <c r="DK340" s="61"/>
      <c r="DL340" s="61"/>
      <c r="DM340" s="61"/>
      <c r="DN340" s="61"/>
      <c r="DO340" s="61"/>
      <c r="DP340" s="61"/>
      <c r="DQ340" s="156"/>
      <c r="DR340" s="156"/>
      <c r="DS340" s="156"/>
      <c r="DT340" s="156"/>
      <c r="DU340" s="156"/>
      <c r="DV340" s="156"/>
      <c r="DW340" s="156"/>
      <c r="DX340" s="156"/>
      <c r="DY340" s="156"/>
      <c r="DZ340" s="59"/>
      <c r="EA340" s="59"/>
      <c r="EB340" s="59"/>
      <c r="EC340" s="59"/>
      <c r="ED340" s="59"/>
      <c r="EE340" s="59"/>
      <c r="EF340" s="59"/>
      <c r="EG340" s="59"/>
    </row>
    <row r="341" spans="1:137" s="1" customFormat="1" ht="15.9" customHeight="1" outlineLevel="1" x14ac:dyDescent="0.3">
      <c r="A341" s="2" t="s">
        <v>22</v>
      </c>
      <c r="B341" s="2" t="s">
        <v>23</v>
      </c>
      <c r="C341" s="4" t="s">
        <v>24</v>
      </c>
      <c r="D341" s="145">
        <v>32.51</v>
      </c>
      <c r="E341" s="2" t="s">
        <v>645</v>
      </c>
      <c r="F341" s="2" t="s">
        <v>651</v>
      </c>
      <c r="G341" s="3" t="s">
        <v>652</v>
      </c>
      <c r="H341" s="3"/>
      <c r="I341" s="202" cm="1">
        <f t="array" ref="I341">IFERROR(LOOKUP(2,1/(N341:GR341&lt;&gt;""),N$4:DRA$4),"")</f>
        <v>45204</v>
      </c>
      <c r="J341" s="168" t="str" cm="1">
        <f t="array" ref="J341">IFERROR(_xlfn.XLOOKUP(TRUE,N341:EH341&lt;&gt;"",N341:EH341,,,-1)," ")</f>
        <v>24.2*</v>
      </c>
      <c r="K341" s="46">
        <v>24.5</v>
      </c>
      <c r="L341" s="46">
        <v>25</v>
      </c>
      <c r="M341" s="2" t="s">
        <v>653</v>
      </c>
      <c r="N341" s="55"/>
      <c r="O341" s="55"/>
      <c r="P341" s="55"/>
      <c r="Q341" s="55"/>
      <c r="R341" s="55"/>
      <c r="S341" s="55"/>
      <c r="T341" s="55"/>
      <c r="U341" s="55"/>
      <c r="V341" s="55"/>
      <c r="W341" s="55"/>
      <c r="X341" s="55"/>
      <c r="Y341" s="55"/>
      <c r="Z341" s="55"/>
      <c r="AA341" s="55"/>
      <c r="AB341" s="55"/>
      <c r="AC341" s="55"/>
      <c r="AD341" s="55"/>
      <c r="AE341" s="55"/>
      <c r="AF341" s="55"/>
      <c r="AG341" s="55"/>
      <c r="AH341" s="55"/>
      <c r="AI341" s="55"/>
      <c r="AJ341" s="55"/>
      <c r="AK341" s="55"/>
      <c r="AL341" s="55"/>
      <c r="AM341" s="55"/>
      <c r="AN341" s="55"/>
      <c r="AO341" s="55"/>
      <c r="AP341" s="55"/>
      <c r="AQ341" s="55"/>
      <c r="AR341" s="55"/>
      <c r="AS341" s="55"/>
      <c r="AT341" s="55"/>
      <c r="AU341" s="153"/>
      <c r="AV341" s="153"/>
      <c r="AW341" s="55"/>
      <c r="AX341" s="153"/>
      <c r="AY341" s="153"/>
      <c r="AZ341" s="153"/>
      <c r="BA341" s="55">
        <v>20.5</v>
      </c>
      <c r="BB341" s="55"/>
      <c r="BC341" s="153"/>
      <c r="BD341" s="55"/>
      <c r="BE341" s="153"/>
      <c r="BF341" s="153"/>
      <c r="BG341" s="55"/>
      <c r="BH341" s="55"/>
      <c r="BI341" s="153"/>
      <c r="BJ341" s="153"/>
      <c r="BK341" s="55"/>
      <c r="BL341" s="55"/>
      <c r="BM341" s="55"/>
      <c r="BN341" s="153"/>
      <c r="BO341" s="55"/>
      <c r="BP341" s="56"/>
      <c r="BQ341" s="153"/>
      <c r="BR341" s="55"/>
      <c r="BS341" s="55"/>
      <c r="BT341" s="55"/>
      <c r="BU341" s="55"/>
      <c r="BV341" s="55"/>
      <c r="BW341" s="55"/>
      <c r="BX341" s="171">
        <v>23.5</v>
      </c>
      <c r="BY341" s="55"/>
      <c r="BZ341" s="55"/>
      <c r="CA341" s="55"/>
      <c r="CB341" s="55"/>
      <c r="CC341" s="401"/>
      <c r="CD341" s="153"/>
      <c r="CE341" s="153" t="s">
        <v>654</v>
      </c>
      <c r="CF341" s="55"/>
      <c r="CG341" s="55"/>
      <c r="CH341" s="55"/>
      <c r="CI341" s="55"/>
      <c r="CJ341" s="55"/>
      <c r="CK341" s="153"/>
      <c r="CL341" s="153"/>
      <c r="CM341" s="55"/>
      <c r="CN341" s="55"/>
      <c r="CO341" s="55"/>
      <c r="CP341" s="55"/>
      <c r="CQ341" s="55"/>
      <c r="CR341" s="153"/>
      <c r="CS341" s="153"/>
      <c r="CT341" s="55"/>
      <c r="CU341" s="55"/>
      <c r="CV341" s="153"/>
      <c r="CW341" s="153"/>
      <c r="CX341" s="153"/>
      <c r="CY341" s="153"/>
      <c r="CZ341" s="153"/>
      <c r="DA341" s="153"/>
      <c r="DB341" s="153"/>
      <c r="DC341" s="153"/>
      <c r="DD341" s="153"/>
      <c r="DE341" s="153"/>
      <c r="DF341" s="153"/>
      <c r="DG341" s="153"/>
      <c r="DH341" s="153"/>
      <c r="DI341" s="153"/>
      <c r="DJ341" s="153"/>
      <c r="DK341" s="153"/>
      <c r="DL341" s="153"/>
      <c r="DM341" s="153"/>
      <c r="DN341" s="153"/>
      <c r="DO341" s="153"/>
      <c r="DP341" s="153"/>
      <c r="DQ341" s="154"/>
      <c r="DR341" s="154"/>
      <c r="DS341" s="154"/>
      <c r="DT341" s="154"/>
      <c r="DU341" s="154"/>
      <c r="DV341" s="154"/>
      <c r="DW341" s="154"/>
      <c r="DX341" s="154"/>
      <c r="DY341" s="154"/>
      <c r="DZ341" s="65"/>
      <c r="EA341" s="65"/>
      <c r="EB341" s="65"/>
      <c r="EC341" s="65"/>
      <c r="ED341" s="65"/>
      <c r="EE341" s="65"/>
      <c r="EF341" s="65"/>
      <c r="EG341" s="65"/>
    </row>
    <row r="342" spans="1:137" s="1" customFormat="1" ht="15.9" customHeight="1" outlineLevel="1" x14ac:dyDescent="0.3">
      <c r="A342" s="2" t="s">
        <v>22</v>
      </c>
      <c r="B342" s="2" t="s">
        <v>23</v>
      </c>
      <c r="C342" s="4" t="s">
        <v>24</v>
      </c>
      <c r="D342" s="145"/>
      <c r="E342" s="2" t="s">
        <v>645</v>
      </c>
      <c r="F342" s="2" t="s">
        <v>651</v>
      </c>
      <c r="G342" s="3" t="s">
        <v>655</v>
      </c>
      <c r="H342" s="3"/>
      <c r="I342" s="202" t="str" cm="1">
        <f t="array" ref="I342">IFERROR(LOOKUP(2,1/(N342:GR342&lt;&gt;""),N$4:DRA$4),"")</f>
        <v/>
      </c>
      <c r="J342" s="168" t="str" cm="1">
        <f t="array" ref="J342">IFERROR(_xlfn.XLOOKUP(TRUE,N342:EH342&lt;&gt;"",N342:EH342,,,-1)," ")</f>
        <v xml:space="preserve"> </v>
      </c>
      <c r="K342" s="46">
        <v>24.5</v>
      </c>
      <c r="L342" s="46">
        <v>25</v>
      </c>
      <c r="M342" s="2" t="s">
        <v>653</v>
      </c>
      <c r="N342" s="55"/>
      <c r="O342" s="55"/>
      <c r="P342" s="55"/>
      <c r="Q342" s="55"/>
      <c r="R342" s="55"/>
      <c r="S342" s="55"/>
      <c r="T342" s="55"/>
      <c r="U342" s="55"/>
      <c r="V342" s="55"/>
      <c r="W342" s="55"/>
      <c r="X342" s="55"/>
      <c r="Y342" s="55"/>
      <c r="Z342" s="55"/>
      <c r="AA342" s="55"/>
      <c r="AB342" s="55"/>
      <c r="AC342" s="55"/>
      <c r="AD342" s="55"/>
      <c r="AE342" s="55"/>
      <c r="AF342" s="55"/>
      <c r="AG342" s="55"/>
      <c r="AH342" s="55"/>
      <c r="AI342" s="55"/>
      <c r="AJ342" s="55"/>
      <c r="AK342" s="55"/>
      <c r="AL342" s="55"/>
      <c r="AM342" s="55"/>
      <c r="AN342" s="55"/>
      <c r="AO342" s="55"/>
      <c r="AP342" s="55"/>
      <c r="AQ342" s="55"/>
      <c r="AR342" s="55"/>
      <c r="AS342" s="55"/>
      <c r="AT342" s="55"/>
      <c r="AU342" s="153"/>
      <c r="AV342" s="153"/>
      <c r="AW342" s="55"/>
      <c r="AX342" s="153"/>
      <c r="AY342" s="153"/>
      <c r="AZ342" s="153"/>
      <c r="BA342" s="55"/>
      <c r="BB342" s="55"/>
      <c r="BC342" s="153"/>
      <c r="BD342" s="55"/>
      <c r="BE342" s="153"/>
      <c r="BF342" s="153"/>
      <c r="BG342" s="55"/>
      <c r="BH342" s="55"/>
      <c r="BI342" s="153"/>
      <c r="BJ342" s="153"/>
      <c r="BK342" s="55"/>
      <c r="BL342" s="55"/>
      <c r="BM342" s="55"/>
      <c r="BN342" s="153"/>
      <c r="BO342" s="55"/>
      <c r="BP342" s="56"/>
      <c r="BQ342" s="153"/>
      <c r="BR342" s="55"/>
      <c r="BS342" s="55"/>
      <c r="BT342" s="55"/>
      <c r="BU342" s="55"/>
      <c r="BV342" s="55"/>
      <c r="BW342" s="55"/>
      <c r="BX342" s="55"/>
      <c r="BY342" s="55"/>
      <c r="BZ342" s="55"/>
      <c r="CA342" s="55"/>
      <c r="CB342" s="55"/>
      <c r="CC342" s="401"/>
      <c r="CD342" s="153"/>
      <c r="CE342" s="153"/>
      <c r="CF342" s="55"/>
      <c r="CG342" s="55"/>
      <c r="CH342" s="55"/>
      <c r="CI342" s="55"/>
      <c r="CJ342" s="55"/>
      <c r="CK342" s="153"/>
      <c r="CL342" s="153"/>
      <c r="CM342" s="55"/>
      <c r="CN342" s="55"/>
      <c r="CO342" s="55"/>
      <c r="CP342" s="55"/>
      <c r="CQ342" s="55"/>
      <c r="CR342" s="153"/>
      <c r="CS342" s="153"/>
      <c r="CT342" s="55"/>
      <c r="CU342" s="55"/>
      <c r="CV342" s="153"/>
      <c r="CW342" s="153"/>
      <c r="CX342" s="153"/>
      <c r="CY342" s="153"/>
      <c r="CZ342" s="153"/>
      <c r="DA342" s="153"/>
      <c r="DB342" s="153"/>
      <c r="DC342" s="153"/>
      <c r="DD342" s="153"/>
      <c r="DE342" s="153"/>
      <c r="DF342" s="153"/>
      <c r="DG342" s="153"/>
      <c r="DH342" s="153"/>
      <c r="DI342" s="153"/>
      <c r="DJ342" s="153"/>
      <c r="DK342" s="153"/>
      <c r="DL342" s="153"/>
      <c r="DM342" s="153"/>
      <c r="DN342" s="153"/>
      <c r="DO342" s="153"/>
      <c r="DP342" s="153"/>
      <c r="DQ342" s="154"/>
      <c r="DR342" s="154"/>
      <c r="DS342" s="154"/>
      <c r="DT342" s="154"/>
      <c r="DU342" s="154"/>
      <c r="DV342" s="154"/>
      <c r="DW342" s="154"/>
      <c r="DX342" s="154"/>
      <c r="DY342" s="154"/>
      <c r="DZ342" s="65"/>
      <c r="EA342" s="65"/>
      <c r="EB342" s="65"/>
      <c r="EC342" s="65"/>
      <c r="ED342" s="65"/>
      <c r="EE342" s="65"/>
      <c r="EF342" s="65"/>
      <c r="EG342" s="65"/>
    </row>
    <row r="343" spans="1:137" s="1" customFormat="1" ht="15.9" customHeight="1" outlineLevel="1" x14ac:dyDescent="0.3">
      <c r="A343" s="2" t="s">
        <v>22</v>
      </c>
      <c r="B343" s="2" t="s">
        <v>23</v>
      </c>
      <c r="C343" s="4" t="s">
        <v>24</v>
      </c>
      <c r="D343" s="145"/>
      <c r="E343" s="2" t="s">
        <v>645</v>
      </c>
      <c r="F343" s="2" t="s">
        <v>651</v>
      </c>
      <c r="G343" s="3" t="s">
        <v>656</v>
      </c>
      <c r="H343" s="3"/>
      <c r="I343" s="202" t="str" cm="1">
        <f t="array" ref="I343">IFERROR(LOOKUP(2,1/(N343:GR343&lt;&gt;""),N$4:DRA$4),"")</f>
        <v/>
      </c>
      <c r="J343" s="168" t="str" cm="1">
        <f t="array" ref="J343">IFERROR(_xlfn.XLOOKUP(TRUE,N343:EH343&lt;&gt;"",N343:EH343,,,-1)," ")</f>
        <v xml:space="preserve"> </v>
      </c>
      <c r="K343" s="46">
        <v>24.5</v>
      </c>
      <c r="L343" s="46">
        <v>25</v>
      </c>
      <c r="M343" s="2" t="s">
        <v>653</v>
      </c>
      <c r="N343" s="55"/>
      <c r="O343" s="55"/>
      <c r="P343" s="55"/>
      <c r="Q343" s="55"/>
      <c r="R343" s="55"/>
      <c r="S343" s="55"/>
      <c r="T343" s="55"/>
      <c r="U343" s="55"/>
      <c r="V343" s="55"/>
      <c r="W343" s="55"/>
      <c r="X343" s="55"/>
      <c r="Y343" s="55"/>
      <c r="Z343" s="55"/>
      <c r="AA343" s="55"/>
      <c r="AB343" s="55"/>
      <c r="AC343" s="55"/>
      <c r="AD343" s="55"/>
      <c r="AE343" s="55"/>
      <c r="AF343" s="55"/>
      <c r="AG343" s="55"/>
      <c r="AH343" s="55"/>
      <c r="AI343" s="55"/>
      <c r="AJ343" s="55"/>
      <c r="AK343" s="55"/>
      <c r="AL343" s="55"/>
      <c r="AM343" s="55"/>
      <c r="AN343" s="55"/>
      <c r="AO343" s="55"/>
      <c r="AP343" s="55"/>
      <c r="AQ343" s="55"/>
      <c r="AR343" s="55"/>
      <c r="AS343" s="55"/>
      <c r="AT343" s="55"/>
      <c r="AU343" s="153"/>
      <c r="AV343" s="153"/>
      <c r="AW343" s="55"/>
      <c r="AX343" s="153"/>
      <c r="AY343" s="153"/>
      <c r="AZ343" s="153"/>
      <c r="BA343" s="55"/>
      <c r="BB343" s="55"/>
      <c r="BC343" s="153"/>
      <c r="BD343" s="55"/>
      <c r="BE343" s="153"/>
      <c r="BF343" s="153"/>
      <c r="BG343" s="55"/>
      <c r="BH343" s="55"/>
      <c r="BI343" s="153"/>
      <c r="BJ343" s="153"/>
      <c r="BK343" s="55"/>
      <c r="BL343" s="55"/>
      <c r="BM343" s="55"/>
      <c r="BN343" s="153"/>
      <c r="BO343" s="55"/>
      <c r="BP343" s="56"/>
      <c r="BQ343" s="153"/>
      <c r="BR343" s="55"/>
      <c r="BS343" s="55"/>
      <c r="BT343" s="55"/>
      <c r="BU343" s="55"/>
      <c r="BV343" s="55"/>
      <c r="BW343" s="55"/>
      <c r="BX343" s="55"/>
      <c r="BY343" s="55"/>
      <c r="BZ343" s="55"/>
      <c r="CA343" s="55"/>
      <c r="CB343" s="55"/>
      <c r="CC343" s="401"/>
      <c r="CD343" s="153"/>
      <c r="CE343" s="153"/>
      <c r="CF343" s="55"/>
      <c r="CG343" s="55"/>
      <c r="CH343" s="55"/>
      <c r="CI343" s="55"/>
      <c r="CJ343" s="55"/>
      <c r="CK343" s="153"/>
      <c r="CL343" s="153"/>
      <c r="CM343" s="55"/>
      <c r="CN343" s="55"/>
      <c r="CO343" s="55"/>
      <c r="CP343" s="55"/>
      <c r="CQ343" s="55"/>
      <c r="CR343" s="153"/>
      <c r="CS343" s="153"/>
      <c r="CT343" s="55"/>
      <c r="CU343" s="55"/>
      <c r="CV343" s="153"/>
      <c r="CW343" s="153"/>
      <c r="CX343" s="153"/>
      <c r="CY343" s="153"/>
      <c r="CZ343" s="153"/>
      <c r="DA343" s="153"/>
      <c r="DB343" s="153"/>
      <c r="DC343" s="153"/>
      <c r="DD343" s="153"/>
      <c r="DE343" s="153"/>
      <c r="DF343" s="153"/>
      <c r="DG343" s="153"/>
      <c r="DH343" s="153"/>
      <c r="DI343" s="153"/>
      <c r="DJ343" s="153"/>
      <c r="DK343" s="153"/>
      <c r="DL343" s="153"/>
      <c r="DM343" s="153"/>
      <c r="DN343" s="153"/>
      <c r="DO343" s="153"/>
      <c r="DP343" s="153"/>
      <c r="DQ343" s="154"/>
      <c r="DR343" s="154"/>
      <c r="DS343" s="154"/>
      <c r="DT343" s="154"/>
      <c r="DU343" s="154"/>
      <c r="DV343" s="154"/>
      <c r="DW343" s="154"/>
      <c r="DX343" s="154"/>
      <c r="DY343" s="154"/>
      <c r="DZ343" s="65"/>
      <c r="EA343" s="65"/>
      <c r="EB343" s="65"/>
      <c r="EC343" s="65"/>
      <c r="ED343" s="65"/>
      <c r="EE343" s="65"/>
      <c r="EF343" s="65"/>
      <c r="EG343" s="65"/>
    </row>
    <row r="344" spans="1:137" s="10" customFormat="1" ht="15.9" customHeight="1" outlineLevel="1" x14ac:dyDescent="0.3">
      <c r="A344" s="7" t="s">
        <v>22</v>
      </c>
      <c r="B344" s="7" t="s">
        <v>23</v>
      </c>
      <c r="C344" s="8" t="s">
        <v>24</v>
      </c>
      <c r="D344" s="146">
        <v>19.55</v>
      </c>
      <c r="E344" s="7" t="s">
        <v>645</v>
      </c>
      <c r="F344" s="7" t="s">
        <v>657</v>
      </c>
      <c r="G344" s="9" t="s">
        <v>658</v>
      </c>
      <c r="H344" s="9"/>
      <c r="I344" s="204" cm="1">
        <f t="array" ref="I344">IFERROR(LOOKUP(2,1/(N344:GR344&lt;&gt;""),N$4:DRA$4),"")</f>
        <v>45212</v>
      </c>
      <c r="J344" s="169" cm="1">
        <f t="array" ref="J344">IFERROR(_xlfn.XLOOKUP(TRUE,N344:EH344&lt;&gt;"",N344:EH344,,,-1)," ")</f>
        <v>25.4</v>
      </c>
      <c r="K344" s="45">
        <v>25</v>
      </c>
      <c r="L344" s="45"/>
      <c r="M344" s="7" t="s">
        <v>131</v>
      </c>
      <c r="N344" s="57"/>
      <c r="O344" s="57"/>
      <c r="P344" s="57"/>
      <c r="Q344" s="57"/>
      <c r="R344" s="57"/>
      <c r="S344" s="57"/>
      <c r="T344" s="57"/>
      <c r="U344" s="57"/>
      <c r="V344" s="57"/>
      <c r="W344" s="57"/>
      <c r="X344" s="57"/>
      <c r="Y344" s="57"/>
      <c r="Z344" s="57"/>
      <c r="AA344" s="57"/>
      <c r="AB344" s="57"/>
      <c r="AC344" s="57"/>
      <c r="AD344" s="57"/>
      <c r="AE344" s="57"/>
      <c r="AF344" s="57"/>
      <c r="AG344" s="57"/>
      <c r="AH344" s="57"/>
      <c r="AI344" s="57"/>
      <c r="AJ344" s="57"/>
      <c r="AK344" s="57"/>
      <c r="AL344" s="57"/>
      <c r="AM344" s="57"/>
      <c r="AN344" s="57"/>
      <c r="AO344" s="57"/>
      <c r="AP344" s="57"/>
      <c r="AQ344" s="57"/>
      <c r="AR344" s="57"/>
      <c r="AS344" s="57"/>
      <c r="AT344" s="57"/>
      <c r="AU344" s="61"/>
      <c r="AV344" s="61">
        <v>18.600000000000001</v>
      </c>
      <c r="AW344" s="57"/>
      <c r="AX344" s="61"/>
      <c r="AY344" s="61"/>
      <c r="AZ344" s="61"/>
      <c r="BA344" s="57"/>
      <c r="BB344" s="57"/>
      <c r="BC344" s="61"/>
      <c r="BD344" s="57"/>
      <c r="BE344" s="61"/>
      <c r="BF344" s="61"/>
      <c r="BG344" s="57"/>
      <c r="BH344" s="57">
        <v>22.7</v>
      </c>
      <c r="BI344" s="61"/>
      <c r="BJ344" s="61"/>
      <c r="BK344" s="57"/>
      <c r="BL344" s="57"/>
      <c r="BM344" s="57"/>
      <c r="BN344" s="61"/>
      <c r="BO344" s="57"/>
      <c r="BP344" s="58"/>
      <c r="BQ344" s="61"/>
      <c r="BR344" s="57"/>
      <c r="BS344" s="57">
        <v>25.3</v>
      </c>
      <c r="BT344" s="57"/>
      <c r="BU344" s="57"/>
      <c r="BV344" s="57"/>
      <c r="BW344" s="57"/>
      <c r="BX344" s="57"/>
      <c r="BY344" s="57"/>
      <c r="BZ344" s="57"/>
      <c r="CA344" s="57"/>
      <c r="CB344" s="57">
        <v>25.3</v>
      </c>
      <c r="CC344" s="27"/>
      <c r="CD344" s="61"/>
      <c r="CE344" s="61"/>
      <c r="CF344" s="57"/>
      <c r="CG344" s="57"/>
      <c r="CH344" s="57"/>
      <c r="CI344" s="57"/>
      <c r="CJ344" s="57"/>
      <c r="CK344" s="61"/>
      <c r="CL344" s="61"/>
      <c r="CM344" s="57">
        <v>25.4</v>
      </c>
      <c r="CN344" s="57"/>
      <c r="CO344" s="57"/>
      <c r="CP344" s="57"/>
      <c r="CQ344" s="57"/>
      <c r="CR344" s="61"/>
      <c r="CS344" s="61"/>
      <c r="CT344" s="57"/>
      <c r="CU344" s="57"/>
      <c r="CV344" s="61"/>
      <c r="CW344" s="61"/>
      <c r="CX344" s="61"/>
      <c r="CY344" s="61"/>
      <c r="CZ344" s="61"/>
      <c r="DA344" s="61"/>
      <c r="DB344" s="61"/>
      <c r="DC344" s="61"/>
      <c r="DD344" s="61"/>
      <c r="DE344" s="61"/>
      <c r="DF344" s="61"/>
      <c r="DG344" s="61"/>
      <c r="DH344" s="61"/>
      <c r="DI344" s="61"/>
      <c r="DJ344" s="61"/>
      <c r="DK344" s="61"/>
      <c r="DL344" s="61"/>
      <c r="DM344" s="61"/>
      <c r="DN344" s="61"/>
      <c r="DO344" s="61"/>
      <c r="DP344" s="61"/>
      <c r="DQ344" s="156"/>
      <c r="DR344" s="156"/>
      <c r="DS344" s="156"/>
      <c r="DT344" s="156"/>
      <c r="DU344" s="156"/>
      <c r="DV344" s="156"/>
      <c r="DW344" s="156"/>
      <c r="DX344" s="156"/>
      <c r="DY344" s="156"/>
      <c r="DZ344" s="22"/>
      <c r="EA344" s="22"/>
      <c r="EB344" s="22"/>
      <c r="EC344" s="22"/>
      <c r="ED344" s="22"/>
      <c r="EE344" s="22"/>
      <c r="EF344" s="22"/>
      <c r="EG344" s="22"/>
    </row>
    <row r="345" spans="1:137" s="97" customFormat="1" ht="15.9" customHeight="1" x14ac:dyDescent="0.3">
      <c r="A345" s="83"/>
      <c r="B345" s="83"/>
      <c r="C345" s="91"/>
      <c r="D345" s="82"/>
      <c r="E345" s="105" t="s">
        <v>659</v>
      </c>
      <c r="F345" s="105"/>
      <c r="G345" s="84" t="s">
        <v>660</v>
      </c>
      <c r="H345" s="84"/>
      <c r="I345" s="203"/>
      <c r="J345" s="167"/>
      <c r="K345" s="220"/>
      <c r="L345" s="92"/>
      <c r="M345" s="139" t="s">
        <v>21</v>
      </c>
      <c r="N345" s="94"/>
      <c r="O345" s="94"/>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94"/>
      <c r="AU345" s="101"/>
      <c r="AV345" s="101"/>
      <c r="AW345" s="94"/>
      <c r="AX345" s="101"/>
      <c r="AY345" s="101"/>
      <c r="AZ345" s="101"/>
      <c r="BA345" s="94"/>
      <c r="BB345" s="101"/>
      <c r="BC345" s="101"/>
      <c r="BD345" s="101"/>
      <c r="BE345" s="94"/>
      <c r="BF345" s="101"/>
      <c r="BG345" s="94"/>
      <c r="BH345" s="94"/>
      <c r="BI345" s="101"/>
      <c r="BJ345" s="101"/>
      <c r="BK345" s="94"/>
      <c r="BL345" s="94"/>
      <c r="BM345" s="94"/>
      <c r="BN345" s="101"/>
      <c r="BO345" s="94"/>
      <c r="BP345" s="95"/>
      <c r="BQ345" s="101"/>
      <c r="BR345" s="94"/>
      <c r="BS345" s="94"/>
      <c r="BT345" s="94"/>
      <c r="BU345" s="94"/>
      <c r="BV345" s="94"/>
      <c r="BW345" s="94"/>
      <c r="BX345" s="94"/>
      <c r="BY345" s="94"/>
      <c r="BZ345" s="94"/>
      <c r="CA345" s="94"/>
      <c r="CB345" s="94"/>
      <c r="CC345" s="93"/>
      <c r="CD345" s="101"/>
      <c r="CE345" s="101"/>
      <c r="CF345" s="94"/>
      <c r="CG345" s="94"/>
      <c r="CH345" s="101"/>
      <c r="CI345" s="94"/>
      <c r="CJ345" s="94"/>
      <c r="CK345" s="101"/>
      <c r="CL345" s="101"/>
      <c r="CM345" s="94"/>
      <c r="CN345" s="94"/>
      <c r="CO345" s="94"/>
      <c r="CP345" s="94"/>
      <c r="CQ345" s="94"/>
      <c r="CR345" s="101"/>
      <c r="CS345" s="101"/>
      <c r="CT345" s="94"/>
      <c r="CU345" s="94"/>
      <c r="CV345" s="101"/>
      <c r="CW345" s="101"/>
      <c r="CX345" s="101"/>
      <c r="CY345" s="101"/>
      <c r="CZ345" s="101"/>
      <c r="DA345" s="101"/>
      <c r="DB345" s="101"/>
      <c r="DC345" s="101"/>
      <c r="DD345" s="101"/>
      <c r="DE345" s="101"/>
      <c r="DF345" s="101"/>
      <c r="DG345" s="101"/>
      <c r="DH345" s="101"/>
      <c r="DI345" s="101"/>
      <c r="DJ345" s="101"/>
      <c r="DK345" s="101"/>
      <c r="DL345" s="101"/>
      <c r="DM345" s="101"/>
      <c r="DN345" s="101"/>
      <c r="DO345" s="101"/>
      <c r="DP345" s="101"/>
      <c r="DQ345" s="161"/>
      <c r="DR345" s="161"/>
      <c r="DS345" s="161"/>
      <c r="DT345" s="161"/>
      <c r="DU345" s="161"/>
      <c r="DV345" s="161"/>
      <c r="DW345" s="161"/>
      <c r="DX345" s="161"/>
      <c r="DY345" s="161"/>
      <c r="DZ345" s="65"/>
      <c r="EA345" s="65"/>
      <c r="EB345" s="65"/>
      <c r="EC345" s="65"/>
      <c r="ED345" s="65"/>
      <c r="EE345" s="65"/>
      <c r="EF345" s="65"/>
      <c r="EG345" s="65"/>
    </row>
    <row r="346" spans="1:137" s="1" customFormat="1" ht="15.9" customHeight="1" outlineLevel="1" x14ac:dyDescent="0.3">
      <c r="A346" s="2"/>
      <c r="B346" s="2" t="s">
        <v>23</v>
      </c>
      <c r="C346" s="4" t="s">
        <v>24</v>
      </c>
      <c r="D346" s="145">
        <v>20.260000000000002</v>
      </c>
      <c r="E346" s="2" t="s">
        <v>659</v>
      </c>
      <c r="F346" s="2" t="s">
        <v>661</v>
      </c>
      <c r="G346" s="3" t="s">
        <v>662</v>
      </c>
      <c r="H346" s="3"/>
      <c r="I346" s="202" cm="1">
        <f t="array" ref="I346">IFERROR(LOOKUP(2,1/(N346:GR346&lt;&gt;""),N$4:DRA$4),"")</f>
        <v>45171</v>
      </c>
      <c r="J346" s="170" cm="1">
        <f t="array" ref="J346">IFERROR(_xlfn.XLOOKUP(TRUE,N346:EH346&lt;&gt;"",N346:EH346,,,-1)," ")</f>
        <v>21.4</v>
      </c>
      <c r="K346" s="46">
        <v>24.5</v>
      </c>
      <c r="L346" s="46">
        <v>24.5</v>
      </c>
      <c r="M346" s="2" t="s">
        <v>151</v>
      </c>
      <c r="N346" s="55"/>
      <c r="O346" s="55"/>
      <c r="P346" s="55"/>
      <c r="Q346" s="55"/>
      <c r="R346" s="55"/>
      <c r="S346" s="55"/>
      <c r="T346" s="55"/>
      <c r="U346" s="55"/>
      <c r="V346" s="55"/>
      <c r="W346" s="55"/>
      <c r="X346" s="55"/>
      <c r="Y346" s="55"/>
      <c r="Z346" s="55"/>
      <c r="AA346" s="55"/>
      <c r="AB346" s="55"/>
      <c r="AC346" s="55"/>
      <c r="AD346" s="55"/>
      <c r="AE346" s="55"/>
      <c r="AF346" s="55"/>
      <c r="AG346" s="55"/>
      <c r="AH346" s="55"/>
      <c r="AI346" s="55"/>
      <c r="AJ346" s="55"/>
      <c r="AK346" s="55"/>
      <c r="AL346" s="55"/>
      <c r="AM346" s="55"/>
      <c r="AN346" s="55"/>
      <c r="AO346" s="55"/>
      <c r="AP346" s="55"/>
      <c r="AQ346" s="55"/>
      <c r="AR346" s="55"/>
      <c r="AS346" s="55"/>
      <c r="AT346" s="55"/>
      <c r="AU346" s="153"/>
      <c r="AV346" s="153"/>
      <c r="AW346" s="55"/>
      <c r="AX346" s="153">
        <v>21.4</v>
      </c>
      <c r="AY346" s="153"/>
      <c r="AZ346" s="153"/>
      <c r="BA346" s="55"/>
      <c r="BB346" s="153"/>
      <c r="BC346" s="153"/>
      <c r="BD346" s="153"/>
      <c r="BE346" s="55"/>
      <c r="BF346" s="153"/>
      <c r="BG346" s="55"/>
      <c r="BH346" s="55"/>
      <c r="BI346" s="153"/>
      <c r="BJ346" s="153"/>
      <c r="BK346" s="55"/>
      <c r="BL346" s="55"/>
      <c r="BM346" s="55"/>
      <c r="BN346" s="153"/>
      <c r="BO346" s="55"/>
      <c r="BP346" s="56"/>
      <c r="BQ346" s="153"/>
      <c r="BR346" s="55"/>
      <c r="BS346" s="55"/>
      <c r="BT346" s="55"/>
      <c r="BU346" s="55"/>
      <c r="BV346" s="55"/>
      <c r="BW346" s="55"/>
      <c r="BX346" s="55"/>
      <c r="BY346" s="55"/>
      <c r="BZ346" s="55"/>
      <c r="CA346" s="55"/>
      <c r="CB346" s="56"/>
      <c r="CC346" s="401"/>
      <c r="CD346" s="157"/>
      <c r="CE346" s="153"/>
      <c r="CF346" s="55"/>
      <c r="CG346" s="55"/>
      <c r="CH346" s="153"/>
      <c r="CI346" s="55"/>
      <c r="CJ346" s="55"/>
      <c r="CK346" s="157"/>
      <c r="CL346" s="153"/>
      <c r="CM346" s="55"/>
      <c r="CN346" s="55"/>
      <c r="CO346" s="55"/>
      <c r="CP346" s="55"/>
      <c r="CQ346" s="56"/>
      <c r="CR346" s="153"/>
      <c r="CS346" s="153"/>
      <c r="CT346" s="55"/>
      <c r="CU346" s="55"/>
      <c r="CV346" s="153"/>
      <c r="CW346" s="153"/>
      <c r="CX346" s="153"/>
      <c r="CY346" s="153"/>
      <c r="CZ346" s="153"/>
      <c r="DA346" s="153"/>
      <c r="DB346" s="153"/>
      <c r="DC346" s="153"/>
      <c r="DD346" s="153"/>
      <c r="DE346" s="153"/>
      <c r="DF346" s="153"/>
      <c r="DG346" s="153"/>
      <c r="DH346" s="153"/>
      <c r="DI346" s="153"/>
      <c r="DJ346" s="153"/>
      <c r="DK346" s="153"/>
      <c r="DL346" s="153"/>
      <c r="DM346" s="153"/>
      <c r="DN346" s="153"/>
      <c r="DO346" s="153"/>
      <c r="DP346" s="153"/>
      <c r="DQ346" s="154"/>
      <c r="DR346" s="154"/>
      <c r="DS346" s="154"/>
      <c r="DT346" s="154"/>
      <c r="DU346" s="154"/>
      <c r="DV346" s="154"/>
      <c r="DW346" s="154"/>
      <c r="DX346" s="154"/>
      <c r="DY346" s="154"/>
      <c r="DZ346" s="59"/>
      <c r="EA346" s="59"/>
      <c r="EB346" s="59"/>
      <c r="EC346" s="59"/>
      <c r="ED346" s="59"/>
      <c r="EE346" s="59"/>
      <c r="EF346" s="59"/>
      <c r="EG346" s="59"/>
    </row>
    <row r="347" spans="1:137" s="10" customFormat="1" ht="15.9" customHeight="1" outlineLevel="1" x14ac:dyDescent="0.3">
      <c r="A347" s="7"/>
      <c r="B347" s="7" t="s">
        <v>23</v>
      </c>
      <c r="C347" s="8" t="s">
        <v>24</v>
      </c>
      <c r="D347" s="146">
        <v>22.37</v>
      </c>
      <c r="E347" s="7" t="s">
        <v>659</v>
      </c>
      <c r="F347" s="7" t="s">
        <v>663</v>
      </c>
      <c r="G347" s="9" t="s">
        <v>664</v>
      </c>
      <c r="H347" s="9"/>
      <c r="I347" s="204" cm="1">
        <f t="array" ref="I347">IFERROR(LOOKUP(2,1/(N347:GR347&lt;&gt;""),N$4:DRA$4),"")</f>
        <v>45209</v>
      </c>
      <c r="J347" s="169" cm="1">
        <f t="array" ref="J347">IFERROR(_xlfn.XLOOKUP(TRUE,N347:EH347&lt;&gt;"",N347:EH347,,,-1)," ")</f>
        <v>24.7</v>
      </c>
      <c r="K347" s="45" t="s">
        <v>665</v>
      </c>
      <c r="L347" s="45">
        <v>23</v>
      </c>
      <c r="M347" s="7" t="s">
        <v>151</v>
      </c>
      <c r="N347" s="57"/>
      <c r="O347" s="57"/>
      <c r="P347" s="57"/>
      <c r="Q347" s="57"/>
      <c r="R347" s="57"/>
      <c r="S347" s="57"/>
      <c r="T347" s="57"/>
      <c r="U347" s="57"/>
      <c r="V347" s="57"/>
      <c r="W347" s="57"/>
      <c r="X347" s="57"/>
      <c r="Y347" s="57"/>
      <c r="Z347" s="57"/>
      <c r="AA347" s="57"/>
      <c r="AB347" s="57"/>
      <c r="AC347" s="57"/>
      <c r="AD347" s="57"/>
      <c r="AE347" s="57"/>
      <c r="AF347" s="57"/>
      <c r="AG347" s="57"/>
      <c r="AH347" s="57"/>
      <c r="AI347" s="57"/>
      <c r="AJ347" s="57"/>
      <c r="AK347" s="57"/>
      <c r="AL347" s="57"/>
      <c r="AM347" s="57"/>
      <c r="AN347" s="57"/>
      <c r="AO347" s="57"/>
      <c r="AP347" s="57"/>
      <c r="AQ347" s="57"/>
      <c r="AR347" s="57"/>
      <c r="AS347" s="57"/>
      <c r="AT347" s="57"/>
      <c r="AU347" s="61"/>
      <c r="AV347" s="61"/>
      <c r="AW347" s="57"/>
      <c r="AX347" s="61"/>
      <c r="AY347" s="61"/>
      <c r="AZ347" s="61"/>
      <c r="BA347" s="57"/>
      <c r="BB347" s="61"/>
      <c r="BC347" s="61"/>
      <c r="BD347" s="57"/>
      <c r="BE347" s="57"/>
      <c r="BF347" s="61"/>
      <c r="BG347" s="57"/>
      <c r="BH347" s="57">
        <v>21.4</v>
      </c>
      <c r="BI347" s="61"/>
      <c r="BJ347" s="61"/>
      <c r="BK347" s="57"/>
      <c r="BL347" s="57"/>
      <c r="BM347" s="57"/>
      <c r="BN347" s="61"/>
      <c r="BO347" s="57"/>
      <c r="BP347" s="58"/>
      <c r="BQ347" s="61">
        <v>22.2</v>
      </c>
      <c r="BR347" s="57"/>
      <c r="BS347" s="57"/>
      <c r="BT347" s="57"/>
      <c r="BU347" s="57"/>
      <c r="BV347" s="57"/>
      <c r="BW347" s="57"/>
      <c r="BX347" s="57"/>
      <c r="BY347" s="57"/>
      <c r="BZ347" s="57">
        <v>23</v>
      </c>
      <c r="CA347" s="58"/>
      <c r="CB347" s="57"/>
      <c r="CC347" s="27"/>
      <c r="CD347" s="160"/>
      <c r="CE347" s="61"/>
      <c r="CF347" s="57"/>
      <c r="CG347" s="57"/>
      <c r="CH347" s="61"/>
      <c r="CI347" s="57"/>
      <c r="CJ347" s="57">
        <v>24.7</v>
      </c>
      <c r="CK347" s="160"/>
      <c r="CL347" s="61"/>
      <c r="CM347" s="57"/>
      <c r="CN347" s="57"/>
      <c r="CO347" s="57"/>
      <c r="CP347" s="57"/>
      <c r="CQ347" s="57"/>
      <c r="CR347" s="61"/>
      <c r="CS347" s="61"/>
      <c r="CT347" s="57"/>
      <c r="CU347" s="57"/>
      <c r="CV347" s="61"/>
      <c r="CW347" s="61"/>
      <c r="CX347" s="61"/>
      <c r="CY347" s="61"/>
      <c r="CZ347" s="61"/>
      <c r="DA347" s="61"/>
      <c r="DB347" s="61"/>
      <c r="DC347" s="61"/>
      <c r="DD347" s="61"/>
      <c r="DE347" s="61"/>
      <c r="DF347" s="61"/>
      <c r="DG347" s="61"/>
      <c r="DH347" s="61"/>
      <c r="DI347" s="61"/>
      <c r="DJ347" s="61"/>
      <c r="DK347" s="61"/>
      <c r="DL347" s="61"/>
      <c r="DM347" s="61"/>
      <c r="DN347" s="61"/>
      <c r="DO347" s="61"/>
      <c r="DP347" s="61"/>
      <c r="DQ347" s="156"/>
      <c r="DR347" s="156"/>
      <c r="DS347" s="156"/>
      <c r="DT347" s="156"/>
      <c r="DU347" s="156"/>
      <c r="DV347" s="156"/>
      <c r="DW347" s="156"/>
      <c r="DX347" s="156"/>
      <c r="DY347" s="156"/>
      <c r="DZ347" s="59"/>
      <c r="EA347" s="59"/>
      <c r="EB347" s="59"/>
      <c r="EC347" s="59"/>
      <c r="ED347" s="59"/>
      <c r="EE347" s="59"/>
      <c r="EF347" s="59"/>
      <c r="EG347" s="59"/>
    </row>
    <row r="348" spans="1:137" s="10" customFormat="1" ht="15.9" customHeight="1" outlineLevel="1" x14ac:dyDescent="0.3">
      <c r="A348" s="7"/>
      <c r="B348" s="7"/>
      <c r="C348" s="8" t="s">
        <v>24</v>
      </c>
      <c r="D348" s="146"/>
      <c r="E348" s="7" t="s">
        <v>659</v>
      </c>
      <c r="F348" s="7"/>
      <c r="G348" s="9" t="s">
        <v>666</v>
      </c>
      <c r="H348" s="9"/>
      <c r="I348" s="204" cm="1">
        <f t="array" ref="I348">IFERROR(LOOKUP(2,1/(N348:GR348&lt;&gt;""),N$4:DRA$4),"")</f>
        <v>45209</v>
      </c>
      <c r="J348" s="169" cm="1">
        <f t="array" ref="J348">IFERROR(_xlfn.XLOOKUP(TRUE,N348:EH348&lt;&gt;"",N348:EH348,,,-1)," ")</f>
        <v>24.4</v>
      </c>
      <c r="K348" s="45" t="s">
        <v>665</v>
      </c>
      <c r="L348" s="45">
        <v>23</v>
      </c>
      <c r="M348" s="7" t="s">
        <v>151</v>
      </c>
      <c r="N348" s="57"/>
      <c r="O348" s="57"/>
      <c r="P348" s="57"/>
      <c r="Q348" s="57"/>
      <c r="R348" s="57"/>
      <c r="S348" s="57"/>
      <c r="T348" s="57"/>
      <c r="U348" s="57"/>
      <c r="V348" s="57"/>
      <c r="W348" s="57"/>
      <c r="X348" s="57"/>
      <c r="Y348" s="57"/>
      <c r="Z348" s="57"/>
      <c r="AA348" s="57"/>
      <c r="AB348" s="57"/>
      <c r="AC348" s="57"/>
      <c r="AD348" s="57"/>
      <c r="AE348" s="57"/>
      <c r="AF348" s="57"/>
      <c r="AG348" s="57"/>
      <c r="AH348" s="57"/>
      <c r="AI348" s="57"/>
      <c r="AJ348" s="57"/>
      <c r="AK348" s="57"/>
      <c r="AL348" s="57"/>
      <c r="AM348" s="57"/>
      <c r="AN348" s="57"/>
      <c r="AO348" s="57"/>
      <c r="AP348" s="57"/>
      <c r="AQ348" s="57"/>
      <c r="AR348" s="57"/>
      <c r="AS348" s="57"/>
      <c r="AT348" s="57"/>
      <c r="AU348" s="61"/>
      <c r="AV348" s="61"/>
      <c r="AW348" s="57"/>
      <c r="AX348" s="61"/>
      <c r="AY348" s="61"/>
      <c r="AZ348" s="61"/>
      <c r="BA348" s="57"/>
      <c r="BB348" s="61"/>
      <c r="BC348" s="61"/>
      <c r="BD348" s="57"/>
      <c r="BE348" s="57"/>
      <c r="BF348" s="61"/>
      <c r="BG348" s="57"/>
      <c r="BH348" s="57">
        <v>21.2</v>
      </c>
      <c r="BI348" s="61"/>
      <c r="BJ348" s="61"/>
      <c r="BK348" s="57"/>
      <c r="BL348" s="57"/>
      <c r="BM348" s="57"/>
      <c r="BN348" s="61"/>
      <c r="BO348" s="57"/>
      <c r="BP348" s="58"/>
      <c r="BQ348" s="61"/>
      <c r="BR348" s="57"/>
      <c r="BS348" s="57"/>
      <c r="BT348" s="57"/>
      <c r="BU348" s="57"/>
      <c r="BV348" s="57"/>
      <c r="BW348" s="57"/>
      <c r="BX348" s="57"/>
      <c r="BY348" s="57"/>
      <c r="BZ348" s="57">
        <v>22.8</v>
      </c>
      <c r="CA348" s="58"/>
      <c r="CB348" s="57"/>
      <c r="CC348" s="27"/>
      <c r="CD348" s="160"/>
      <c r="CE348" s="61"/>
      <c r="CF348" s="57"/>
      <c r="CG348" s="57"/>
      <c r="CH348" s="61"/>
      <c r="CI348" s="57"/>
      <c r="CJ348" s="57">
        <v>24.4</v>
      </c>
      <c r="CK348" s="160"/>
      <c r="CL348" s="61"/>
      <c r="CM348" s="57"/>
      <c r="CN348" s="57"/>
      <c r="CO348" s="57"/>
      <c r="CP348" s="57"/>
      <c r="CQ348" s="57"/>
      <c r="CR348" s="61"/>
      <c r="CS348" s="61"/>
      <c r="CT348" s="57"/>
      <c r="CU348" s="57"/>
      <c r="CV348" s="61"/>
      <c r="CW348" s="61"/>
      <c r="CX348" s="61"/>
      <c r="CY348" s="61"/>
      <c r="CZ348" s="61"/>
      <c r="DA348" s="61"/>
      <c r="DB348" s="61"/>
      <c r="DC348" s="61"/>
      <c r="DD348" s="61"/>
      <c r="DE348" s="61"/>
      <c r="DF348" s="61"/>
      <c r="DG348" s="61"/>
      <c r="DH348" s="61"/>
      <c r="DI348" s="61"/>
      <c r="DJ348" s="61"/>
      <c r="DK348" s="61"/>
      <c r="DL348" s="61"/>
      <c r="DM348" s="61"/>
      <c r="DN348" s="61"/>
      <c r="DO348" s="61"/>
      <c r="DP348" s="61"/>
      <c r="DQ348" s="156"/>
      <c r="DR348" s="156"/>
      <c r="DS348" s="156"/>
      <c r="DT348" s="156"/>
      <c r="DU348" s="156"/>
      <c r="DV348" s="156"/>
      <c r="DW348" s="156"/>
      <c r="DX348" s="156"/>
      <c r="DY348" s="156"/>
      <c r="DZ348" s="59"/>
      <c r="EA348" s="59"/>
      <c r="EB348" s="59"/>
      <c r="EC348" s="59"/>
      <c r="ED348" s="59"/>
      <c r="EE348" s="59"/>
      <c r="EF348" s="59"/>
      <c r="EG348" s="59"/>
    </row>
    <row r="349" spans="1:137" s="97" customFormat="1" ht="15.9" customHeight="1" x14ac:dyDescent="0.3">
      <c r="A349" s="83"/>
      <c r="B349" s="83"/>
      <c r="C349" s="91"/>
      <c r="D349" s="82"/>
      <c r="E349" s="83" t="s">
        <v>667</v>
      </c>
      <c r="F349" s="83"/>
      <c r="G349" s="84" t="s">
        <v>668</v>
      </c>
      <c r="H349" s="84"/>
      <c r="I349" s="203"/>
      <c r="J349" s="167"/>
      <c r="K349" s="220"/>
      <c r="L349" s="92"/>
      <c r="M349" s="139" t="s">
        <v>21</v>
      </c>
      <c r="N349" s="94"/>
      <c r="O349" s="94"/>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94"/>
      <c r="AU349" s="101"/>
      <c r="AV349" s="101"/>
      <c r="AW349" s="94"/>
      <c r="AX349" s="101"/>
      <c r="AY349" s="101"/>
      <c r="AZ349" s="101"/>
      <c r="BA349" s="94"/>
      <c r="BB349" s="101"/>
      <c r="BC349" s="101"/>
      <c r="BD349" s="101"/>
      <c r="BE349" s="101"/>
      <c r="BF349" s="101"/>
      <c r="BG349" s="94"/>
      <c r="BH349" s="94"/>
      <c r="BI349" s="101"/>
      <c r="BJ349" s="101"/>
      <c r="BK349" s="94"/>
      <c r="BL349" s="94"/>
      <c r="BM349" s="94"/>
      <c r="BN349" s="101"/>
      <c r="BO349" s="94"/>
      <c r="BP349" s="95"/>
      <c r="BQ349" s="101"/>
      <c r="BR349" s="94"/>
      <c r="BS349" s="94"/>
      <c r="BT349" s="94"/>
      <c r="BU349" s="94"/>
      <c r="BV349" s="94"/>
      <c r="BW349" s="94"/>
      <c r="BX349" s="94"/>
      <c r="BY349" s="94"/>
      <c r="BZ349" s="94"/>
      <c r="CA349" s="94"/>
      <c r="CB349" s="94"/>
      <c r="CC349" s="93"/>
      <c r="CD349" s="101"/>
      <c r="CE349" s="101"/>
      <c r="CF349" s="94"/>
      <c r="CG349" s="94"/>
      <c r="CH349" s="101"/>
      <c r="CI349" s="94"/>
      <c r="CJ349" s="94"/>
      <c r="CK349" s="101"/>
      <c r="CL349" s="101"/>
      <c r="CM349" s="94"/>
      <c r="CN349" s="101"/>
      <c r="CO349" s="101"/>
      <c r="CP349" s="101"/>
      <c r="CQ349" s="101"/>
      <c r="CR349" s="101"/>
      <c r="CS349" s="101"/>
      <c r="CT349" s="101"/>
      <c r="CU349" s="101"/>
      <c r="CV349" s="101"/>
      <c r="CW349" s="101"/>
      <c r="CX349" s="101"/>
      <c r="CY349" s="101"/>
      <c r="CZ349" s="101"/>
      <c r="DA349" s="101"/>
      <c r="DB349" s="101"/>
      <c r="DC349" s="101"/>
      <c r="DD349" s="101"/>
      <c r="DE349" s="101"/>
      <c r="DF349" s="101"/>
      <c r="DG349" s="101"/>
      <c r="DH349" s="101"/>
      <c r="DI349" s="101"/>
      <c r="DJ349" s="101"/>
      <c r="DK349" s="101"/>
      <c r="DL349" s="101"/>
      <c r="DM349" s="101"/>
      <c r="DN349" s="101"/>
      <c r="DO349" s="101"/>
      <c r="DP349" s="101"/>
      <c r="DQ349" s="161"/>
      <c r="DR349" s="161"/>
      <c r="DS349" s="161"/>
      <c r="DT349" s="161"/>
      <c r="DU349" s="161"/>
      <c r="DV349" s="161"/>
      <c r="DW349" s="161"/>
      <c r="DX349" s="161"/>
      <c r="DY349" s="161"/>
      <c r="DZ349" s="59"/>
      <c r="EA349" s="59"/>
      <c r="EB349" s="59"/>
      <c r="EC349" s="59"/>
      <c r="ED349" s="59"/>
      <c r="EE349" s="59"/>
      <c r="EF349" s="59"/>
      <c r="EG349" s="59"/>
    </row>
    <row r="350" spans="1:137" s="1" customFormat="1" ht="15.9" customHeight="1" outlineLevel="1" x14ac:dyDescent="0.3">
      <c r="A350" s="2"/>
      <c r="B350" s="2" t="s">
        <v>23</v>
      </c>
      <c r="C350" s="4" t="s">
        <v>24</v>
      </c>
      <c r="D350" s="145">
        <v>20.25</v>
      </c>
      <c r="E350" s="2" t="s">
        <v>667</v>
      </c>
      <c r="F350" s="2" t="s">
        <v>669</v>
      </c>
      <c r="G350" s="3" t="s">
        <v>670</v>
      </c>
      <c r="H350" s="3"/>
      <c r="I350" s="202" cm="1">
        <f t="array" ref="I350">IFERROR(LOOKUP(2,1/(N350:GR350&lt;&gt;""),N$4:DRA$4),"")</f>
        <v>45232</v>
      </c>
      <c r="J350" s="168" cm="1">
        <f t="array" ref="J350">IFERROR(_xlfn.XLOOKUP(TRUE,N350:EH350&lt;&gt;"",N350:EH350,,,-1)," ")</f>
        <v>23.7</v>
      </c>
      <c r="K350" s="46">
        <v>24</v>
      </c>
      <c r="L350" s="46"/>
      <c r="M350" s="6" t="s">
        <v>238</v>
      </c>
      <c r="N350" s="55"/>
      <c r="O350" s="55"/>
      <c r="P350" s="55"/>
      <c r="Q350" s="55"/>
      <c r="R350" s="55"/>
      <c r="S350" s="55"/>
      <c r="T350" s="55"/>
      <c r="U350" s="55"/>
      <c r="V350" s="55"/>
      <c r="W350" s="55"/>
      <c r="X350" s="55"/>
      <c r="Y350" s="55"/>
      <c r="Z350" s="55"/>
      <c r="AA350" s="55"/>
      <c r="AB350" s="55"/>
      <c r="AC350" s="55"/>
      <c r="AD350" s="55"/>
      <c r="AE350" s="55"/>
      <c r="AF350" s="55"/>
      <c r="AG350" s="55"/>
      <c r="AH350" s="55"/>
      <c r="AI350" s="55"/>
      <c r="AJ350" s="55"/>
      <c r="AK350" s="55"/>
      <c r="AL350" s="55"/>
      <c r="AM350" s="55"/>
      <c r="AN350" s="55"/>
      <c r="AO350" s="55"/>
      <c r="AP350" s="55"/>
      <c r="AQ350" s="55"/>
      <c r="AR350" s="55"/>
      <c r="AS350" s="55"/>
      <c r="AT350" s="55"/>
      <c r="AU350" s="153"/>
      <c r="AV350" s="153"/>
      <c r="AW350" s="55"/>
      <c r="AX350" s="153">
        <v>19.100000000000001</v>
      </c>
      <c r="AY350" s="153"/>
      <c r="AZ350" s="153"/>
      <c r="BA350" s="55"/>
      <c r="BB350" s="153"/>
      <c r="BC350" s="153"/>
      <c r="BD350" s="153"/>
      <c r="BE350" s="153"/>
      <c r="BF350" s="153"/>
      <c r="BG350" s="55"/>
      <c r="BH350" s="55"/>
      <c r="BI350" s="153"/>
      <c r="BJ350" s="153">
        <v>21.4</v>
      </c>
      <c r="BK350" s="55"/>
      <c r="BL350" s="55"/>
      <c r="BM350" s="55"/>
      <c r="BN350" s="153"/>
      <c r="BO350" s="55"/>
      <c r="BP350" s="55"/>
      <c r="BQ350" s="153"/>
      <c r="BR350" s="55"/>
      <c r="BS350" s="55"/>
      <c r="BT350" s="55"/>
      <c r="BU350" s="55">
        <v>22</v>
      </c>
      <c r="BV350" s="55"/>
      <c r="BW350" s="55"/>
      <c r="BX350" s="55"/>
      <c r="BY350" s="55"/>
      <c r="BZ350" s="55"/>
      <c r="CA350" s="55"/>
      <c r="CB350" s="55"/>
      <c r="CC350" s="401"/>
      <c r="CD350" s="153"/>
      <c r="CE350" s="153">
        <v>22.3</v>
      </c>
      <c r="CF350" s="55"/>
      <c r="CG350" s="55"/>
      <c r="CH350" s="153"/>
      <c r="CI350" s="55"/>
      <c r="CJ350" s="55"/>
      <c r="CK350" s="153"/>
      <c r="CL350" s="153"/>
      <c r="CM350" s="153"/>
      <c r="CN350" s="153"/>
      <c r="CO350" s="153"/>
      <c r="CP350" s="153">
        <v>22.8</v>
      </c>
      <c r="CQ350" s="153"/>
      <c r="CR350" s="153"/>
      <c r="CS350" s="153"/>
      <c r="CT350" s="153"/>
      <c r="CU350" s="153"/>
      <c r="CV350" s="153"/>
      <c r="CW350" s="153"/>
      <c r="CX350" s="153"/>
      <c r="CY350" s="153">
        <v>23.5</v>
      </c>
      <c r="CZ350" s="153"/>
      <c r="DA350" s="153"/>
      <c r="DB350" s="153"/>
      <c r="DC350" s="153"/>
      <c r="DD350" s="153"/>
      <c r="DE350" s="153"/>
      <c r="DF350" s="153"/>
      <c r="DG350" s="153">
        <v>23.7</v>
      </c>
      <c r="DH350" s="153"/>
      <c r="DI350" s="153"/>
      <c r="DJ350" s="153"/>
      <c r="DK350" s="153"/>
      <c r="DL350" s="153"/>
      <c r="DM350" s="153"/>
      <c r="DN350" s="153"/>
      <c r="DO350" s="153"/>
      <c r="DP350" s="153"/>
      <c r="DQ350" s="154"/>
      <c r="DR350" s="154"/>
      <c r="DS350" s="154"/>
      <c r="DT350" s="154"/>
      <c r="DU350" s="154"/>
      <c r="DV350" s="154"/>
      <c r="DW350" s="154"/>
      <c r="DX350" s="154"/>
      <c r="DY350" s="154"/>
      <c r="DZ350" s="59"/>
      <c r="EA350" s="59"/>
      <c r="EB350" s="59"/>
      <c r="EC350" s="59"/>
      <c r="ED350" s="59"/>
      <c r="EE350" s="59"/>
      <c r="EF350" s="59"/>
      <c r="EG350" s="59"/>
    </row>
    <row r="351" spans="1:137" s="97" customFormat="1" ht="15.9" customHeight="1" x14ac:dyDescent="0.3">
      <c r="A351" s="83"/>
      <c r="B351" s="83"/>
      <c r="C351" s="91"/>
      <c r="D351" s="82"/>
      <c r="E351" s="83" t="s">
        <v>671</v>
      </c>
      <c r="F351" s="83"/>
      <c r="G351" s="84" t="s">
        <v>672</v>
      </c>
      <c r="H351" s="84"/>
      <c r="I351" s="203"/>
      <c r="J351" s="167"/>
      <c r="K351" s="220"/>
      <c r="L351" s="92"/>
      <c r="M351" s="139" t="s">
        <v>21</v>
      </c>
      <c r="N351" s="94"/>
      <c r="O351" s="94"/>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94"/>
      <c r="AU351" s="101"/>
      <c r="AV351" s="101"/>
      <c r="AW351" s="94"/>
      <c r="AX351" s="101"/>
      <c r="AY351" s="101"/>
      <c r="AZ351" s="101"/>
      <c r="BA351" s="101"/>
      <c r="BB351" s="101"/>
      <c r="BC351" s="101"/>
      <c r="BD351" s="101"/>
      <c r="BE351" s="101"/>
      <c r="BF351" s="94"/>
      <c r="BG351" s="94"/>
      <c r="BH351" s="94"/>
      <c r="BI351" s="101"/>
      <c r="BJ351" s="101"/>
      <c r="BK351" s="94"/>
      <c r="BL351" s="94"/>
      <c r="BM351" s="94"/>
      <c r="BN351" s="101"/>
      <c r="BO351" s="94"/>
      <c r="BP351" s="95"/>
      <c r="BQ351" s="101"/>
      <c r="BR351" s="94"/>
      <c r="BS351" s="94"/>
      <c r="BT351" s="94"/>
      <c r="BU351" s="94"/>
      <c r="BV351" s="94"/>
      <c r="BW351" s="94"/>
      <c r="BX351" s="94"/>
      <c r="BY351" s="94"/>
      <c r="BZ351" s="94"/>
      <c r="CA351" s="94"/>
      <c r="CB351" s="94"/>
      <c r="CC351" s="93"/>
      <c r="CD351" s="101"/>
      <c r="CE351" s="101"/>
      <c r="CF351" s="94"/>
      <c r="CG351" s="94"/>
      <c r="CH351" s="101"/>
      <c r="CI351" s="94"/>
      <c r="CJ351" s="94"/>
      <c r="CK351" s="101"/>
      <c r="CL351" s="101"/>
      <c r="CM351" s="94"/>
      <c r="CN351" s="101"/>
      <c r="CO351" s="101"/>
      <c r="CP351" s="101"/>
      <c r="CQ351" s="101"/>
      <c r="CR351" s="101"/>
      <c r="CS351" s="101"/>
      <c r="CT351" s="101"/>
      <c r="CU351" s="101"/>
      <c r="CV351" s="101"/>
      <c r="CW351" s="101"/>
      <c r="CX351" s="101"/>
      <c r="CY351" s="101"/>
      <c r="CZ351" s="101"/>
      <c r="DA351" s="101"/>
      <c r="DB351" s="101"/>
      <c r="DC351" s="101"/>
      <c r="DD351" s="101"/>
      <c r="DE351" s="101"/>
      <c r="DF351" s="101"/>
      <c r="DG351" s="101"/>
      <c r="DH351" s="101"/>
      <c r="DI351" s="101"/>
      <c r="DJ351" s="101"/>
      <c r="DK351" s="101"/>
      <c r="DL351" s="101"/>
      <c r="DM351" s="101"/>
      <c r="DN351" s="101"/>
      <c r="DO351" s="101"/>
      <c r="DP351" s="101"/>
      <c r="DQ351" s="161"/>
      <c r="DR351" s="161"/>
      <c r="DS351" s="161"/>
      <c r="DT351" s="161"/>
      <c r="DU351" s="161"/>
      <c r="DV351" s="161"/>
      <c r="DW351" s="161"/>
      <c r="DX351" s="161"/>
      <c r="DY351" s="161"/>
      <c r="DZ351" s="22"/>
      <c r="EA351" s="22"/>
      <c r="EB351" s="22"/>
      <c r="EC351" s="22"/>
      <c r="ED351" s="22"/>
      <c r="EE351" s="22"/>
      <c r="EF351" s="22"/>
      <c r="EG351" s="22"/>
    </row>
    <row r="352" spans="1:137" s="1" customFormat="1" ht="15.9" customHeight="1" outlineLevel="1" x14ac:dyDescent="0.3">
      <c r="A352" s="2" t="s">
        <v>22</v>
      </c>
      <c r="B352" s="2"/>
      <c r="C352" s="4" t="s">
        <v>44</v>
      </c>
      <c r="D352" s="145">
        <v>7.1</v>
      </c>
      <c r="E352" s="2" t="s">
        <v>671</v>
      </c>
      <c r="F352" s="2" t="s">
        <v>673</v>
      </c>
      <c r="G352" s="3" t="s">
        <v>674</v>
      </c>
      <c r="H352" s="3"/>
      <c r="I352" s="202" cm="1">
        <f t="array" ref="I352">IFERROR(LOOKUP(2,1/(N352:GR352&lt;&gt;""),N$4:DRA$4),"")</f>
        <v>45173</v>
      </c>
      <c r="J352" s="168" cm="1">
        <f t="array" ref="J352">IFERROR(_xlfn.XLOOKUP(TRUE,N352:EH352&lt;&gt;"",N352:EH352,,,-1)," ")</f>
        <v>20.8</v>
      </c>
      <c r="K352" s="46">
        <v>21.5</v>
      </c>
      <c r="L352" s="46"/>
      <c r="M352" s="6" t="s">
        <v>120</v>
      </c>
      <c r="N352" s="55"/>
      <c r="O352" s="55"/>
      <c r="P352" s="55"/>
      <c r="Q352" s="55"/>
      <c r="R352" s="55"/>
      <c r="S352" s="55"/>
      <c r="T352" s="55"/>
      <c r="U352" s="55"/>
      <c r="V352" s="55"/>
      <c r="W352" s="55"/>
      <c r="X352" s="55">
        <v>16</v>
      </c>
      <c r="Y352" s="72"/>
      <c r="Z352" s="55"/>
      <c r="AA352" s="55"/>
      <c r="AB352" s="55"/>
      <c r="AC352" s="55"/>
      <c r="AD352" s="55"/>
      <c r="AE352" s="72"/>
      <c r="AF352" s="55"/>
      <c r="AG352" s="55">
        <v>17.7</v>
      </c>
      <c r="AH352" s="55"/>
      <c r="AI352" s="71"/>
      <c r="AJ352" s="55"/>
      <c r="AK352" s="73"/>
      <c r="AL352" s="55"/>
      <c r="AM352" s="55"/>
      <c r="AN352" s="55"/>
      <c r="AO352" s="55"/>
      <c r="AP352" s="55"/>
      <c r="AQ352" s="55"/>
      <c r="AR352" s="55"/>
      <c r="AS352" s="55">
        <v>20.2</v>
      </c>
      <c r="AT352" s="55"/>
      <c r="AU352" s="153"/>
      <c r="AV352" s="153"/>
      <c r="AW352" s="55"/>
      <c r="AX352" s="153"/>
      <c r="AY352" s="153"/>
      <c r="AZ352" s="153">
        <v>20.8</v>
      </c>
      <c r="BA352" s="153"/>
      <c r="BB352" s="153"/>
      <c r="BC352" s="153"/>
      <c r="BD352" s="153"/>
      <c r="BE352" s="153"/>
      <c r="BF352" s="153"/>
      <c r="BG352" s="153"/>
      <c r="BH352" s="55"/>
      <c r="BI352" s="153"/>
      <c r="BJ352" s="153"/>
      <c r="BK352" s="55"/>
      <c r="BL352" s="153"/>
      <c r="BM352" s="55"/>
      <c r="BN352" s="153"/>
      <c r="BO352" s="55"/>
      <c r="BP352" s="56"/>
      <c r="BQ352" s="153"/>
      <c r="BR352" s="153"/>
      <c r="BS352" s="55"/>
      <c r="BT352" s="153"/>
      <c r="BU352" s="153"/>
      <c r="BV352" s="153"/>
      <c r="BW352" s="153"/>
      <c r="BX352" s="153"/>
      <c r="BY352" s="153"/>
      <c r="BZ352" s="153"/>
      <c r="CA352" s="153"/>
      <c r="CB352" s="55"/>
      <c r="CC352" s="401"/>
      <c r="CD352" s="153"/>
      <c r="CE352" s="153"/>
      <c r="CF352" s="55"/>
      <c r="CG352" s="153"/>
      <c r="CH352" s="153"/>
      <c r="CI352" s="153"/>
      <c r="CJ352" s="55"/>
      <c r="CK352" s="153"/>
      <c r="CL352" s="153"/>
      <c r="CM352" s="153"/>
      <c r="CN352" s="153"/>
      <c r="CO352" s="153"/>
      <c r="CP352" s="153"/>
      <c r="CQ352" s="153"/>
      <c r="CR352" s="153"/>
      <c r="CS352" s="153"/>
      <c r="CT352" s="153"/>
      <c r="CU352" s="153"/>
      <c r="CV352" s="153"/>
      <c r="CW352" s="153"/>
      <c r="CX352" s="153"/>
      <c r="CY352" s="153"/>
      <c r="CZ352" s="153"/>
      <c r="DA352" s="153"/>
      <c r="DB352" s="153"/>
      <c r="DC352" s="153"/>
      <c r="DD352" s="153"/>
      <c r="DE352" s="153"/>
      <c r="DF352" s="153"/>
      <c r="DG352" s="153"/>
      <c r="DH352" s="153"/>
      <c r="DI352" s="153"/>
      <c r="DJ352" s="153"/>
      <c r="DK352" s="153"/>
      <c r="DL352" s="153"/>
      <c r="DM352" s="153"/>
      <c r="DN352" s="153"/>
      <c r="DO352" s="153"/>
      <c r="DP352" s="153"/>
      <c r="DQ352" s="154"/>
      <c r="DR352" s="154"/>
      <c r="DS352" s="154"/>
      <c r="DT352" s="154"/>
      <c r="DU352" s="154"/>
      <c r="DV352" s="154"/>
      <c r="DW352" s="154"/>
      <c r="DX352" s="154"/>
      <c r="DY352" s="154"/>
      <c r="DZ352" s="59"/>
      <c r="EA352" s="59"/>
      <c r="EB352" s="59"/>
      <c r="EC352" s="59"/>
      <c r="ED352" s="59"/>
      <c r="EE352" s="59"/>
      <c r="EF352" s="59"/>
      <c r="EG352" s="59"/>
    </row>
    <row r="353" spans="1:137" s="97" customFormat="1" ht="15.9" customHeight="1" x14ac:dyDescent="0.3">
      <c r="A353" s="83"/>
      <c r="B353" s="83"/>
      <c r="C353" s="91"/>
      <c r="D353" s="82"/>
      <c r="E353" s="83" t="s">
        <v>675</v>
      </c>
      <c r="F353" s="83"/>
      <c r="G353" s="84" t="s">
        <v>676</v>
      </c>
      <c r="H353" s="84"/>
      <c r="I353" s="203"/>
      <c r="J353" s="167"/>
      <c r="K353" s="220"/>
      <c r="L353" s="92"/>
      <c r="M353" s="139" t="s">
        <v>21</v>
      </c>
      <c r="N353" s="94"/>
      <c r="O353" s="94"/>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94"/>
      <c r="AU353" s="101"/>
      <c r="AV353" s="101"/>
      <c r="AW353" s="94"/>
      <c r="AX353" s="101"/>
      <c r="AY353" s="94"/>
      <c r="AZ353" s="101"/>
      <c r="BA353" s="94"/>
      <c r="BB353" s="101"/>
      <c r="BC353" s="101"/>
      <c r="BD353" s="94"/>
      <c r="BE353" s="101"/>
      <c r="BF353" s="94"/>
      <c r="BG353" s="94"/>
      <c r="BH353" s="94"/>
      <c r="BI353" s="101"/>
      <c r="BJ353" s="101"/>
      <c r="BK353" s="94"/>
      <c r="BL353" s="94"/>
      <c r="BM353" s="94"/>
      <c r="BN353" s="101"/>
      <c r="BO353" s="94"/>
      <c r="BP353" s="95"/>
      <c r="BQ353" s="101"/>
      <c r="BR353" s="94"/>
      <c r="BS353" s="94"/>
      <c r="BT353" s="94"/>
      <c r="BU353" s="94"/>
      <c r="BV353" s="94"/>
      <c r="BW353" s="94"/>
      <c r="BX353" s="94"/>
      <c r="BY353" s="94"/>
      <c r="BZ353" s="94"/>
      <c r="CA353" s="94"/>
      <c r="CB353" s="94"/>
      <c r="CC353" s="93"/>
      <c r="CD353" s="101"/>
      <c r="CE353" s="101"/>
      <c r="CF353" s="94"/>
      <c r="CG353" s="94"/>
      <c r="CH353" s="101"/>
      <c r="CI353" s="94"/>
      <c r="CJ353" s="94"/>
      <c r="CK353" s="101"/>
      <c r="CL353" s="101"/>
      <c r="CM353" s="94"/>
      <c r="CN353" s="101"/>
      <c r="CO353" s="101"/>
      <c r="CP353" s="101"/>
      <c r="CQ353" s="101"/>
      <c r="CR353" s="101"/>
      <c r="CS353" s="101"/>
      <c r="CT353" s="101"/>
      <c r="CU353" s="101"/>
      <c r="CV353" s="101"/>
      <c r="CW353" s="101"/>
      <c r="CX353" s="101"/>
      <c r="CY353" s="101"/>
      <c r="CZ353" s="101"/>
      <c r="DA353" s="101"/>
      <c r="DB353" s="101"/>
      <c r="DC353" s="101"/>
      <c r="DD353" s="101"/>
      <c r="DE353" s="101"/>
      <c r="DF353" s="101"/>
      <c r="DG353" s="101"/>
      <c r="DH353" s="101"/>
      <c r="DI353" s="101"/>
      <c r="DJ353" s="101"/>
      <c r="DK353" s="101"/>
      <c r="DL353" s="101"/>
      <c r="DM353" s="101"/>
      <c r="DN353" s="101"/>
      <c r="DO353" s="101"/>
      <c r="DP353" s="101"/>
      <c r="DQ353" s="161"/>
      <c r="DR353" s="161"/>
      <c r="DS353" s="161"/>
      <c r="DT353" s="161"/>
      <c r="DU353" s="161"/>
      <c r="DV353" s="161"/>
      <c r="DW353" s="161"/>
      <c r="DX353" s="161"/>
      <c r="DY353" s="161"/>
      <c r="DZ353" s="65"/>
      <c r="EA353" s="65"/>
      <c r="EB353" s="65"/>
      <c r="EC353" s="65"/>
      <c r="ED353" s="65"/>
      <c r="EE353" s="65"/>
      <c r="EF353" s="65"/>
      <c r="EG353" s="65"/>
    </row>
    <row r="354" spans="1:137" s="10" customFormat="1" ht="15.9" customHeight="1" outlineLevel="1" x14ac:dyDescent="0.3">
      <c r="A354" s="7" t="s">
        <v>22</v>
      </c>
      <c r="B354" s="7" t="s">
        <v>23</v>
      </c>
      <c r="C354" s="8" t="s">
        <v>31</v>
      </c>
      <c r="D354" s="146">
        <v>10.11</v>
      </c>
      <c r="E354" s="7" t="s">
        <v>675</v>
      </c>
      <c r="F354" s="7" t="s">
        <v>677</v>
      </c>
      <c r="G354" s="9" t="s">
        <v>678</v>
      </c>
      <c r="H354" s="9"/>
      <c r="I354" s="204" cm="1">
        <f t="array" ref="I354">IFERROR(LOOKUP(2,1/(N354:GR354&lt;&gt;""),N$4:DRA$4),"")</f>
        <v>45194</v>
      </c>
      <c r="J354" s="266" cm="1">
        <f t="array" ref="J354">IFERROR(_xlfn.XLOOKUP(TRUE,N354:EH354&lt;&gt;"",N354:EH354,,,-1)," ")</f>
        <v>24.3</v>
      </c>
      <c r="K354" s="45">
        <v>23.5</v>
      </c>
      <c r="L354" s="45">
        <v>23.5</v>
      </c>
      <c r="M354" s="7" t="s">
        <v>28</v>
      </c>
      <c r="N354" s="57"/>
      <c r="O354" s="57"/>
      <c r="P354" s="57"/>
      <c r="Q354" s="57"/>
      <c r="R354" s="57"/>
      <c r="S354" s="57"/>
      <c r="T354" s="57"/>
      <c r="U354" s="57"/>
      <c r="V354" s="57"/>
      <c r="W354" s="57"/>
      <c r="X354" s="57"/>
      <c r="Y354" s="57">
        <v>13.4</v>
      </c>
      <c r="Z354" s="57"/>
      <c r="AA354" s="57"/>
      <c r="AB354" s="57"/>
      <c r="AC354" s="57"/>
      <c r="AD354" s="57"/>
      <c r="AE354" s="57"/>
      <c r="AF354" s="57">
        <v>14.4</v>
      </c>
      <c r="AG354" s="57"/>
      <c r="AH354" s="57"/>
      <c r="AI354" s="57"/>
      <c r="AJ354" s="57"/>
      <c r="AK354" s="57"/>
      <c r="AL354" s="57"/>
      <c r="AM354" s="57">
        <v>15.8</v>
      </c>
      <c r="AN354" s="57"/>
      <c r="AO354" s="57"/>
      <c r="AP354" s="57"/>
      <c r="AQ354" s="57"/>
      <c r="AR354" s="57"/>
      <c r="AS354" s="58"/>
      <c r="AT354" s="57" t="s">
        <v>679</v>
      </c>
      <c r="AU354" s="61"/>
      <c r="AV354" s="61"/>
      <c r="AW354" s="57"/>
      <c r="AX354" s="61"/>
      <c r="AY354" s="57"/>
      <c r="AZ354" s="61"/>
      <c r="BA354" s="57">
        <v>19</v>
      </c>
      <c r="BB354" s="61"/>
      <c r="BC354" s="61"/>
      <c r="BD354" s="57"/>
      <c r="BE354" s="61"/>
      <c r="BF354" s="57"/>
      <c r="BG354" s="57">
        <v>23.2</v>
      </c>
      <c r="BH354" s="58"/>
      <c r="BI354" s="160">
        <v>22.1</v>
      </c>
      <c r="BJ354" s="61"/>
      <c r="BK354" s="57"/>
      <c r="BL354" s="57"/>
      <c r="BM354" s="58"/>
      <c r="BN354" s="61"/>
      <c r="BO354" s="57" t="s">
        <v>233</v>
      </c>
      <c r="BP354" s="58">
        <v>23.1</v>
      </c>
      <c r="BQ354" s="61"/>
      <c r="BR354" s="57"/>
      <c r="BS354" s="57"/>
      <c r="BT354" s="57"/>
      <c r="BU354" s="58">
        <v>24.3</v>
      </c>
      <c r="BV354" s="57"/>
      <c r="BW354" s="57"/>
      <c r="BX354" s="57"/>
      <c r="BY354" s="57"/>
      <c r="BZ354" s="57"/>
      <c r="CA354" s="57"/>
      <c r="CB354" s="57"/>
      <c r="CC354" s="61"/>
      <c r="CD354" s="61"/>
      <c r="CE354" s="61"/>
      <c r="CF354" s="57"/>
      <c r="CG354" s="61"/>
      <c r="CH354" s="61"/>
      <c r="CI354" s="61"/>
      <c r="CJ354" s="57"/>
      <c r="CK354" s="61"/>
      <c r="CL354" s="61"/>
      <c r="CM354" s="61"/>
      <c r="CN354" s="61"/>
      <c r="CO354" s="61"/>
      <c r="CP354" s="61"/>
      <c r="CQ354" s="61"/>
      <c r="CR354" s="61"/>
      <c r="CS354" s="61"/>
      <c r="CT354" s="61"/>
      <c r="CU354" s="61"/>
      <c r="CV354" s="61"/>
      <c r="CW354" s="61"/>
      <c r="CX354" s="61"/>
      <c r="CY354" s="61"/>
      <c r="CZ354" s="61"/>
      <c r="DA354" s="61"/>
      <c r="DB354" s="61"/>
      <c r="DC354" s="61"/>
      <c r="DD354" s="61"/>
      <c r="DE354" s="61"/>
      <c r="DF354" s="61"/>
      <c r="DG354" s="61"/>
      <c r="DH354" s="61"/>
      <c r="DI354" s="61"/>
      <c r="DJ354" s="61"/>
      <c r="DK354" s="61"/>
      <c r="DL354" s="61"/>
      <c r="DM354" s="61"/>
      <c r="DN354" s="61"/>
      <c r="DO354" s="61"/>
      <c r="DP354" s="61"/>
      <c r="DQ354" s="156"/>
      <c r="DR354" s="156"/>
      <c r="DS354" s="156"/>
      <c r="DT354" s="156"/>
      <c r="DU354" s="156"/>
      <c r="DV354" s="156"/>
      <c r="DW354" s="156"/>
      <c r="DX354" s="156"/>
      <c r="DY354" s="156"/>
      <c r="DZ354" s="22"/>
      <c r="EA354" s="22"/>
      <c r="EB354" s="22"/>
      <c r="EC354" s="22"/>
      <c r="ED354" s="22"/>
      <c r="EE354" s="22"/>
      <c r="EF354" s="22"/>
      <c r="EG354" s="22"/>
    </row>
    <row r="355" spans="1:137" s="1" customFormat="1" ht="15.9" customHeight="1" outlineLevel="1" x14ac:dyDescent="0.3">
      <c r="A355" s="2" t="s">
        <v>22</v>
      </c>
      <c r="B355" s="2"/>
      <c r="C355" s="4" t="s">
        <v>31</v>
      </c>
      <c r="D355" s="145">
        <v>10.61</v>
      </c>
      <c r="E355" s="2" t="s">
        <v>675</v>
      </c>
      <c r="F355" s="2" t="s">
        <v>680</v>
      </c>
      <c r="G355" s="3" t="s">
        <v>681</v>
      </c>
      <c r="H355" s="3"/>
      <c r="I355" s="202" cm="1">
        <f t="array" ref="I355">IFERROR(LOOKUP(2,1/(N355:GR355&lt;&gt;""),N$4:DRA$4),"")</f>
        <v>45170</v>
      </c>
      <c r="J355" s="168" cm="1">
        <f t="array" ref="J355">IFERROR(_xlfn.XLOOKUP(TRUE,N355:EH355&lt;&gt;"",N355:EH355,,,-1)," ")</f>
        <v>19.600000000000001</v>
      </c>
      <c r="K355" s="46">
        <v>24</v>
      </c>
      <c r="L355" s="46"/>
      <c r="M355" s="2" t="s">
        <v>34</v>
      </c>
      <c r="N355" s="55"/>
      <c r="O355" s="55"/>
      <c r="P355" s="55"/>
      <c r="Q355" s="55"/>
      <c r="R355" s="55"/>
      <c r="S355" s="55"/>
      <c r="T355" s="55"/>
      <c r="U355" s="55"/>
      <c r="V355" s="55"/>
      <c r="W355" s="55"/>
      <c r="X355" s="55"/>
      <c r="Y355" s="55"/>
      <c r="Z355" s="55"/>
      <c r="AA355" s="55"/>
      <c r="AB355" s="55"/>
      <c r="AC355" s="55"/>
      <c r="AD355" s="55"/>
      <c r="AE355" s="55"/>
      <c r="AF355" s="55"/>
      <c r="AG355" s="55"/>
      <c r="AH355" s="55"/>
      <c r="AI355" s="55"/>
      <c r="AJ355" s="55"/>
      <c r="AK355" s="55"/>
      <c r="AL355" s="55"/>
      <c r="AM355" s="55"/>
      <c r="AN355" s="55"/>
      <c r="AO355" s="55"/>
      <c r="AP355" s="55"/>
      <c r="AQ355" s="55"/>
      <c r="AR355" s="55"/>
      <c r="AS355" s="55"/>
      <c r="AT355" s="55"/>
      <c r="AU355" s="153"/>
      <c r="AV355" s="153"/>
      <c r="AW355" s="55">
        <v>19.600000000000001</v>
      </c>
      <c r="AX355" s="153"/>
      <c r="AY355" s="55"/>
      <c r="AZ355" s="153"/>
      <c r="BA355" s="55"/>
      <c r="BB355" s="153"/>
      <c r="BC355" s="153"/>
      <c r="BD355" s="55"/>
      <c r="BE355" s="153"/>
      <c r="BF355" s="55"/>
      <c r="BG355" s="55"/>
      <c r="BH355" s="55"/>
      <c r="BI355" s="153"/>
      <c r="BJ355" s="153"/>
      <c r="BK355" s="55"/>
      <c r="BL355" s="55"/>
      <c r="BM355" s="55"/>
      <c r="BN355" s="153"/>
      <c r="BO355" s="55"/>
      <c r="BP355" s="56"/>
      <c r="BQ355" s="153"/>
      <c r="BR355" s="153"/>
      <c r="BS355" s="55"/>
      <c r="BT355" s="153"/>
      <c r="BU355" s="153"/>
      <c r="BV355" s="153"/>
      <c r="BW355" s="153"/>
      <c r="BX355" s="153"/>
      <c r="BY355" s="153"/>
      <c r="BZ355" s="153"/>
      <c r="CA355" s="153"/>
      <c r="CB355" s="55"/>
      <c r="CC355" s="401"/>
      <c r="CD355" s="153"/>
      <c r="CE355" s="153"/>
      <c r="CF355" s="55"/>
      <c r="CG355" s="153"/>
      <c r="CH355" s="153"/>
      <c r="CI355" s="153"/>
      <c r="CJ355" s="55"/>
      <c r="CK355" s="153"/>
      <c r="CL355" s="153"/>
      <c r="CM355" s="153"/>
      <c r="CN355" s="153"/>
      <c r="CO355" s="153"/>
      <c r="CP355" s="153"/>
      <c r="CQ355" s="153"/>
      <c r="CR355" s="153"/>
      <c r="CS355" s="153"/>
      <c r="CT355" s="153"/>
      <c r="CU355" s="153"/>
      <c r="CV355" s="153"/>
      <c r="CW355" s="153"/>
      <c r="CX355" s="153"/>
      <c r="CY355" s="153"/>
      <c r="CZ355" s="153"/>
      <c r="DA355" s="153"/>
      <c r="DB355" s="153"/>
      <c r="DC355" s="153"/>
      <c r="DD355" s="153"/>
      <c r="DE355" s="153"/>
      <c r="DF355" s="153"/>
      <c r="DG355" s="153"/>
      <c r="DH355" s="153"/>
      <c r="DI355" s="153"/>
      <c r="DJ355" s="153"/>
      <c r="DK355" s="153"/>
      <c r="DL355" s="153"/>
      <c r="DM355" s="153"/>
      <c r="DN355" s="153"/>
      <c r="DO355" s="153"/>
      <c r="DP355" s="153"/>
      <c r="DQ355" s="154"/>
      <c r="DR355" s="154"/>
      <c r="DS355" s="154"/>
      <c r="DT355" s="154"/>
      <c r="DU355" s="154"/>
      <c r="DV355" s="154"/>
      <c r="DW355" s="154"/>
      <c r="DX355" s="154"/>
      <c r="DY355" s="154"/>
      <c r="DZ355" s="59"/>
      <c r="EA355" s="59"/>
      <c r="EB355" s="59"/>
      <c r="EC355" s="59"/>
      <c r="ED355" s="59"/>
      <c r="EE355" s="59"/>
      <c r="EF355" s="59"/>
      <c r="EG355" s="59"/>
    </row>
    <row r="356" spans="1:137" s="10" customFormat="1" ht="15.9" customHeight="1" outlineLevel="1" x14ac:dyDescent="0.3">
      <c r="A356" s="7" t="s">
        <v>23</v>
      </c>
      <c r="B356" s="7"/>
      <c r="C356" s="8" t="s">
        <v>24</v>
      </c>
      <c r="D356" s="146"/>
      <c r="E356" s="7" t="s">
        <v>675</v>
      </c>
      <c r="F356" s="7" t="s">
        <v>682</v>
      </c>
      <c r="G356" s="9" t="s">
        <v>683</v>
      </c>
      <c r="H356" s="9"/>
      <c r="I356" s="204" cm="1">
        <f t="array" ref="I356">IFERROR(LOOKUP(2,1/(N356:GR356&lt;&gt;""),N$4:DRA$4),"")</f>
        <v>45176</v>
      </c>
      <c r="J356" s="169" cm="1">
        <f t="array" ref="J356">IFERROR(_xlfn.XLOOKUP(TRUE,N356:EH356&lt;&gt;"",N356:EH356,,,-1)," ")</f>
        <v>22.4</v>
      </c>
      <c r="K356" s="45"/>
      <c r="L356" s="45"/>
      <c r="M356" s="7" t="s">
        <v>59</v>
      </c>
      <c r="N356" s="57"/>
      <c r="O356" s="57"/>
      <c r="P356" s="57"/>
      <c r="Q356" s="57"/>
      <c r="R356" s="57"/>
      <c r="S356" s="57"/>
      <c r="T356" s="57"/>
      <c r="U356" s="57"/>
      <c r="V356" s="57"/>
      <c r="W356" s="57"/>
      <c r="X356" s="57"/>
      <c r="Y356" s="57"/>
      <c r="Z356" s="57"/>
      <c r="AA356" s="57"/>
      <c r="AB356" s="57"/>
      <c r="AC356" s="57"/>
      <c r="AD356" s="57"/>
      <c r="AE356" s="57"/>
      <c r="AF356" s="57"/>
      <c r="AG356" s="57">
        <v>18.399999999999999</v>
      </c>
      <c r="AH356" s="57"/>
      <c r="AI356" s="57"/>
      <c r="AJ356" s="57"/>
      <c r="AK356" s="57"/>
      <c r="AL356" s="57">
        <v>19</v>
      </c>
      <c r="AM356" s="57"/>
      <c r="AN356" s="57"/>
      <c r="AO356" s="57"/>
      <c r="AP356" s="57">
        <v>19.399999999999999</v>
      </c>
      <c r="AQ356" s="57"/>
      <c r="AR356" s="57"/>
      <c r="AS356" s="57"/>
      <c r="AT356" s="57"/>
      <c r="AU356" s="61"/>
      <c r="AV356" s="61"/>
      <c r="AW356" s="57"/>
      <c r="AX356" s="61"/>
      <c r="AY356" s="57">
        <v>21.1</v>
      </c>
      <c r="AZ356" s="61"/>
      <c r="BA356" s="57"/>
      <c r="BB356" s="61"/>
      <c r="BC356" s="61">
        <v>22.4</v>
      </c>
      <c r="BD356" s="61"/>
      <c r="BE356" s="61"/>
      <c r="BF356" s="61"/>
      <c r="BG356" s="61"/>
      <c r="BH356" s="57"/>
      <c r="BI356" s="61"/>
      <c r="BJ356" s="61"/>
      <c r="BK356" s="57"/>
      <c r="BL356" s="61"/>
      <c r="BM356" s="57"/>
      <c r="BN356" s="61"/>
      <c r="BO356" s="57"/>
      <c r="BP356" s="58"/>
      <c r="BQ356" s="61"/>
      <c r="BR356" s="61"/>
      <c r="BS356" s="57"/>
      <c r="BT356" s="61"/>
      <c r="BU356" s="61"/>
      <c r="BV356" s="61"/>
      <c r="BW356" s="61"/>
      <c r="BX356" s="61"/>
      <c r="BY356" s="61"/>
      <c r="BZ356" s="61"/>
      <c r="CA356" s="61"/>
      <c r="CB356" s="57"/>
      <c r="CC356" s="61"/>
      <c r="CD356" s="61"/>
      <c r="CE356" s="61"/>
      <c r="CF356" s="57"/>
      <c r="CG356" s="61"/>
      <c r="CH356" s="61"/>
      <c r="CI356" s="61"/>
      <c r="CJ356" s="57"/>
      <c r="CK356" s="61"/>
      <c r="CL356" s="61"/>
      <c r="CM356" s="61"/>
      <c r="CN356" s="61"/>
      <c r="CO356" s="61"/>
      <c r="CP356" s="61"/>
      <c r="CQ356" s="61"/>
      <c r="CR356" s="61"/>
      <c r="CS356" s="61"/>
      <c r="CT356" s="61"/>
      <c r="CU356" s="61"/>
      <c r="CV356" s="61"/>
      <c r="CW356" s="61"/>
      <c r="CX356" s="61"/>
      <c r="CY356" s="61"/>
      <c r="CZ356" s="61"/>
      <c r="DA356" s="61"/>
      <c r="DB356" s="61"/>
      <c r="DC356" s="61"/>
      <c r="DD356" s="61"/>
      <c r="DE356" s="61"/>
      <c r="DF356" s="61"/>
      <c r="DG356" s="61"/>
      <c r="DH356" s="61"/>
      <c r="DI356" s="61"/>
      <c r="DJ356" s="61"/>
      <c r="DK356" s="61"/>
      <c r="DL356" s="61"/>
      <c r="DM356" s="61"/>
      <c r="DN356" s="61"/>
      <c r="DO356" s="61"/>
      <c r="DP356" s="61"/>
      <c r="DQ356" s="156"/>
      <c r="DR356" s="156"/>
      <c r="DS356" s="156"/>
      <c r="DT356" s="156"/>
      <c r="DU356" s="156"/>
      <c r="DV356" s="156"/>
      <c r="DW356" s="156"/>
      <c r="DX356" s="156"/>
      <c r="DY356" s="156"/>
      <c r="DZ356" s="65"/>
      <c r="EA356" s="65"/>
      <c r="EB356" s="65"/>
      <c r="EC356" s="65"/>
      <c r="ED356" s="65"/>
      <c r="EE356" s="65"/>
      <c r="EF356" s="65"/>
      <c r="EG356" s="65"/>
    </row>
    <row r="357" spans="1:137" s="1" customFormat="1" ht="15.9" customHeight="1" outlineLevel="1" x14ac:dyDescent="0.3">
      <c r="A357" s="2" t="s">
        <v>23</v>
      </c>
      <c r="B357" s="2"/>
      <c r="C357" s="4" t="s">
        <v>24</v>
      </c>
      <c r="D357" s="145">
        <v>38.380000000000003</v>
      </c>
      <c r="E357" s="2" t="s">
        <v>675</v>
      </c>
      <c r="F357" s="2" t="s">
        <v>684</v>
      </c>
      <c r="G357" s="3" t="s">
        <v>685</v>
      </c>
      <c r="H357" s="3"/>
      <c r="I357" s="202" cm="1">
        <f t="array" ref="I357">IFERROR(LOOKUP(2,1/(N357:GR357&lt;&gt;""),N$4:DRA$4),"")</f>
        <v>45169</v>
      </c>
      <c r="J357" s="168" cm="1">
        <f t="array" ref="J357">IFERROR(_xlfn.XLOOKUP(TRUE,N357:EH357&lt;&gt;"",N357:EH357,,,-1)," ")</f>
        <v>20.3</v>
      </c>
      <c r="K357" s="46" t="s">
        <v>686</v>
      </c>
      <c r="L357" s="46"/>
      <c r="M357" s="2" t="s">
        <v>59</v>
      </c>
      <c r="N357" s="55"/>
      <c r="O357" s="55"/>
      <c r="P357" s="55"/>
      <c r="Q357" s="55"/>
      <c r="R357" s="55"/>
      <c r="S357" s="55"/>
      <c r="T357" s="55"/>
      <c r="U357" s="55"/>
      <c r="V357" s="75"/>
      <c r="W357" s="55"/>
      <c r="X357" s="55"/>
      <c r="Y357" s="75"/>
      <c r="Z357" s="55"/>
      <c r="AA357" s="55"/>
      <c r="AB357" s="55">
        <v>15.7</v>
      </c>
      <c r="AC357" s="55"/>
      <c r="AD357" s="55"/>
      <c r="AE357" s="72"/>
      <c r="AF357" s="55"/>
      <c r="AG357" s="55"/>
      <c r="AH357" s="55"/>
      <c r="AI357" s="55">
        <v>18.3</v>
      </c>
      <c r="AJ357" s="55"/>
      <c r="AK357" s="55"/>
      <c r="AL357" s="55"/>
      <c r="AM357" s="55"/>
      <c r="AN357" s="55"/>
      <c r="AO357" s="56"/>
      <c r="AP357" s="55" t="s">
        <v>687</v>
      </c>
      <c r="AQ357" s="55"/>
      <c r="AR357" s="55"/>
      <c r="AS357" s="55"/>
      <c r="AT357" s="55"/>
      <c r="AU357" s="153"/>
      <c r="AV357" s="318">
        <v>20.3</v>
      </c>
      <c r="AW357" s="55"/>
      <c r="AX357" s="153"/>
      <c r="AY357" s="55"/>
      <c r="AZ357" s="153"/>
      <c r="BA357" s="55"/>
      <c r="BB357" s="153"/>
      <c r="BC357" s="153"/>
      <c r="BD357" s="153"/>
      <c r="BE357" s="153"/>
      <c r="BF357" s="153"/>
      <c r="BG357" s="153"/>
      <c r="BH357" s="55"/>
      <c r="BI357" s="153"/>
      <c r="BJ357" s="153"/>
      <c r="BK357" s="55"/>
      <c r="BL357" s="153"/>
      <c r="BM357" s="55"/>
      <c r="BN357" s="153"/>
      <c r="BO357" s="55"/>
      <c r="BP357" s="56"/>
      <c r="BQ357" s="153"/>
      <c r="BR357" s="153"/>
      <c r="BS357" s="55"/>
      <c r="BT357" s="153"/>
      <c r="BU357" s="153"/>
      <c r="BV357" s="153"/>
      <c r="BW357" s="153"/>
      <c r="BX357" s="153"/>
      <c r="BY357" s="153"/>
      <c r="BZ357" s="153"/>
      <c r="CA357" s="153"/>
      <c r="CB357" s="55"/>
      <c r="CC357" s="153"/>
      <c r="CD357" s="153"/>
      <c r="CE357" s="153"/>
      <c r="CF357" s="55"/>
      <c r="CG357" s="153"/>
      <c r="CH357" s="153"/>
      <c r="CI357" s="153"/>
      <c r="CJ357" s="55"/>
      <c r="CK357" s="153"/>
      <c r="CL357" s="153"/>
      <c r="CM357" s="153"/>
      <c r="CN357" s="153"/>
      <c r="CO357" s="153"/>
      <c r="CP357" s="153"/>
      <c r="CQ357" s="153"/>
      <c r="CR357" s="153"/>
      <c r="CS357" s="153"/>
      <c r="CT357" s="153"/>
      <c r="CU357" s="153"/>
      <c r="CV357" s="153"/>
      <c r="CW357" s="153"/>
      <c r="CX357" s="153"/>
      <c r="CY357" s="153"/>
      <c r="CZ357" s="153"/>
      <c r="DA357" s="153"/>
      <c r="DB357" s="153"/>
      <c r="DC357" s="153"/>
      <c r="DD357" s="153"/>
      <c r="DE357" s="153"/>
      <c r="DF357" s="153"/>
      <c r="DG357" s="153"/>
      <c r="DH357" s="153"/>
      <c r="DI357" s="153"/>
      <c r="DJ357" s="153"/>
      <c r="DK357" s="153"/>
      <c r="DL357" s="153"/>
      <c r="DM357" s="153"/>
      <c r="DN357" s="153"/>
      <c r="DO357" s="153"/>
      <c r="DP357" s="153"/>
      <c r="DQ357" s="154"/>
      <c r="DR357" s="154"/>
      <c r="DS357" s="154"/>
      <c r="DT357" s="154"/>
      <c r="DU357" s="154"/>
      <c r="DV357" s="154"/>
      <c r="DW357" s="154"/>
      <c r="DX357" s="154"/>
      <c r="DY357" s="154"/>
      <c r="DZ357" s="86"/>
      <c r="EA357" s="86"/>
      <c r="EB357" s="86"/>
      <c r="EC357" s="86"/>
      <c r="ED357" s="86"/>
      <c r="EE357" s="86"/>
      <c r="EF357" s="86"/>
      <c r="EG357" s="86"/>
    </row>
    <row r="358" spans="1:137" s="10" customFormat="1" ht="15.9" customHeight="1" outlineLevel="1" x14ac:dyDescent="0.3">
      <c r="A358" s="7" t="s">
        <v>23</v>
      </c>
      <c r="B358" s="7"/>
      <c r="C358" s="8" t="s">
        <v>24</v>
      </c>
      <c r="D358" s="146">
        <v>16.13</v>
      </c>
      <c r="E358" s="7" t="s">
        <v>675</v>
      </c>
      <c r="F358" s="7" t="s">
        <v>688</v>
      </c>
      <c r="G358" s="9" t="s">
        <v>689</v>
      </c>
      <c r="H358" s="9"/>
      <c r="I358" s="204" cm="1">
        <f t="array" ref="I358">IFERROR(LOOKUP(2,1/(N358:GR358&lt;&gt;""),N$4:DRA$4),"")</f>
        <v>45171</v>
      </c>
      <c r="J358" s="227" cm="1">
        <f t="array" ref="J358">IFERROR(_xlfn.XLOOKUP(TRUE,N358:EH358&lt;&gt;"",N358:EH358,,,-1)," ")</f>
        <v>21.9</v>
      </c>
      <c r="K358" s="277">
        <v>22</v>
      </c>
      <c r="L358" s="45"/>
      <c r="M358" s="7" t="s">
        <v>59</v>
      </c>
      <c r="N358" s="57"/>
      <c r="O358" s="57"/>
      <c r="P358" s="57"/>
      <c r="Q358" s="57"/>
      <c r="R358" s="57"/>
      <c r="S358" s="57"/>
      <c r="T358" s="57"/>
      <c r="U358" s="57"/>
      <c r="V358" s="57"/>
      <c r="W358" s="57"/>
      <c r="X358" s="57"/>
      <c r="Y358" s="57"/>
      <c r="Z358" s="57"/>
      <c r="AA358" s="57"/>
      <c r="AB358" s="57">
        <v>16</v>
      </c>
      <c r="AC358" s="57"/>
      <c r="AD358" s="57"/>
      <c r="AE358" s="57"/>
      <c r="AF358" s="57"/>
      <c r="AG358" s="57"/>
      <c r="AH358" s="57"/>
      <c r="AI358" s="57">
        <v>18.399999999999999</v>
      </c>
      <c r="AJ358" s="57"/>
      <c r="AK358" s="57"/>
      <c r="AL358" s="57"/>
      <c r="AM358" s="57"/>
      <c r="AN358" s="171">
        <v>19</v>
      </c>
      <c r="AO358" s="58"/>
      <c r="AP358" s="57">
        <v>19</v>
      </c>
      <c r="AQ358" s="57"/>
      <c r="AR358" s="77"/>
      <c r="AS358" s="57"/>
      <c r="AT358" s="57"/>
      <c r="AU358" s="61"/>
      <c r="AV358" s="160">
        <v>22.6</v>
      </c>
      <c r="AW358" s="57"/>
      <c r="AX358" s="160">
        <v>21.9</v>
      </c>
      <c r="AY358" s="57"/>
      <c r="AZ358" s="61"/>
      <c r="BA358" s="57"/>
      <c r="BB358" s="61"/>
      <c r="BC358" s="61"/>
      <c r="BD358" s="61"/>
      <c r="BE358" s="61"/>
      <c r="BF358" s="61"/>
      <c r="BG358" s="61"/>
      <c r="BH358" s="57"/>
      <c r="BI358" s="61"/>
      <c r="BJ358" s="61"/>
      <c r="BK358" s="57"/>
      <c r="BL358" s="61"/>
      <c r="BM358" s="57"/>
      <c r="BN358" s="61"/>
      <c r="BO358" s="57"/>
      <c r="BP358" s="58"/>
      <c r="BQ358" s="61"/>
      <c r="BR358" s="61"/>
      <c r="BS358" s="57"/>
      <c r="BT358" s="61"/>
      <c r="BU358" s="61"/>
      <c r="BV358" s="61"/>
      <c r="BW358" s="61"/>
      <c r="BX358" s="61"/>
      <c r="BY358" s="61"/>
      <c r="BZ358" s="61"/>
      <c r="CA358" s="61"/>
      <c r="CB358" s="57"/>
      <c r="CC358" s="61"/>
      <c r="CD358" s="61"/>
      <c r="CE358" s="61"/>
      <c r="CF358" s="57"/>
      <c r="CG358" s="61"/>
      <c r="CH358" s="61"/>
      <c r="CI358" s="61"/>
      <c r="CJ358" s="57"/>
      <c r="CK358" s="61"/>
      <c r="CL358" s="61"/>
      <c r="CM358" s="61"/>
      <c r="CN358" s="61"/>
      <c r="CO358" s="61"/>
      <c r="CP358" s="61"/>
      <c r="CQ358" s="61"/>
      <c r="CR358" s="61"/>
      <c r="CS358" s="61"/>
      <c r="CT358" s="61"/>
      <c r="CU358" s="61"/>
      <c r="CV358" s="61"/>
      <c r="CW358" s="61"/>
      <c r="CX358" s="61"/>
      <c r="CY358" s="61"/>
      <c r="CZ358" s="61"/>
      <c r="DA358" s="61"/>
      <c r="DB358" s="61"/>
      <c r="DC358" s="61"/>
      <c r="DD358" s="61"/>
      <c r="DE358" s="61"/>
      <c r="DF358" s="61"/>
      <c r="DG358" s="61"/>
      <c r="DH358" s="61"/>
      <c r="DI358" s="61"/>
      <c r="DJ358" s="61"/>
      <c r="DK358" s="61"/>
      <c r="DL358" s="61"/>
      <c r="DM358" s="61"/>
      <c r="DN358" s="61"/>
      <c r="DO358" s="61"/>
      <c r="DP358" s="61"/>
      <c r="DQ358" s="156"/>
      <c r="DR358" s="156"/>
      <c r="DS358" s="156"/>
      <c r="DT358" s="156"/>
      <c r="DU358" s="156"/>
      <c r="DV358" s="156"/>
      <c r="DW358" s="156"/>
      <c r="DX358" s="156"/>
      <c r="DY358" s="156"/>
      <c r="DZ358" s="89"/>
      <c r="EA358" s="89"/>
      <c r="EB358" s="89"/>
      <c r="EC358" s="89"/>
      <c r="ED358" s="89"/>
      <c r="EE358" s="89"/>
      <c r="EF358" s="89"/>
      <c r="EG358" s="89"/>
    </row>
    <row r="359" spans="1:137" s="10" customFormat="1" ht="15.9" customHeight="1" outlineLevel="1" x14ac:dyDescent="0.3">
      <c r="A359" s="7" t="s">
        <v>23</v>
      </c>
      <c r="B359" s="7"/>
      <c r="C359" s="8" t="s">
        <v>24</v>
      </c>
      <c r="D359" s="146">
        <v>11.78</v>
      </c>
      <c r="E359" s="7" t="s">
        <v>675</v>
      </c>
      <c r="F359" s="7" t="s">
        <v>690</v>
      </c>
      <c r="G359" s="9" t="s">
        <v>691</v>
      </c>
      <c r="H359" s="9"/>
      <c r="I359" s="204" cm="1">
        <f t="array" ref="I359">IFERROR(LOOKUP(2,1/(N359:GR359&lt;&gt;""),N$4:DRA$4),"")</f>
        <v>45169</v>
      </c>
      <c r="J359" s="266" cm="1">
        <f t="array" ref="J359">IFERROR(_xlfn.XLOOKUP(TRUE,N359:EH359&lt;&gt;"",N359:EH359,,,-1)," ")</f>
        <v>21.5</v>
      </c>
      <c r="K359" s="45">
        <v>22</v>
      </c>
      <c r="L359" s="45"/>
      <c r="M359" s="7" t="s">
        <v>59</v>
      </c>
      <c r="N359" s="57"/>
      <c r="O359" s="57"/>
      <c r="P359" s="57"/>
      <c r="Q359" s="57"/>
      <c r="R359" s="57"/>
      <c r="S359" s="57"/>
      <c r="T359" s="57"/>
      <c r="U359" s="57"/>
      <c r="V359" s="57"/>
      <c r="W359" s="57"/>
      <c r="X359" s="57"/>
      <c r="Y359" s="57"/>
      <c r="Z359" s="57"/>
      <c r="AA359" s="57"/>
      <c r="AB359" s="57">
        <v>16.100000000000001</v>
      </c>
      <c r="AC359" s="57"/>
      <c r="AD359" s="57"/>
      <c r="AE359" s="57"/>
      <c r="AF359" s="57"/>
      <c r="AG359" s="57"/>
      <c r="AH359" s="57"/>
      <c r="AI359" s="57">
        <v>18.2</v>
      </c>
      <c r="AJ359" s="57"/>
      <c r="AK359" s="57"/>
      <c r="AL359" s="57"/>
      <c r="AM359" s="57"/>
      <c r="AN359" s="171">
        <v>18.899999999999999</v>
      </c>
      <c r="AO359" s="58"/>
      <c r="AP359" s="57">
        <v>21</v>
      </c>
      <c r="AQ359" s="58">
        <v>19.3</v>
      </c>
      <c r="AR359" s="77"/>
      <c r="AS359" s="57"/>
      <c r="AT359" s="57"/>
      <c r="AU359" s="61"/>
      <c r="AV359" s="160">
        <v>21.5</v>
      </c>
      <c r="AW359" s="57"/>
      <c r="AX359" s="61"/>
      <c r="AY359" s="57"/>
      <c r="AZ359" s="61"/>
      <c r="BA359" s="57"/>
      <c r="BB359" s="61"/>
      <c r="BC359" s="61"/>
      <c r="BD359" s="61"/>
      <c r="BE359" s="61"/>
      <c r="BF359" s="61"/>
      <c r="BG359" s="61"/>
      <c r="BH359" s="57"/>
      <c r="BI359" s="61"/>
      <c r="BJ359" s="61"/>
      <c r="BK359" s="57"/>
      <c r="BL359" s="61"/>
      <c r="BM359" s="57"/>
      <c r="BN359" s="61"/>
      <c r="BO359" s="57"/>
      <c r="BP359" s="58"/>
      <c r="BQ359" s="61"/>
      <c r="BR359" s="61"/>
      <c r="BS359" s="57"/>
      <c r="BT359" s="61"/>
      <c r="BU359" s="61"/>
      <c r="BV359" s="61"/>
      <c r="BW359" s="61"/>
      <c r="BX359" s="61"/>
      <c r="BY359" s="61"/>
      <c r="BZ359" s="61"/>
      <c r="CA359" s="61"/>
      <c r="CB359" s="57"/>
      <c r="CC359" s="61"/>
      <c r="CD359" s="61"/>
      <c r="CE359" s="61"/>
      <c r="CF359" s="57"/>
      <c r="CG359" s="61"/>
      <c r="CH359" s="61"/>
      <c r="CI359" s="61"/>
      <c r="CJ359" s="57"/>
      <c r="CK359" s="61"/>
      <c r="CL359" s="61"/>
      <c r="CM359" s="61"/>
      <c r="CN359" s="61"/>
      <c r="CO359" s="61"/>
      <c r="CP359" s="61"/>
      <c r="CQ359" s="61"/>
      <c r="CR359" s="61"/>
      <c r="CS359" s="61"/>
      <c r="CT359" s="61"/>
      <c r="CU359" s="61"/>
      <c r="CV359" s="61"/>
      <c r="CW359" s="61"/>
      <c r="CX359" s="61"/>
      <c r="CY359" s="61"/>
      <c r="CZ359" s="61"/>
      <c r="DA359" s="61"/>
      <c r="DB359" s="61"/>
      <c r="DC359" s="61"/>
      <c r="DD359" s="61"/>
      <c r="DE359" s="61"/>
      <c r="DF359" s="61"/>
      <c r="DG359" s="61"/>
      <c r="DH359" s="61"/>
      <c r="DI359" s="61"/>
      <c r="DJ359" s="61"/>
      <c r="DK359" s="61"/>
      <c r="DL359" s="61"/>
      <c r="DM359" s="61"/>
      <c r="DN359" s="61"/>
      <c r="DO359" s="61"/>
      <c r="DP359" s="61"/>
      <c r="DQ359" s="156"/>
      <c r="DR359" s="156"/>
      <c r="DS359" s="156"/>
      <c r="DT359" s="156"/>
      <c r="DU359" s="156"/>
      <c r="DV359" s="156"/>
      <c r="DW359" s="156"/>
      <c r="DX359" s="156"/>
      <c r="DY359" s="156"/>
      <c r="DZ359" s="59"/>
      <c r="EA359" s="59"/>
      <c r="EB359" s="59"/>
      <c r="EC359" s="59"/>
      <c r="ED359" s="59"/>
      <c r="EE359" s="59"/>
      <c r="EF359" s="59"/>
      <c r="EG359" s="59"/>
    </row>
    <row r="360" spans="1:137" s="5" customFormat="1" ht="15.9" customHeight="1" outlineLevel="1" x14ac:dyDescent="0.3">
      <c r="A360" s="6" t="s">
        <v>23</v>
      </c>
      <c r="B360" s="140"/>
      <c r="C360" s="50" t="s">
        <v>24</v>
      </c>
      <c r="D360" s="50">
        <v>19.350000000000001</v>
      </c>
      <c r="E360" s="6" t="s">
        <v>675</v>
      </c>
      <c r="F360" s="6" t="s">
        <v>692</v>
      </c>
      <c r="G360" s="11" t="s">
        <v>693</v>
      </c>
      <c r="H360" s="11"/>
      <c r="I360" s="205" cm="1">
        <f t="array" ref="I360">IFERROR(LOOKUP(2,1/(N360:GR360&lt;&gt;""),N$4:DRA$4),"")</f>
        <v>45183</v>
      </c>
      <c r="J360" s="271" cm="1">
        <f t="array" ref="J360">IFERROR(_xlfn.XLOOKUP(TRUE,N360:EH360&lt;&gt;"",N360:EH360,,,-1)," ")</f>
        <v>24.6</v>
      </c>
      <c r="K360" s="49">
        <v>22</v>
      </c>
      <c r="L360" s="49"/>
      <c r="M360" s="158" t="s">
        <v>59</v>
      </c>
      <c r="N360" s="111"/>
      <c r="O360" s="111"/>
      <c r="P360" s="111"/>
      <c r="Q360" s="111"/>
      <c r="R360" s="111"/>
      <c r="S360" s="111"/>
      <c r="T360" s="111"/>
      <c r="U360" s="111"/>
      <c r="V360" s="111"/>
      <c r="W360" s="111"/>
      <c r="X360" s="111"/>
      <c r="Y360" s="111"/>
      <c r="Z360" s="111">
        <v>14.8</v>
      </c>
      <c r="AA360" s="111"/>
      <c r="AB360" s="111"/>
      <c r="AC360" s="111"/>
      <c r="AD360" s="111"/>
      <c r="AE360" s="111"/>
      <c r="AF360" s="111"/>
      <c r="AG360" s="111">
        <v>16.3</v>
      </c>
      <c r="AH360" s="111"/>
      <c r="AI360" s="111"/>
      <c r="AJ360" s="111"/>
      <c r="AK360" s="111"/>
      <c r="AL360" s="62"/>
      <c r="AM360" s="111"/>
      <c r="AN360" s="111"/>
      <c r="AO360" s="111"/>
      <c r="AP360" s="111">
        <v>18.2</v>
      </c>
      <c r="AQ360" s="111"/>
      <c r="AR360" s="111"/>
      <c r="AS360" s="111"/>
      <c r="AT360" s="111"/>
      <c r="AU360" s="158"/>
      <c r="AV360" s="158"/>
      <c r="AW360" s="111"/>
      <c r="AX360" s="112">
        <v>21.9</v>
      </c>
      <c r="AY360" s="111"/>
      <c r="AZ360" s="158"/>
      <c r="BA360" s="111"/>
      <c r="BB360" s="158"/>
      <c r="BC360" s="158"/>
      <c r="BD360" s="112">
        <v>21.3</v>
      </c>
      <c r="BE360" s="158"/>
      <c r="BF360" s="111"/>
      <c r="BG360" s="111"/>
      <c r="BH360" s="111"/>
      <c r="BI360" s="158"/>
      <c r="BJ360" s="372">
        <v>24.6</v>
      </c>
      <c r="BK360" s="111"/>
      <c r="BL360" s="111"/>
      <c r="BM360" s="111"/>
      <c r="BN360" s="158"/>
      <c r="BO360" s="111"/>
      <c r="BP360" s="112"/>
      <c r="BQ360" s="158"/>
      <c r="BR360" s="158"/>
      <c r="BS360" s="111"/>
      <c r="BT360" s="158"/>
      <c r="BU360" s="158"/>
      <c r="BV360" s="158"/>
      <c r="BW360" s="158"/>
      <c r="BX360" s="158"/>
      <c r="BY360" s="158"/>
      <c r="BZ360" s="158"/>
      <c r="CA360" s="158"/>
      <c r="CB360" s="111"/>
      <c r="CC360" s="158"/>
      <c r="CD360" s="158"/>
      <c r="CE360" s="158"/>
      <c r="CF360" s="111"/>
      <c r="CG360" s="158"/>
      <c r="CH360" s="158"/>
      <c r="CI360" s="158"/>
      <c r="CJ360" s="111"/>
      <c r="CK360" s="158"/>
      <c r="CL360" s="158"/>
      <c r="CM360" s="158"/>
      <c r="CN360" s="158"/>
      <c r="CO360" s="158"/>
      <c r="CP360" s="158"/>
      <c r="CQ360" s="158"/>
      <c r="CR360" s="158"/>
      <c r="CS360" s="158"/>
      <c r="CT360" s="158"/>
      <c r="CU360" s="158"/>
      <c r="CV360" s="158"/>
      <c r="CW360" s="158"/>
      <c r="CX360" s="158"/>
      <c r="CY360" s="158"/>
      <c r="CZ360" s="158"/>
      <c r="DA360" s="158"/>
      <c r="DB360" s="158"/>
      <c r="DC360" s="158"/>
      <c r="DD360" s="158"/>
      <c r="DE360" s="158"/>
      <c r="DF360" s="158"/>
      <c r="DG360" s="158"/>
      <c r="DH360" s="158"/>
      <c r="DI360" s="158"/>
      <c r="DJ360" s="158"/>
      <c r="DK360" s="158"/>
      <c r="DL360" s="158"/>
      <c r="DM360" s="158"/>
      <c r="DN360" s="158"/>
      <c r="DO360" s="158"/>
      <c r="DP360" s="158"/>
      <c r="DQ360" s="158"/>
      <c r="DR360" s="158"/>
      <c r="DS360" s="158"/>
      <c r="DT360" s="158"/>
      <c r="DU360" s="158"/>
      <c r="DV360" s="158"/>
      <c r="DW360" s="158"/>
      <c r="DX360" s="158"/>
      <c r="DY360" s="158"/>
      <c r="DZ360" s="89"/>
      <c r="EA360" s="89"/>
      <c r="EB360" s="89"/>
      <c r="EC360" s="89"/>
      <c r="ED360" s="89"/>
      <c r="EE360" s="89"/>
      <c r="EF360" s="89"/>
      <c r="EG360" s="89"/>
    </row>
    <row r="361" spans="1:137" s="97" customFormat="1" ht="15.9" customHeight="1" x14ac:dyDescent="0.3">
      <c r="A361" s="83"/>
      <c r="B361" s="83"/>
      <c r="C361" s="91"/>
      <c r="D361" s="82"/>
      <c r="E361" s="83" t="s">
        <v>694</v>
      </c>
      <c r="F361" s="83"/>
      <c r="G361" s="84" t="s">
        <v>695</v>
      </c>
      <c r="H361" s="84"/>
      <c r="I361" s="203"/>
      <c r="J361" s="167"/>
      <c r="K361" s="220"/>
      <c r="L361" s="92"/>
      <c r="M361" s="139" t="s">
        <v>21</v>
      </c>
      <c r="N361" s="94"/>
      <c r="O361" s="94"/>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94"/>
      <c r="AU361" s="101"/>
      <c r="AV361" s="101"/>
      <c r="AW361" s="94"/>
      <c r="AX361" s="94"/>
      <c r="AY361" s="94"/>
      <c r="AZ361" s="94"/>
      <c r="BA361" s="94"/>
      <c r="BB361" s="94"/>
      <c r="BC361" s="101"/>
      <c r="BD361" s="94"/>
      <c r="BE361" s="94"/>
      <c r="BF361" s="94"/>
      <c r="BG361" s="94"/>
      <c r="BH361" s="94"/>
      <c r="BI361" s="101"/>
      <c r="BJ361" s="101"/>
      <c r="BK361" s="94"/>
      <c r="BL361" s="94"/>
      <c r="BM361" s="94"/>
      <c r="BN361" s="94"/>
      <c r="BO361" s="94"/>
      <c r="BP361" s="95"/>
      <c r="BQ361" s="101"/>
      <c r="BR361" s="94"/>
      <c r="BS361" s="94"/>
      <c r="BT361" s="94"/>
      <c r="BU361" s="94"/>
      <c r="BV361" s="94"/>
      <c r="BW361" s="94"/>
      <c r="BX361" s="94"/>
      <c r="BY361" s="94"/>
      <c r="BZ361" s="94"/>
      <c r="CA361" s="94"/>
      <c r="CB361" s="94"/>
      <c r="CC361" s="93"/>
      <c r="CD361" s="101"/>
      <c r="CE361" s="101"/>
      <c r="CF361" s="94"/>
      <c r="CG361" s="94"/>
      <c r="CH361" s="94"/>
      <c r="CI361" s="94"/>
      <c r="CJ361" s="94"/>
      <c r="CK361" s="101"/>
      <c r="CL361" s="101"/>
      <c r="CM361" s="94"/>
      <c r="CN361" s="94"/>
      <c r="CO361" s="94"/>
      <c r="CP361" s="94"/>
      <c r="CQ361" s="94"/>
      <c r="CR361" s="101"/>
      <c r="CS361" s="101"/>
      <c r="CT361" s="94"/>
      <c r="CU361" s="94"/>
      <c r="CV361" s="101"/>
      <c r="CW361" s="101"/>
      <c r="CX361" s="101"/>
      <c r="CY361" s="101"/>
      <c r="CZ361" s="101"/>
      <c r="DA361" s="101"/>
      <c r="DB361" s="101"/>
      <c r="DC361" s="101"/>
      <c r="DD361" s="101"/>
      <c r="DE361" s="101"/>
      <c r="DF361" s="101"/>
      <c r="DG361" s="101"/>
      <c r="DH361" s="101"/>
      <c r="DI361" s="101"/>
      <c r="DJ361" s="101"/>
      <c r="DK361" s="101"/>
      <c r="DL361" s="101"/>
      <c r="DM361" s="101"/>
      <c r="DN361" s="101"/>
      <c r="DO361" s="101"/>
      <c r="DP361" s="101"/>
      <c r="DQ361" s="161"/>
      <c r="DR361" s="161"/>
      <c r="DS361" s="161"/>
      <c r="DT361" s="161"/>
      <c r="DU361" s="161"/>
      <c r="DV361" s="161"/>
      <c r="DW361" s="161"/>
      <c r="DX361" s="161"/>
      <c r="DY361" s="161"/>
      <c r="DZ361" s="89"/>
      <c r="EA361" s="89"/>
      <c r="EB361" s="89"/>
      <c r="EC361" s="89"/>
      <c r="ED361" s="89"/>
      <c r="EE361" s="89"/>
      <c r="EF361" s="89"/>
      <c r="EG361" s="89"/>
    </row>
    <row r="362" spans="1:137" s="5" customFormat="1" ht="15.9" customHeight="1" outlineLevel="1" x14ac:dyDescent="0.3">
      <c r="A362" s="2" t="s">
        <v>22</v>
      </c>
      <c r="B362" s="2"/>
      <c r="C362" s="4" t="s">
        <v>24</v>
      </c>
      <c r="D362" s="145"/>
      <c r="E362" s="6" t="s">
        <v>694</v>
      </c>
      <c r="F362" s="6" t="s">
        <v>696</v>
      </c>
      <c r="G362" s="11" t="s">
        <v>697</v>
      </c>
      <c r="H362" s="11"/>
      <c r="I362" s="205" cm="1">
        <f t="array" ref="I362">IFERROR(LOOKUP(2,1/(N362:GR362&lt;&gt;""),N$4:DRA$4),"")</f>
        <v>45197</v>
      </c>
      <c r="J362" s="168" cm="1">
        <f t="array" ref="J362">IFERROR(_xlfn.XLOOKUP(TRUE,N362:EH362&lt;&gt;"",N362:EH362,,,-1)," ")</f>
        <v>24.2</v>
      </c>
      <c r="K362" s="49"/>
      <c r="L362" s="49"/>
      <c r="M362" s="6" t="s">
        <v>28</v>
      </c>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228">
        <v>17.5</v>
      </c>
      <c r="AN362" s="21"/>
      <c r="AO362" s="21"/>
      <c r="AP362" s="21"/>
      <c r="AQ362" s="21"/>
      <c r="AR362" s="21"/>
      <c r="AS362" s="55"/>
      <c r="AT362" s="21"/>
      <c r="AU362" s="157"/>
      <c r="AV362" s="154"/>
      <c r="AW362" s="21"/>
      <c r="AX362" s="21"/>
      <c r="AY362" s="21"/>
      <c r="AZ362" s="56"/>
      <c r="BA362" s="21"/>
      <c r="BB362" s="21"/>
      <c r="BC362" s="154"/>
      <c r="BD362" s="23"/>
      <c r="BE362" s="21"/>
      <c r="BF362" s="21"/>
      <c r="BG362" s="23"/>
      <c r="BH362" s="21"/>
      <c r="BI362" s="154"/>
      <c r="BJ362" s="154"/>
      <c r="BK362" s="21"/>
      <c r="BL362" s="21"/>
      <c r="BM362" s="23"/>
      <c r="BN362" s="21"/>
      <c r="BO362" s="21"/>
      <c r="BP362" s="23"/>
      <c r="BQ362" s="154"/>
      <c r="BR362" s="21"/>
      <c r="BS362" s="21">
        <v>22.8</v>
      </c>
      <c r="BT362" s="21"/>
      <c r="BU362" s="21"/>
      <c r="BV362" s="21"/>
      <c r="BW362" s="21"/>
      <c r="BX362" s="23">
        <v>24.2</v>
      </c>
      <c r="BY362" s="21"/>
      <c r="BZ362" s="21"/>
      <c r="CA362" s="21"/>
      <c r="CB362" s="21"/>
      <c r="CC362" s="2"/>
      <c r="CD362" s="154"/>
      <c r="CE362" s="154"/>
      <c r="CF362" s="21"/>
      <c r="CG362" s="154"/>
      <c r="CH362" s="21"/>
      <c r="CI362" s="154"/>
      <c r="CJ362" s="21"/>
      <c r="CK362" s="154"/>
      <c r="CL362" s="154"/>
      <c r="CM362" s="154"/>
      <c r="CN362" s="154"/>
      <c r="CO362" s="154"/>
      <c r="CP362" s="154"/>
      <c r="CQ362" s="154"/>
      <c r="CR362" s="154"/>
      <c r="CS362" s="154"/>
      <c r="CT362" s="154"/>
      <c r="CU362" s="154"/>
      <c r="CV362" s="154"/>
      <c r="CW362" s="154"/>
      <c r="CX362" s="154"/>
      <c r="CY362" s="154"/>
      <c r="CZ362" s="154"/>
      <c r="DA362" s="154"/>
      <c r="DB362" s="154"/>
      <c r="DC362" s="154"/>
      <c r="DD362" s="154"/>
      <c r="DE362" s="154"/>
      <c r="DF362" s="154"/>
      <c r="DG362" s="154"/>
      <c r="DH362" s="154"/>
      <c r="DI362" s="154"/>
      <c r="DJ362" s="154"/>
      <c r="DK362" s="154"/>
      <c r="DL362" s="154"/>
      <c r="DM362" s="154"/>
      <c r="DN362" s="154"/>
      <c r="DO362" s="154"/>
      <c r="DP362" s="154"/>
      <c r="DQ362" s="154"/>
      <c r="DR362" s="154"/>
      <c r="DS362" s="154"/>
      <c r="DT362" s="154"/>
      <c r="DU362" s="154"/>
      <c r="DV362" s="154"/>
      <c r="DW362" s="154"/>
      <c r="DX362" s="154"/>
      <c r="DY362" s="154"/>
      <c r="DZ362" s="89"/>
      <c r="EA362" s="89"/>
      <c r="EB362" s="89"/>
      <c r="EC362" s="89"/>
      <c r="ED362" s="89"/>
      <c r="EE362" s="89"/>
      <c r="EF362" s="89"/>
      <c r="EG362" s="89"/>
    </row>
    <row r="363" spans="1:137" s="10" customFormat="1" ht="15.9" customHeight="1" outlineLevel="1" x14ac:dyDescent="0.3">
      <c r="A363" s="2" t="s">
        <v>22</v>
      </c>
      <c r="B363" s="2"/>
      <c r="C363" s="4" t="s">
        <v>24</v>
      </c>
      <c r="D363" s="145"/>
      <c r="E363" s="6" t="s">
        <v>694</v>
      </c>
      <c r="F363" s="6" t="s">
        <v>698</v>
      </c>
      <c r="G363" s="11" t="s">
        <v>699</v>
      </c>
      <c r="H363" s="11"/>
      <c r="I363" s="205" cm="1">
        <f t="array" ref="I363">IFERROR(LOOKUP(2,1/(N363:GR363&lt;&gt;""),N$4:DRA$4),"")</f>
        <v>45210</v>
      </c>
      <c r="J363" s="315" cm="1">
        <f t="array" ref="J363">IFERROR(_xlfn.XLOOKUP(TRUE,N363:EH363&lt;&gt;"",N363:EH363,,,-1)," ")</f>
        <v>24.3</v>
      </c>
      <c r="K363" s="49"/>
      <c r="L363" s="49"/>
      <c r="M363" s="6" t="s">
        <v>28</v>
      </c>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c r="AP363" s="21"/>
      <c r="AQ363" s="21"/>
      <c r="AR363" s="21"/>
      <c r="AS363" s="21"/>
      <c r="AT363" s="21"/>
      <c r="AU363" s="154"/>
      <c r="AV363" s="154"/>
      <c r="AW363" s="21"/>
      <c r="AX363" s="21"/>
      <c r="AY363" s="21"/>
      <c r="AZ363" s="21"/>
      <c r="BA363" s="21"/>
      <c r="BB363" s="21"/>
      <c r="BC363" s="154"/>
      <c r="BD363" s="21"/>
      <c r="BE363" s="21"/>
      <c r="BF363" s="21"/>
      <c r="BG363" s="21"/>
      <c r="BH363" s="21"/>
      <c r="BI363" s="154"/>
      <c r="BJ363" s="154"/>
      <c r="BK363" s="21"/>
      <c r="BL363" s="21"/>
      <c r="BM363" s="21"/>
      <c r="BN363" s="21"/>
      <c r="BO363" s="79"/>
      <c r="BP363" s="23"/>
      <c r="BQ363" s="154"/>
      <c r="BR363" s="21"/>
      <c r="BS363" s="21"/>
      <c r="BT363" s="56"/>
      <c r="BU363" s="21"/>
      <c r="BV363" s="21"/>
      <c r="BW363" s="56"/>
      <c r="BX363" s="21"/>
      <c r="BY363" s="21"/>
      <c r="BZ363" s="21"/>
      <c r="CA363" s="21"/>
      <c r="CB363" s="21"/>
      <c r="CC363" s="2"/>
      <c r="CD363" s="154"/>
      <c r="CE363" s="154"/>
      <c r="CF363" s="55">
        <v>22</v>
      </c>
      <c r="CG363" s="21"/>
      <c r="CH363" s="21"/>
      <c r="CI363" s="21"/>
      <c r="CJ363" s="21"/>
      <c r="CK363" s="419">
        <v>24.3</v>
      </c>
      <c r="CL363" s="154"/>
      <c r="CM363" s="21"/>
      <c r="CN363" s="21"/>
      <c r="CO363" s="23"/>
      <c r="CP363" s="21"/>
      <c r="CQ363" s="21"/>
      <c r="CR363" s="154"/>
      <c r="CS363" s="154"/>
      <c r="CT363" s="21"/>
      <c r="CU363" s="21"/>
      <c r="CV363" s="154"/>
      <c r="CW363" s="154"/>
      <c r="CX363" s="154"/>
      <c r="CY363" s="154"/>
      <c r="CZ363" s="154"/>
      <c r="DA363" s="154"/>
      <c r="DB363" s="154"/>
      <c r="DC363" s="154"/>
      <c r="DD363" s="154"/>
      <c r="DE363" s="154"/>
      <c r="DF363" s="154"/>
      <c r="DG363" s="154"/>
      <c r="DH363" s="154"/>
      <c r="DI363" s="154"/>
      <c r="DJ363" s="154"/>
      <c r="DK363" s="154"/>
      <c r="DL363" s="154"/>
      <c r="DM363" s="154"/>
      <c r="DN363" s="154"/>
      <c r="DO363" s="154"/>
      <c r="DP363" s="154"/>
      <c r="DQ363" s="23"/>
      <c r="DR363" s="23"/>
      <c r="DS363" s="23"/>
      <c r="DT363" s="23"/>
      <c r="DU363" s="23"/>
      <c r="DV363" s="23"/>
      <c r="DW363" s="23"/>
      <c r="DX363" s="23"/>
      <c r="DY363" s="23"/>
      <c r="DZ363" s="96"/>
      <c r="EA363" s="96"/>
      <c r="EB363" s="96"/>
      <c r="EC363" s="96"/>
      <c r="ED363" s="96"/>
      <c r="EE363" s="96"/>
      <c r="EF363" s="96"/>
      <c r="EG363" s="96"/>
    </row>
    <row r="364" spans="1:137" s="10" customFormat="1" ht="15.9" customHeight="1" outlineLevel="1" x14ac:dyDescent="0.3">
      <c r="A364" s="6" t="s">
        <v>22</v>
      </c>
      <c r="B364" s="6"/>
      <c r="C364" s="129" t="s">
        <v>44</v>
      </c>
      <c r="D364" s="129">
        <v>18.260000000000002</v>
      </c>
      <c r="E364" s="130" t="s">
        <v>694</v>
      </c>
      <c r="F364" s="130" t="s">
        <v>700</v>
      </c>
      <c r="G364" s="131" t="s">
        <v>701</v>
      </c>
      <c r="H364" s="131"/>
      <c r="I364" s="205" cm="1">
        <f t="array" ref="I364">IFERROR(LOOKUP(2,1/(N364:GR364&lt;&gt;""),N$4:DRA$4),"")</f>
        <v>45185</v>
      </c>
      <c r="J364" s="170" cm="1">
        <f t="array" ref="J364">IFERROR(_xlfn.XLOOKUP(TRUE,N364:EH364&lt;&gt;"",N364:EH364,,,-1)," ")</f>
        <v>24.8</v>
      </c>
      <c r="K364" s="49">
        <v>24.5</v>
      </c>
      <c r="L364" s="49">
        <v>25.5</v>
      </c>
      <c r="M364" s="6" t="s">
        <v>28</v>
      </c>
      <c r="N364" s="62"/>
      <c r="O364" s="62"/>
      <c r="P364" s="62"/>
      <c r="Q364" s="62"/>
      <c r="R364" s="62"/>
      <c r="S364" s="62"/>
      <c r="T364" s="62"/>
      <c r="U364" s="62"/>
      <c r="V364" s="62"/>
      <c r="W364" s="62"/>
      <c r="X364" s="62"/>
      <c r="Y364" s="62"/>
      <c r="Z364" s="62"/>
      <c r="AA364" s="62"/>
      <c r="AB364" s="62"/>
      <c r="AC364" s="62"/>
      <c r="AD364" s="62"/>
      <c r="AE364" s="62"/>
      <c r="AF364" s="62"/>
      <c r="AG364" s="62"/>
      <c r="AH364" s="62"/>
      <c r="AI364" s="62"/>
      <c r="AJ364" s="62"/>
      <c r="AK364" s="62"/>
      <c r="AL364" s="62"/>
      <c r="AM364" s="62"/>
      <c r="AN364" s="62"/>
      <c r="AO364" s="62"/>
      <c r="AP364" s="62"/>
      <c r="AQ364" s="62">
        <v>19.8</v>
      </c>
      <c r="AR364" s="62"/>
      <c r="AS364" s="62"/>
      <c r="AT364" s="62"/>
      <c r="AU364" s="63"/>
      <c r="AV364" s="63"/>
      <c r="AW364" s="62"/>
      <c r="AX364" s="62">
        <v>20.8</v>
      </c>
      <c r="AY364" s="62"/>
      <c r="AZ364" s="62"/>
      <c r="BA364" s="62"/>
      <c r="BB364" s="62"/>
      <c r="BC364" s="63"/>
      <c r="BD364" s="62"/>
      <c r="BE364" s="62"/>
      <c r="BF364" s="62"/>
      <c r="BG364" s="62"/>
      <c r="BH364" s="62">
        <v>23.6</v>
      </c>
      <c r="BI364" s="159">
        <v>23.4</v>
      </c>
      <c r="BJ364" s="63"/>
      <c r="BK364" s="62"/>
      <c r="BL364" s="64">
        <v>24.8</v>
      </c>
      <c r="BM364" s="62"/>
      <c r="BN364" s="62"/>
      <c r="BO364" s="62"/>
      <c r="BP364" s="64"/>
      <c r="BQ364" s="63"/>
      <c r="BR364" s="62"/>
      <c r="BS364" s="62"/>
      <c r="BT364" s="62"/>
      <c r="BU364" s="62"/>
      <c r="BV364" s="62"/>
      <c r="BW364" s="62"/>
      <c r="BX364" s="62"/>
      <c r="BY364" s="62"/>
      <c r="BZ364" s="62"/>
      <c r="CA364" s="62"/>
      <c r="CB364" s="62"/>
      <c r="CC364" s="62"/>
      <c r="CD364" s="63"/>
      <c r="CE364" s="63"/>
      <c r="CF364" s="62"/>
      <c r="CG364" s="62"/>
      <c r="CH364" s="62"/>
      <c r="CI364" s="62"/>
      <c r="CJ364" s="62"/>
      <c r="CK364" s="63"/>
      <c r="CL364" s="63"/>
      <c r="CM364" s="62"/>
      <c r="CN364" s="62"/>
      <c r="CO364" s="62"/>
      <c r="CP364" s="62"/>
      <c r="CQ364" s="62"/>
      <c r="CR364" s="63"/>
      <c r="CS364" s="63"/>
      <c r="CT364" s="62"/>
      <c r="CU364" s="62"/>
      <c r="CV364" s="63"/>
      <c r="CW364" s="63"/>
      <c r="CX364" s="63"/>
      <c r="CY364" s="63"/>
      <c r="CZ364" s="63"/>
      <c r="DA364" s="63"/>
      <c r="DB364" s="63"/>
      <c r="DC364" s="63"/>
      <c r="DD364" s="63"/>
      <c r="DE364" s="63"/>
      <c r="DF364" s="63"/>
      <c r="DG364" s="63"/>
      <c r="DH364" s="63"/>
      <c r="DI364" s="63"/>
      <c r="DJ364" s="63"/>
      <c r="DK364" s="63"/>
      <c r="DL364" s="63"/>
      <c r="DM364" s="63"/>
      <c r="DN364" s="63"/>
      <c r="DO364" s="63"/>
      <c r="DP364" s="63"/>
      <c r="DQ364" s="158"/>
      <c r="DR364" s="158"/>
      <c r="DS364" s="158"/>
      <c r="DT364" s="158"/>
      <c r="DU364" s="158"/>
      <c r="DV364" s="158"/>
      <c r="DW364" s="158"/>
      <c r="DX364" s="158"/>
      <c r="DY364" s="158"/>
      <c r="DZ364" s="138"/>
      <c r="EA364" s="138"/>
      <c r="EB364" s="138"/>
      <c r="EC364" s="138"/>
      <c r="ED364" s="138"/>
      <c r="EE364" s="138"/>
      <c r="EF364" s="138"/>
      <c r="EG364" s="138"/>
    </row>
    <row r="365" spans="1:137" s="10" customFormat="1" ht="15.9" customHeight="1" outlineLevel="1" x14ac:dyDescent="0.3">
      <c r="A365" s="7" t="s">
        <v>22</v>
      </c>
      <c r="B365" s="7" t="s">
        <v>23</v>
      </c>
      <c r="C365" s="8" t="s">
        <v>44</v>
      </c>
      <c r="D365" s="146">
        <v>17.14</v>
      </c>
      <c r="E365" s="7" t="s">
        <v>694</v>
      </c>
      <c r="F365" s="7" t="s">
        <v>702</v>
      </c>
      <c r="G365" s="9" t="s">
        <v>703</v>
      </c>
      <c r="H365" s="9"/>
      <c r="I365" s="204" cm="1">
        <f t="array" ref="I365">IFERROR(LOOKUP(2,1/(N365:GR365&lt;&gt;""),N$4:DRA$4),"")</f>
        <v>45206</v>
      </c>
      <c r="J365" s="169" cm="1">
        <f t="array" ref="J365">IFERROR(_xlfn.XLOOKUP(TRUE,N365:EH365&lt;&gt;"",N365:EH365,,,-1)," ")</f>
        <v>22.4</v>
      </c>
      <c r="K365" s="45">
        <v>24</v>
      </c>
      <c r="L365" s="45">
        <v>25.5</v>
      </c>
      <c r="M365" s="7" t="s">
        <v>28</v>
      </c>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c r="AN365" s="29"/>
      <c r="AO365" s="29"/>
      <c r="AP365" s="29"/>
      <c r="AQ365" s="29"/>
      <c r="AR365" s="29"/>
      <c r="AS365" s="29">
        <v>16.399999999999999</v>
      </c>
      <c r="AT365" s="29"/>
      <c r="AU365" s="156"/>
      <c r="AV365" s="156"/>
      <c r="AW365" s="29"/>
      <c r="AX365" s="29"/>
      <c r="AY365" s="29"/>
      <c r="AZ365" s="29"/>
      <c r="BA365" s="29"/>
      <c r="BB365" s="29"/>
      <c r="BC365" s="156"/>
      <c r="BD365" s="57">
        <v>19</v>
      </c>
      <c r="BE365" s="29"/>
      <c r="BF365" s="29"/>
      <c r="BG365" s="29"/>
      <c r="BH365" s="29"/>
      <c r="BI365" s="156"/>
      <c r="BJ365" s="156"/>
      <c r="BK365" s="57">
        <v>20</v>
      </c>
      <c r="BL365" s="29"/>
      <c r="BM365" s="29"/>
      <c r="BN365" s="29"/>
      <c r="BO365" s="29"/>
      <c r="BP365" s="78"/>
      <c r="BQ365" s="156"/>
      <c r="BR365" s="29">
        <v>21.4</v>
      </c>
      <c r="BS365" s="29"/>
      <c r="BT365" s="29"/>
      <c r="BU365" s="58"/>
      <c r="BV365" s="78"/>
      <c r="BW365" s="29"/>
      <c r="BX365" s="29"/>
      <c r="BY365" s="29"/>
      <c r="BZ365" s="29">
        <v>22.2</v>
      </c>
      <c r="CA365" s="29"/>
      <c r="CB365" s="29"/>
      <c r="CC365" s="7"/>
      <c r="CD365" s="156"/>
      <c r="CE365" s="156"/>
      <c r="CF365" s="29"/>
      <c r="CG365" s="156">
        <v>22.4</v>
      </c>
      <c r="CH365" s="29"/>
      <c r="CI365" s="156"/>
      <c r="CJ365" s="29"/>
      <c r="CK365" s="156"/>
      <c r="CL365" s="156"/>
      <c r="CM365" s="156"/>
      <c r="CN365" s="156"/>
      <c r="CO365" s="156"/>
      <c r="CP365" s="156"/>
      <c r="CQ365" s="156"/>
      <c r="CR365" s="156"/>
      <c r="CS365" s="156"/>
      <c r="CT365" s="156"/>
      <c r="CU365" s="156"/>
      <c r="CV365" s="156"/>
      <c r="CW365" s="156"/>
      <c r="CX365" s="156"/>
      <c r="CY365" s="156"/>
      <c r="CZ365" s="156"/>
      <c r="DA365" s="156"/>
      <c r="DB365" s="156"/>
      <c r="DC365" s="156"/>
      <c r="DD365" s="156"/>
      <c r="DE365" s="156"/>
      <c r="DF365" s="156"/>
      <c r="DG365" s="156"/>
      <c r="DH365" s="156"/>
      <c r="DI365" s="156"/>
      <c r="DJ365" s="156"/>
      <c r="DK365" s="156"/>
      <c r="DL365" s="156"/>
      <c r="DM365" s="156"/>
      <c r="DN365" s="156"/>
      <c r="DO365" s="156"/>
      <c r="DP365" s="156"/>
      <c r="DQ365" s="156"/>
      <c r="DR365" s="156"/>
      <c r="DS365" s="156"/>
      <c r="DT365" s="156"/>
      <c r="DU365" s="156"/>
      <c r="DV365" s="156"/>
      <c r="DW365" s="156"/>
      <c r="DX365" s="156"/>
      <c r="DY365" s="156"/>
      <c r="DZ365" s="65"/>
      <c r="EA365" s="65"/>
      <c r="EB365" s="65"/>
      <c r="EC365" s="65"/>
      <c r="ED365" s="65"/>
      <c r="EE365" s="65"/>
      <c r="EF365" s="65"/>
      <c r="EG365" s="65"/>
    </row>
    <row r="366" spans="1:137" s="1" customFormat="1" ht="15.9" customHeight="1" outlineLevel="1" x14ac:dyDescent="0.3">
      <c r="A366" s="2" t="s">
        <v>22</v>
      </c>
      <c r="B366" s="2" t="s">
        <v>23</v>
      </c>
      <c r="C366" s="4" t="s">
        <v>44</v>
      </c>
      <c r="D366" s="145">
        <v>11.79</v>
      </c>
      <c r="E366" s="2" t="s">
        <v>694</v>
      </c>
      <c r="F366" s="2" t="s">
        <v>704</v>
      </c>
      <c r="G366" s="3" t="s">
        <v>705</v>
      </c>
      <c r="H366" s="3"/>
      <c r="I366" s="205" cm="1">
        <f t="array" ref="I366">IFERROR(LOOKUP(2,1/(N366:GR366&lt;&gt;""),N$4:DRA$4),"")</f>
        <v>45206</v>
      </c>
      <c r="J366" s="168" cm="1">
        <f t="array" ref="J366">IFERROR(_xlfn.XLOOKUP(TRUE,N366:EH366&lt;&gt;"",N366:EH366,,,-1)," ")</f>
        <v>24.6</v>
      </c>
      <c r="K366" s="46">
        <v>24</v>
      </c>
      <c r="L366" s="46">
        <v>25.5</v>
      </c>
      <c r="M366" s="2" t="s">
        <v>28</v>
      </c>
      <c r="N366" s="55"/>
      <c r="O366" s="55"/>
      <c r="P366" s="55"/>
      <c r="Q366" s="55"/>
      <c r="R366" s="55"/>
      <c r="S366" s="55"/>
      <c r="T366" s="55"/>
      <c r="U366" s="55"/>
      <c r="V366" s="55"/>
      <c r="W366" s="55"/>
      <c r="X366" s="55"/>
      <c r="Y366" s="55"/>
      <c r="Z366" s="55"/>
      <c r="AA366" s="55"/>
      <c r="AB366" s="55"/>
      <c r="AC366" s="55"/>
      <c r="AD366" s="55"/>
      <c r="AE366" s="55"/>
      <c r="AF366" s="55"/>
      <c r="AG366" s="55"/>
      <c r="AH366" s="55"/>
      <c r="AI366" s="55"/>
      <c r="AJ366" s="55"/>
      <c r="AK366" s="55"/>
      <c r="AL366" s="55"/>
      <c r="AM366" s="55"/>
      <c r="AN366" s="55"/>
      <c r="AO366" s="55"/>
      <c r="AP366" s="55"/>
      <c r="AQ366" s="55"/>
      <c r="AR366" s="55"/>
      <c r="AS366" s="55">
        <v>20.6</v>
      </c>
      <c r="AT366" s="55"/>
      <c r="AU366" s="153"/>
      <c r="AV366" s="153"/>
      <c r="AW366" s="55"/>
      <c r="AX366" s="55"/>
      <c r="AY366" s="55"/>
      <c r="AZ366" s="55"/>
      <c r="BA366" s="55"/>
      <c r="BB366" s="55"/>
      <c r="BC366" s="153"/>
      <c r="BD366" s="55">
        <v>19.8</v>
      </c>
      <c r="BE366" s="55"/>
      <c r="BF366" s="55"/>
      <c r="BG366" s="56"/>
      <c r="BH366" s="55"/>
      <c r="BI366" s="153"/>
      <c r="BJ366" s="153"/>
      <c r="BK366" s="55">
        <v>22.3</v>
      </c>
      <c r="BL366" s="56"/>
      <c r="BM366" s="55"/>
      <c r="BN366" s="55"/>
      <c r="BO366" s="55"/>
      <c r="BP366" s="56"/>
      <c r="BQ366" s="153"/>
      <c r="BR366" s="55">
        <v>22.4</v>
      </c>
      <c r="BS366" s="55"/>
      <c r="BT366" s="55"/>
      <c r="BU366" s="55"/>
      <c r="BV366" s="56"/>
      <c r="BW366" s="55"/>
      <c r="BX366" s="55"/>
      <c r="BY366" s="55"/>
      <c r="BZ366" s="55">
        <v>22.6</v>
      </c>
      <c r="CA366" s="55"/>
      <c r="CB366" s="55"/>
      <c r="CC366" s="401"/>
      <c r="CD366" s="153"/>
      <c r="CE366" s="153"/>
      <c r="CF366" s="55"/>
      <c r="CG366" s="153">
        <v>24.6</v>
      </c>
      <c r="CH366" s="55"/>
      <c r="CI366" s="153"/>
      <c r="CJ366" s="55"/>
      <c r="CK366" s="153"/>
      <c r="CL366" s="153"/>
      <c r="CM366" s="153"/>
      <c r="CN366" s="153"/>
      <c r="CO366" s="153"/>
      <c r="CP366" s="153"/>
      <c r="CQ366" s="153"/>
      <c r="CR366" s="153"/>
      <c r="CS366" s="153"/>
      <c r="CT366" s="153"/>
      <c r="CU366" s="153"/>
      <c r="CV366" s="153"/>
      <c r="CW366" s="153"/>
      <c r="CX366" s="153"/>
      <c r="CY366" s="153"/>
      <c r="CZ366" s="153"/>
      <c r="DA366" s="153"/>
      <c r="DB366" s="153"/>
      <c r="DC366" s="153"/>
      <c r="DD366" s="153"/>
      <c r="DE366" s="153"/>
      <c r="DF366" s="153"/>
      <c r="DG366" s="153"/>
      <c r="DH366" s="153"/>
      <c r="DI366" s="153"/>
      <c r="DJ366" s="153"/>
      <c r="DK366" s="153"/>
      <c r="DL366" s="153"/>
      <c r="DM366" s="153"/>
      <c r="DN366" s="153"/>
      <c r="DO366" s="153"/>
      <c r="DP366" s="153"/>
      <c r="DQ366" s="154"/>
      <c r="DR366" s="154"/>
      <c r="DS366" s="154"/>
      <c r="DT366" s="154"/>
      <c r="DU366" s="154"/>
      <c r="DV366" s="154"/>
      <c r="DW366" s="154"/>
      <c r="DX366" s="154"/>
      <c r="DY366" s="154"/>
      <c r="DZ366" s="96"/>
      <c r="EA366" s="96"/>
      <c r="EB366" s="96"/>
      <c r="EC366" s="96"/>
      <c r="ED366" s="96"/>
      <c r="EE366" s="96"/>
      <c r="EF366" s="96"/>
      <c r="EG366" s="96"/>
    </row>
    <row r="367" spans="1:137" s="12" customFormat="1" ht="15.9" customHeight="1" outlineLevel="1" x14ac:dyDescent="0.3">
      <c r="A367" s="29" t="s">
        <v>22</v>
      </c>
      <c r="B367" s="29" t="s">
        <v>23</v>
      </c>
      <c r="C367" s="32" t="s">
        <v>44</v>
      </c>
      <c r="D367" s="31">
        <v>29.27</v>
      </c>
      <c r="E367" s="29" t="s">
        <v>694</v>
      </c>
      <c r="F367" s="29" t="s">
        <v>706</v>
      </c>
      <c r="G367" s="30" t="s">
        <v>707</v>
      </c>
      <c r="H367" s="390"/>
      <c r="I367" s="204" cm="1">
        <f t="array" ref="I367">IFERROR(LOOKUP(2,1/(N367:GR367&lt;&gt;""),N$4:DRA$4),"")</f>
        <v>45209</v>
      </c>
      <c r="J367" s="266" cm="1">
        <f t="array" ref="J367">IFERROR(_xlfn.XLOOKUP(TRUE,N367:EH367&lt;&gt;"",N367:EH367,,,-1)," ")</f>
        <v>24.1</v>
      </c>
      <c r="K367" s="189">
        <v>24</v>
      </c>
      <c r="L367" s="189">
        <v>25.5</v>
      </c>
      <c r="M367" s="29" t="s">
        <v>28</v>
      </c>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v>18.3</v>
      </c>
      <c r="AX367" s="78"/>
      <c r="AY367" s="78"/>
      <c r="AZ367" s="78"/>
      <c r="BA367" s="78"/>
      <c r="BB367" s="78"/>
      <c r="BC367" s="78"/>
      <c r="BD367" s="78"/>
      <c r="BE367" s="78"/>
      <c r="BF367" s="78"/>
      <c r="BG367" s="78"/>
      <c r="BH367" s="29">
        <v>20.6</v>
      </c>
      <c r="BI367" s="78"/>
      <c r="BJ367" s="78"/>
      <c r="BK367" s="78"/>
      <c r="BL367" s="78"/>
      <c r="BM367" s="78"/>
      <c r="BN367" s="78"/>
      <c r="BO367" s="29"/>
      <c r="BP367" s="78"/>
      <c r="BQ367" s="78"/>
      <c r="BR367" s="78"/>
      <c r="BS367" s="58"/>
      <c r="BT367" s="78"/>
      <c r="BU367" s="78"/>
      <c r="BV367" s="78"/>
      <c r="BW367" s="78"/>
      <c r="BX367" s="78"/>
      <c r="BY367" s="78"/>
      <c r="BZ367" s="78"/>
      <c r="CA367" s="78"/>
      <c r="CB367" s="58"/>
      <c r="CC367" s="405"/>
      <c r="CD367" s="78"/>
      <c r="CE367" s="78"/>
      <c r="CF367" s="78"/>
      <c r="CG367" s="78"/>
      <c r="CH367" s="78"/>
      <c r="CI367" s="78"/>
      <c r="CJ367" s="78">
        <v>24.1</v>
      </c>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156"/>
      <c r="DR367" s="156"/>
      <c r="DS367" s="156"/>
      <c r="DT367" s="156"/>
      <c r="DU367" s="156"/>
      <c r="DV367" s="156"/>
      <c r="DW367" s="156"/>
      <c r="DX367" s="156"/>
      <c r="DY367" s="156"/>
      <c r="DZ367" s="96"/>
      <c r="EA367" s="96"/>
      <c r="EB367" s="96"/>
      <c r="EC367" s="96"/>
      <c r="ED367" s="96"/>
      <c r="EE367" s="96"/>
      <c r="EF367" s="96"/>
      <c r="EG367" s="96"/>
    </row>
    <row r="368" spans="1:137" s="10" customFormat="1" ht="15.9" customHeight="1" outlineLevel="1" x14ac:dyDescent="0.3">
      <c r="A368" s="7" t="s">
        <v>22</v>
      </c>
      <c r="B368" s="7" t="s">
        <v>23</v>
      </c>
      <c r="C368" s="8" t="s">
        <v>44</v>
      </c>
      <c r="D368" s="146"/>
      <c r="E368" s="7" t="s">
        <v>694</v>
      </c>
      <c r="F368" s="29" t="s">
        <v>706</v>
      </c>
      <c r="G368" s="9" t="s">
        <v>708</v>
      </c>
      <c r="H368" s="9"/>
      <c r="I368" s="204" cm="1">
        <f t="array" ref="I368">IFERROR(LOOKUP(2,1/(N368:GR368&lt;&gt;""),N$4:DRA$4),"")</f>
        <v>45204</v>
      </c>
      <c r="J368" s="169" cm="1">
        <f t="array" ref="J368">IFERROR(_xlfn.XLOOKUP(TRUE,N368:EH368&lt;&gt;"",N368:EH368,,,-1)," ")</f>
        <v>23</v>
      </c>
      <c r="K368" s="45">
        <v>24</v>
      </c>
      <c r="L368" s="45">
        <v>25.5</v>
      </c>
      <c r="M368" s="7" t="s">
        <v>28</v>
      </c>
      <c r="N368" s="29"/>
      <c r="O368" s="29"/>
      <c r="P368" s="29"/>
      <c r="Q368" s="29"/>
      <c r="R368" s="29"/>
      <c r="S368" s="29"/>
      <c r="T368" s="29"/>
      <c r="U368" s="29"/>
      <c r="V368" s="29"/>
      <c r="W368" s="29"/>
      <c r="X368" s="29"/>
      <c r="Y368" s="29"/>
      <c r="Z368" s="29"/>
      <c r="AA368" s="29"/>
      <c r="AB368" s="29"/>
      <c r="AC368" s="29"/>
      <c r="AD368" s="29"/>
      <c r="AE368" s="29"/>
      <c r="AF368" s="29"/>
      <c r="AG368" s="29"/>
      <c r="AH368" s="29"/>
      <c r="AI368" s="29"/>
      <c r="AJ368" s="29"/>
      <c r="AK368" s="29"/>
      <c r="AL368" s="29"/>
      <c r="AM368" s="29"/>
      <c r="AN368" s="29"/>
      <c r="AO368" s="29"/>
      <c r="AP368" s="29"/>
      <c r="AQ368" s="29"/>
      <c r="AR368" s="29"/>
      <c r="AS368" s="29"/>
      <c r="AT368" s="29"/>
      <c r="AU368" s="156"/>
      <c r="AV368" s="156"/>
      <c r="AW368" s="29"/>
      <c r="AX368" s="29"/>
      <c r="AY368" s="29"/>
      <c r="AZ368" s="29"/>
      <c r="BA368" s="29"/>
      <c r="BB368" s="29"/>
      <c r="BC368" s="156"/>
      <c r="BD368" s="29"/>
      <c r="BE368" s="29"/>
      <c r="BF368" s="29"/>
      <c r="BG368" s="29"/>
      <c r="BH368" s="29"/>
      <c r="BI368" s="156"/>
      <c r="BJ368" s="156"/>
      <c r="BK368" s="29"/>
      <c r="BL368" s="57"/>
      <c r="BM368" s="29"/>
      <c r="BN368" s="29"/>
      <c r="BO368" s="29"/>
      <c r="BP368" s="57" t="s">
        <v>709</v>
      </c>
      <c r="BQ368" s="156"/>
      <c r="BR368" s="29"/>
      <c r="BS368" s="29">
        <v>21.7</v>
      </c>
      <c r="BT368" s="58"/>
      <c r="BU368" s="29"/>
      <c r="BV368" s="29"/>
      <c r="BW368" s="29"/>
      <c r="BX368" s="29"/>
      <c r="BY368" s="29"/>
      <c r="BZ368" s="29"/>
      <c r="CA368" s="29"/>
      <c r="CB368" s="29"/>
      <c r="CC368" s="7"/>
      <c r="CD368" s="156"/>
      <c r="CE368" s="61">
        <v>23</v>
      </c>
      <c r="CF368" s="29"/>
      <c r="CG368" s="156"/>
      <c r="CH368" s="29"/>
      <c r="CI368" s="156"/>
      <c r="CJ368" s="29"/>
      <c r="CK368" s="156"/>
      <c r="CL368" s="156"/>
      <c r="CM368" s="156"/>
      <c r="CN368" s="156"/>
      <c r="CO368" s="156"/>
      <c r="CP368" s="156"/>
      <c r="CQ368" s="156"/>
      <c r="CR368" s="156"/>
      <c r="CS368" s="156"/>
      <c r="CT368" s="156"/>
      <c r="CU368" s="156"/>
      <c r="CV368" s="156"/>
      <c r="CW368" s="156"/>
      <c r="CX368" s="156"/>
      <c r="CY368" s="156"/>
      <c r="CZ368" s="156"/>
      <c r="DA368" s="156"/>
      <c r="DB368" s="156"/>
      <c r="DC368" s="156"/>
      <c r="DD368" s="156"/>
      <c r="DE368" s="156"/>
      <c r="DF368" s="156"/>
      <c r="DG368" s="156"/>
      <c r="DH368" s="156"/>
      <c r="DI368" s="156"/>
      <c r="DJ368" s="156"/>
      <c r="DK368" s="156"/>
      <c r="DL368" s="156"/>
      <c r="DM368" s="156"/>
      <c r="DN368" s="156"/>
      <c r="DO368" s="156"/>
      <c r="DP368" s="156"/>
      <c r="DQ368" s="156"/>
      <c r="DR368" s="156"/>
      <c r="DS368" s="156"/>
      <c r="DT368" s="156"/>
      <c r="DU368" s="156"/>
      <c r="DV368" s="156"/>
      <c r="DW368" s="156"/>
      <c r="DX368" s="156"/>
      <c r="DY368" s="156"/>
      <c r="DZ368" s="96"/>
      <c r="EA368" s="96"/>
      <c r="EB368" s="96"/>
      <c r="EC368" s="96"/>
      <c r="ED368" s="96"/>
      <c r="EE368" s="96"/>
      <c r="EF368" s="96"/>
      <c r="EG368" s="96"/>
    </row>
    <row r="369" spans="1:137" s="1" customFormat="1" ht="15.9" customHeight="1" outlineLevel="1" x14ac:dyDescent="0.3">
      <c r="A369" s="7" t="s">
        <v>22</v>
      </c>
      <c r="B369" s="7" t="s">
        <v>23</v>
      </c>
      <c r="C369" s="8" t="s">
        <v>44</v>
      </c>
      <c r="D369" s="146"/>
      <c r="E369" s="7" t="s">
        <v>694</v>
      </c>
      <c r="F369" s="29" t="s">
        <v>706</v>
      </c>
      <c r="G369" s="9" t="s">
        <v>710</v>
      </c>
      <c r="H369" s="9"/>
      <c r="I369" s="204" cm="1">
        <f t="array" ref="I369">IFERROR(LOOKUP(2,1/(N369:GR369&lt;&gt;""),N$4:DRA$4),"")</f>
        <v>45204</v>
      </c>
      <c r="J369" s="169" cm="1">
        <f t="array" ref="J369">IFERROR(_xlfn.XLOOKUP(TRUE,N369:EH369&lt;&gt;"",N369:EH369,,,-1)," ")</f>
        <v>22.8</v>
      </c>
      <c r="K369" s="45">
        <v>24</v>
      </c>
      <c r="L369" s="45">
        <v>25.5</v>
      </c>
      <c r="M369" s="7" t="s">
        <v>28</v>
      </c>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c r="AN369" s="29"/>
      <c r="AO369" s="29"/>
      <c r="AP369" s="29"/>
      <c r="AQ369" s="29"/>
      <c r="AR369" s="29"/>
      <c r="AS369" s="29"/>
      <c r="AT369" s="29"/>
      <c r="AU369" s="156"/>
      <c r="AV369" s="156"/>
      <c r="AW369" s="29"/>
      <c r="AX369" s="29"/>
      <c r="AY369" s="29"/>
      <c r="AZ369" s="29"/>
      <c r="BA369" s="29"/>
      <c r="BB369" s="29"/>
      <c r="BC369" s="156"/>
      <c r="BD369" s="29"/>
      <c r="BE369" s="29"/>
      <c r="BF369" s="29"/>
      <c r="BG369" s="29"/>
      <c r="BH369" s="29"/>
      <c r="BI369" s="156"/>
      <c r="BJ369" s="156"/>
      <c r="BK369" s="29"/>
      <c r="BL369" s="29"/>
      <c r="BM369" s="29"/>
      <c r="BN369" s="29"/>
      <c r="BO369" s="29"/>
      <c r="BP369" s="78"/>
      <c r="BQ369" s="156"/>
      <c r="BR369" s="29"/>
      <c r="BS369" s="57">
        <v>22</v>
      </c>
      <c r="BT369" s="29"/>
      <c r="BU369" s="29"/>
      <c r="BV369" s="29"/>
      <c r="BW369" s="29"/>
      <c r="BX369" s="29"/>
      <c r="BY369" s="29"/>
      <c r="BZ369" s="29"/>
      <c r="CA369" s="29"/>
      <c r="CB369" s="29"/>
      <c r="CC369" s="7"/>
      <c r="CD369" s="156"/>
      <c r="CE369" s="156">
        <v>22.8</v>
      </c>
      <c r="CF369" s="29"/>
      <c r="CG369" s="156"/>
      <c r="CH369" s="29"/>
      <c r="CI369" s="156"/>
      <c r="CJ369" s="29"/>
      <c r="CK369" s="156"/>
      <c r="CL369" s="156"/>
      <c r="CM369" s="156"/>
      <c r="CN369" s="156"/>
      <c r="CO369" s="156"/>
      <c r="CP369" s="156"/>
      <c r="CQ369" s="156"/>
      <c r="CR369" s="156"/>
      <c r="CS369" s="156"/>
      <c r="CT369" s="156"/>
      <c r="CU369" s="156"/>
      <c r="CV369" s="156"/>
      <c r="CW369" s="156"/>
      <c r="CX369" s="156"/>
      <c r="CY369" s="156"/>
      <c r="CZ369" s="156"/>
      <c r="DA369" s="156"/>
      <c r="DB369" s="156"/>
      <c r="DC369" s="156"/>
      <c r="DD369" s="156"/>
      <c r="DE369" s="156"/>
      <c r="DF369" s="156"/>
      <c r="DG369" s="156"/>
      <c r="DH369" s="156"/>
      <c r="DI369" s="156"/>
      <c r="DJ369" s="156"/>
      <c r="DK369" s="156"/>
      <c r="DL369" s="156"/>
      <c r="DM369" s="156"/>
      <c r="DN369" s="156"/>
      <c r="DO369" s="156"/>
      <c r="DP369" s="156"/>
      <c r="DQ369" s="156"/>
      <c r="DR369" s="156"/>
      <c r="DS369" s="156"/>
      <c r="DT369" s="156"/>
      <c r="DU369" s="156"/>
      <c r="DV369" s="156"/>
      <c r="DW369" s="156"/>
      <c r="DX369" s="156"/>
      <c r="DY369" s="156"/>
      <c r="DZ369" s="96"/>
      <c r="EA369" s="96"/>
      <c r="EB369" s="96"/>
      <c r="EC369" s="96"/>
      <c r="ED369" s="96"/>
      <c r="EE369" s="96"/>
      <c r="EF369" s="96"/>
      <c r="EG369" s="96"/>
    </row>
    <row r="370" spans="1:137" s="10" customFormat="1" ht="15.9" customHeight="1" outlineLevel="1" x14ac:dyDescent="0.3">
      <c r="A370" s="2" t="s">
        <v>23</v>
      </c>
      <c r="B370" s="2"/>
      <c r="C370" s="4" t="s">
        <v>24</v>
      </c>
      <c r="D370" s="4"/>
      <c r="E370" s="6" t="s">
        <v>694</v>
      </c>
      <c r="F370" s="6" t="s">
        <v>711</v>
      </c>
      <c r="G370" s="3" t="s">
        <v>712</v>
      </c>
      <c r="H370" s="3"/>
      <c r="I370" s="205" cm="1">
        <f t="array" ref="I370">IFERROR(LOOKUP(2,1/(N370:GR370&lt;&gt;""),N$4:DRA$4),"")</f>
        <v>45188</v>
      </c>
      <c r="J370" s="315" cm="1">
        <f t="array" ref="J370">IFERROR(_xlfn.XLOOKUP(TRUE,N370:EH370&lt;&gt;"",N370:EH370,,,-1)," ")</f>
        <v>23.7</v>
      </c>
      <c r="K370" s="46"/>
      <c r="L370" s="46"/>
      <c r="M370" s="2" t="s">
        <v>28</v>
      </c>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c r="AP370" s="21">
        <v>17.899999999999999</v>
      </c>
      <c r="AQ370" s="21"/>
      <c r="AR370" s="21"/>
      <c r="AS370" s="21"/>
      <c r="AT370" s="21"/>
      <c r="AU370" s="154"/>
      <c r="AV370" s="154"/>
      <c r="AW370" s="21"/>
      <c r="AX370" s="21"/>
      <c r="AY370" s="21"/>
      <c r="AZ370" s="21">
        <v>19.8</v>
      </c>
      <c r="BA370" s="21"/>
      <c r="BB370" s="21"/>
      <c r="BC370" s="154"/>
      <c r="BD370" s="21"/>
      <c r="BE370" s="21"/>
      <c r="BF370" s="21"/>
      <c r="BG370" s="21"/>
      <c r="BH370" s="21" t="s">
        <v>713</v>
      </c>
      <c r="BI370" s="154"/>
      <c r="BJ370" s="154"/>
      <c r="BK370" s="21"/>
      <c r="BL370" s="21"/>
      <c r="BM370" s="21"/>
      <c r="BN370" s="55"/>
      <c r="BO370" s="23">
        <v>23.7</v>
      </c>
      <c r="BP370" s="23"/>
      <c r="BQ370" s="154"/>
      <c r="BR370" s="21"/>
      <c r="BS370" s="21"/>
      <c r="BT370" s="21"/>
      <c r="BU370" s="21"/>
      <c r="BV370" s="21"/>
      <c r="BW370" s="21"/>
      <c r="BX370" s="21"/>
      <c r="BY370" s="21"/>
      <c r="BZ370" s="21"/>
      <c r="CA370" s="21"/>
      <c r="CB370" s="21"/>
      <c r="CC370" s="154"/>
      <c r="CD370" s="154"/>
      <c r="CE370" s="154"/>
      <c r="CF370" s="21"/>
      <c r="CG370" s="154"/>
      <c r="CH370" s="21"/>
      <c r="CI370" s="154"/>
      <c r="CJ370" s="21"/>
      <c r="CK370" s="154"/>
      <c r="CL370" s="154"/>
      <c r="CM370" s="154"/>
      <c r="CN370" s="154"/>
      <c r="CO370" s="154"/>
      <c r="CP370" s="154"/>
      <c r="CQ370" s="154"/>
      <c r="CR370" s="154"/>
      <c r="CS370" s="154"/>
      <c r="CT370" s="154"/>
      <c r="CU370" s="154"/>
      <c r="CV370" s="154"/>
      <c r="CW370" s="154"/>
      <c r="CX370" s="154"/>
      <c r="CY370" s="154"/>
      <c r="CZ370" s="154"/>
      <c r="DA370" s="154"/>
      <c r="DB370" s="154"/>
      <c r="DC370" s="154"/>
      <c r="DD370" s="154"/>
      <c r="DE370" s="154"/>
      <c r="DF370" s="154"/>
      <c r="DG370" s="154"/>
      <c r="DH370" s="154"/>
      <c r="DI370" s="154"/>
      <c r="DJ370" s="154"/>
      <c r="DK370" s="154"/>
      <c r="DL370" s="154"/>
      <c r="DM370" s="154"/>
      <c r="DN370" s="154"/>
      <c r="DO370" s="154"/>
      <c r="DP370" s="154"/>
      <c r="DQ370" s="154"/>
      <c r="DR370" s="154"/>
      <c r="DS370" s="154"/>
      <c r="DT370" s="154"/>
      <c r="DU370" s="154"/>
      <c r="DV370" s="154"/>
      <c r="DW370" s="154"/>
      <c r="DX370" s="154"/>
      <c r="DY370" s="154"/>
      <c r="DZ370" s="96"/>
      <c r="EA370" s="96"/>
      <c r="EB370" s="96"/>
      <c r="EC370" s="96"/>
      <c r="ED370" s="96"/>
      <c r="EE370" s="96"/>
      <c r="EF370" s="96"/>
      <c r="EG370" s="96"/>
    </row>
    <row r="371" spans="1:137" s="10" customFormat="1" ht="15.9" customHeight="1" outlineLevel="1" x14ac:dyDescent="0.3">
      <c r="A371" s="2" t="s">
        <v>22</v>
      </c>
      <c r="B371" s="2"/>
      <c r="C371" s="4" t="s">
        <v>24</v>
      </c>
      <c r="D371" s="4"/>
      <c r="E371" s="6" t="s">
        <v>694</v>
      </c>
      <c r="F371" s="6" t="s">
        <v>711</v>
      </c>
      <c r="G371" s="3" t="s">
        <v>714</v>
      </c>
      <c r="H371" s="3"/>
      <c r="I371" s="205" cm="1">
        <f t="array" ref="I371">IFERROR(LOOKUP(2,1/(N371:GR371&lt;&gt;""),N$4:DRA$4),"")</f>
        <v>45197</v>
      </c>
      <c r="J371" s="168" cm="1">
        <f t="array" ref="J371">IFERROR(_xlfn.XLOOKUP(TRUE,N371:EH371&lt;&gt;"",N371:EH371,,,-1)," ")</f>
        <v>26</v>
      </c>
      <c r="K371" s="46"/>
      <c r="L371" s="46"/>
      <c r="M371" s="2" t="s">
        <v>28</v>
      </c>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c r="AP371" s="21">
        <v>17.8</v>
      </c>
      <c r="AQ371" s="21"/>
      <c r="AR371" s="21"/>
      <c r="AS371" s="21"/>
      <c r="AT371" s="21"/>
      <c r="AU371" s="154"/>
      <c r="AV371" s="154"/>
      <c r="AW371" s="21"/>
      <c r="AX371" s="21"/>
      <c r="AY371" s="21"/>
      <c r="AZ371" s="21">
        <v>22.6</v>
      </c>
      <c r="BA371" s="21"/>
      <c r="BB371" s="21"/>
      <c r="BC371" s="154"/>
      <c r="BD371" s="21"/>
      <c r="BE371" s="55"/>
      <c r="BF371" s="21"/>
      <c r="BG371" s="21"/>
      <c r="BH371" s="21" t="s">
        <v>251</v>
      </c>
      <c r="BI371" s="154"/>
      <c r="BJ371" s="154"/>
      <c r="BK371" s="21"/>
      <c r="BL371" s="21"/>
      <c r="BM371" s="21"/>
      <c r="BN371" s="21"/>
      <c r="BO371" s="55"/>
      <c r="BP371" s="23"/>
      <c r="BQ371" s="154">
        <v>23.2</v>
      </c>
      <c r="BR371" s="23">
        <v>22.7</v>
      </c>
      <c r="BS371" s="21"/>
      <c r="BT371" s="21"/>
      <c r="BU371" s="21"/>
      <c r="BV371" s="21"/>
      <c r="BW371" s="21"/>
      <c r="BX371" s="56">
        <v>26</v>
      </c>
      <c r="BY371" s="21"/>
      <c r="BZ371" s="21"/>
      <c r="CA371" s="21"/>
      <c r="CB371" s="21"/>
      <c r="CC371" s="2"/>
      <c r="CD371" s="154"/>
      <c r="CE371" s="154"/>
      <c r="CF371" s="21"/>
      <c r="CG371" s="154"/>
      <c r="CH371" s="21"/>
      <c r="CI371" s="154"/>
      <c r="CJ371" s="21"/>
      <c r="CK371" s="154"/>
      <c r="CL371" s="154"/>
      <c r="CM371" s="154"/>
      <c r="CN371" s="154"/>
      <c r="CO371" s="154"/>
      <c r="CP371" s="154"/>
      <c r="CQ371" s="154"/>
      <c r="CR371" s="154"/>
      <c r="CS371" s="154"/>
      <c r="CT371" s="154"/>
      <c r="CU371" s="154"/>
      <c r="CV371" s="154"/>
      <c r="CW371" s="154"/>
      <c r="CX371" s="154"/>
      <c r="CY371" s="154"/>
      <c r="CZ371" s="154"/>
      <c r="DA371" s="154"/>
      <c r="DB371" s="154"/>
      <c r="DC371" s="154"/>
      <c r="DD371" s="154"/>
      <c r="DE371" s="154"/>
      <c r="DF371" s="154"/>
      <c r="DG371" s="154"/>
      <c r="DH371" s="154"/>
      <c r="DI371" s="154"/>
      <c r="DJ371" s="154"/>
      <c r="DK371" s="154"/>
      <c r="DL371" s="154"/>
      <c r="DM371" s="154"/>
      <c r="DN371" s="154"/>
      <c r="DO371" s="154"/>
      <c r="DP371" s="154"/>
      <c r="DQ371" s="154"/>
      <c r="DR371" s="154"/>
      <c r="DS371" s="154"/>
      <c r="DT371" s="154"/>
      <c r="DU371" s="154"/>
      <c r="DV371" s="154"/>
      <c r="DW371" s="154"/>
      <c r="DX371" s="154"/>
      <c r="DY371" s="154"/>
      <c r="DZ371" s="96"/>
      <c r="EA371" s="96"/>
      <c r="EB371" s="96"/>
      <c r="EC371" s="96"/>
      <c r="ED371" s="96"/>
      <c r="EE371" s="96"/>
      <c r="EF371" s="96"/>
      <c r="EG371" s="96"/>
    </row>
    <row r="372" spans="1:137" s="10" customFormat="1" ht="15.9" customHeight="1" outlineLevel="1" x14ac:dyDescent="0.3">
      <c r="A372" s="2" t="s">
        <v>22</v>
      </c>
      <c r="B372" s="2"/>
      <c r="C372" s="4" t="s">
        <v>24</v>
      </c>
      <c r="D372" s="4"/>
      <c r="E372" s="6" t="s">
        <v>694</v>
      </c>
      <c r="F372" s="6" t="s">
        <v>711</v>
      </c>
      <c r="G372" s="3" t="s">
        <v>715</v>
      </c>
      <c r="H372" s="3"/>
      <c r="I372" s="205" cm="1">
        <f t="array" ref="I372">IFERROR(LOOKUP(2,1/(N372:GR372&lt;&gt;""),N$4:DRA$4),"")</f>
        <v>45195</v>
      </c>
      <c r="J372" s="168" cm="1">
        <f t="array" ref="J372">IFERROR(_xlfn.XLOOKUP(TRUE,N372:EH372&lt;&gt;"",N372:EH372,,,-1)," ")</f>
        <v>25.8</v>
      </c>
      <c r="K372" s="46"/>
      <c r="L372" s="46"/>
      <c r="M372" s="2" t="s">
        <v>28</v>
      </c>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t="s">
        <v>687</v>
      </c>
      <c r="AQ372" s="21"/>
      <c r="AR372" s="21"/>
      <c r="AS372" s="21"/>
      <c r="AT372" s="21"/>
      <c r="AU372" s="154"/>
      <c r="AV372" s="154"/>
      <c r="AW372" s="21"/>
      <c r="AX372" s="21"/>
      <c r="AY372" s="21"/>
      <c r="AZ372" s="21">
        <v>20.399999999999999</v>
      </c>
      <c r="BA372" s="21"/>
      <c r="BB372" s="21"/>
      <c r="BC372" s="154"/>
      <c r="BD372" s="21"/>
      <c r="BE372" s="21"/>
      <c r="BF372" s="21"/>
      <c r="BG372" s="21"/>
      <c r="BH372" s="55" t="s">
        <v>251</v>
      </c>
      <c r="BI372" s="154"/>
      <c r="BJ372" s="154"/>
      <c r="BK372" s="21"/>
      <c r="BL372" s="21"/>
      <c r="BM372" s="21"/>
      <c r="BN372" s="21"/>
      <c r="BO372" s="21"/>
      <c r="BP372" s="56"/>
      <c r="BQ372" s="154">
        <v>23.5</v>
      </c>
      <c r="BR372" s="21"/>
      <c r="BS372" s="21"/>
      <c r="BT372" s="21"/>
      <c r="BU372" s="21"/>
      <c r="BV372" s="23">
        <v>25.8</v>
      </c>
      <c r="BW372" s="21"/>
      <c r="BX372" s="21"/>
      <c r="BY372" s="21"/>
      <c r="BZ372" s="21"/>
      <c r="CA372" s="21"/>
      <c r="CB372" s="21"/>
      <c r="CC372" s="154"/>
      <c r="CD372" s="154"/>
      <c r="CE372" s="154"/>
      <c r="CF372" s="21"/>
      <c r="CG372" s="154"/>
      <c r="CH372" s="21"/>
      <c r="CI372" s="154"/>
      <c r="CJ372" s="21"/>
      <c r="CK372" s="154"/>
      <c r="CL372" s="154"/>
      <c r="CM372" s="154"/>
      <c r="CN372" s="154"/>
      <c r="CO372" s="154"/>
      <c r="CP372" s="154"/>
      <c r="CQ372" s="154"/>
      <c r="CR372" s="154"/>
      <c r="CS372" s="154"/>
      <c r="CT372" s="154"/>
      <c r="CU372" s="154"/>
      <c r="CV372" s="154"/>
      <c r="CW372" s="154"/>
      <c r="CX372" s="154"/>
      <c r="CY372" s="154"/>
      <c r="CZ372" s="154"/>
      <c r="DA372" s="154"/>
      <c r="DB372" s="154"/>
      <c r="DC372" s="154"/>
      <c r="DD372" s="154"/>
      <c r="DE372" s="154"/>
      <c r="DF372" s="154"/>
      <c r="DG372" s="154"/>
      <c r="DH372" s="154"/>
      <c r="DI372" s="154"/>
      <c r="DJ372" s="154"/>
      <c r="DK372" s="154"/>
      <c r="DL372" s="154"/>
      <c r="DM372" s="154"/>
      <c r="DN372" s="154"/>
      <c r="DO372" s="154"/>
      <c r="DP372" s="154"/>
      <c r="DQ372" s="154"/>
      <c r="DR372" s="154"/>
      <c r="DS372" s="154"/>
      <c r="DT372" s="154"/>
      <c r="DU372" s="154"/>
      <c r="DV372" s="154"/>
      <c r="DW372" s="154"/>
      <c r="DX372" s="154"/>
      <c r="DY372" s="154"/>
      <c r="DZ372" s="96"/>
      <c r="EA372" s="96"/>
      <c r="EB372" s="96"/>
      <c r="EC372" s="96"/>
      <c r="ED372" s="96"/>
      <c r="EE372" s="96"/>
      <c r="EF372" s="96"/>
      <c r="EG372" s="96"/>
    </row>
    <row r="373" spans="1:137" s="1" customFormat="1" ht="15.9" customHeight="1" outlineLevel="1" x14ac:dyDescent="0.3">
      <c r="A373" s="7" t="s">
        <v>22</v>
      </c>
      <c r="B373" s="7" t="s">
        <v>23</v>
      </c>
      <c r="C373" s="8" t="s">
        <v>44</v>
      </c>
      <c r="D373" s="146">
        <v>42.2</v>
      </c>
      <c r="E373" s="7" t="s">
        <v>694</v>
      </c>
      <c r="F373" s="7" t="s">
        <v>716</v>
      </c>
      <c r="G373" s="9" t="s">
        <v>717</v>
      </c>
      <c r="H373" s="9"/>
      <c r="I373" s="204" cm="1">
        <f t="array" ref="I373">IFERROR(LOOKUP(2,1/(N373:GR373&lt;&gt;""),N$4:DRA$4),"")</f>
        <v>45203</v>
      </c>
      <c r="J373" s="169" cm="1">
        <f t="array" ref="J373">IFERROR(_xlfn.XLOOKUP(TRUE,N373:EH373&lt;&gt;"",N373:EH373,,,-1)," ")</f>
        <v>22.6</v>
      </c>
      <c r="K373" s="45">
        <v>24</v>
      </c>
      <c r="L373" s="45">
        <v>25.5</v>
      </c>
      <c r="M373" s="7" t="s">
        <v>28</v>
      </c>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c r="AN373" s="29"/>
      <c r="AO373" s="29"/>
      <c r="AP373" s="29"/>
      <c r="AQ373" s="29"/>
      <c r="AR373" s="29"/>
      <c r="AS373" s="29"/>
      <c r="AT373" s="29"/>
      <c r="AU373" s="156"/>
      <c r="AV373" s="156"/>
      <c r="AW373" s="29"/>
      <c r="AX373" s="29"/>
      <c r="AY373" s="29"/>
      <c r="AZ373" s="29"/>
      <c r="BA373" s="29"/>
      <c r="BB373" s="29"/>
      <c r="BC373" s="156"/>
      <c r="BD373" s="29"/>
      <c r="BE373" s="57"/>
      <c r="BF373" s="29"/>
      <c r="BG373" s="29"/>
      <c r="BH373" s="29"/>
      <c r="BI373" s="156"/>
      <c r="BJ373" s="166"/>
      <c r="BK373" s="29"/>
      <c r="BL373" s="29"/>
      <c r="BM373" s="29"/>
      <c r="BN373" s="29"/>
      <c r="BO373" s="29"/>
      <c r="BP373" s="78"/>
      <c r="BQ373" s="156"/>
      <c r="BR373" s="29"/>
      <c r="BS373" s="29"/>
      <c r="BT373" s="29"/>
      <c r="BU373" s="78">
        <v>23.4</v>
      </c>
      <c r="BV373" s="29"/>
      <c r="BW373" s="29"/>
      <c r="BX373" s="57"/>
      <c r="BY373" s="29"/>
      <c r="BZ373" s="29"/>
      <c r="CA373" s="29"/>
      <c r="CB373" s="29"/>
      <c r="CC373" s="7"/>
      <c r="CD373" s="156">
        <v>22.6</v>
      </c>
      <c r="CE373" s="156"/>
      <c r="CF373" s="29"/>
      <c r="CG373" s="29"/>
      <c r="CH373" s="29"/>
      <c r="CI373" s="29"/>
      <c r="CJ373" s="29"/>
      <c r="CK373" s="156"/>
      <c r="CL373" s="156"/>
      <c r="CM373" s="29"/>
      <c r="CN373" s="29"/>
      <c r="CO373" s="29"/>
      <c r="CP373" s="29"/>
      <c r="CQ373" s="156"/>
      <c r="CR373" s="156"/>
      <c r="CS373" s="156"/>
      <c r="CT373" s="156"/>
      <c r="CU373" s="156"/>
      <c r="CV373" s="156"/>
      <c r="CW373" s="156"/>
      <c r="CX373" s="156"/>
      <c r="CY373" s="156"/>
      <c r="CZ373" s="156"/>
      <c r="DA373" s="156"/>
      <c r="DB373" s="156"/>
      <c r="DC373" s="156"/>
      <c r="DD373" s="156"/>
      <c r="DE373" s="156"/>
      <c r="DF373" s="156"/>
      <c r="DG373" s="156"/>
      <c r="DH373" s="156"/>
      <c r="DI373" s="156"/>
      <c r="DJ373" s="156"/>
      <c r="DK373" s="156"/>
      <c r="DL373" s="156"/>
      <c r="DM373" s="156"/>
      <c r="DN373" s="156"/>
      <c r="DO373" s="156"/>
      <c r="DP373" s="156"/>
      <c r="DQ373" s="156"/>
      <c r="DR373" s="156"/>
      <c r="DS373" s="156"/>
      <c r="DT373" s="156"/>
      <c r="DU373" s="156"/>
      <c r="DV373" s="156"/>
      <c r="DW373" s="156"/>
      <c r="DX373" s="156"/>
      <c r="DY373" s="156"/>
      <c r="DZ373" s="96"/>
      <c r="EA373" s="96"/>
      <c r="EB373" s="96"/>
      <c r="EC373" s="96"/>
      <c r="ED373" s="96"/>
      <c r="EE373" s="96"/>
      <c r="EF373" s="96"/>
      <c r="EG373" s="96"/>
    </row>
    <row r="374" spans="1:137" s="1" customFormat="1" ht="15.9" customHeight="1" outlineLevel="1" x14ac:dyDescent="0.3">
      <c r="A374" s="7" t="s">
        <v>22</v>
      </c>
      <c r="B374" s="7" t="s">
        <v>23</v>
      </c>
      <c r="C374" s="8" t="s">
        <v>44</v>
      </c>
      <c r="D374" s="146"/>
      <c r="E374" s="7" t="s">
        <v>694</v>
      </c>
      <c r="F374" s="7" t="s">
        <v>716</v>
      </c>
      <c r="G374" s="9" t="s">
        <v>718</v>
      </c>
      <c r="H374" s="9"/>
      <c r="I374" s="204" cm="1">
        <f t="array" ref="I374">IFERROR(LOOKUP(2,1/(N374:GR374&lt;&gt;""),N$4:DRA$4),"")</f>
        <v>45189</v>
      </c>
      <c r="J374" s="169" cm="1">
        <f t="array" ref="J374">IFERROR(_xlfn.XLOOKUP(TRUE,N374:EH374&lt;&gt;"",N374:EH374,,,-1)," ")</f>
        <v>20.7</v>
      </c>
      <c r="K374" s="45">
        <v>24</v>
      </c>
      <c r="L374" s="45">
        <v>25.5</v>
      </c>
      <c r="M374" s="7" t="s">
        <v>28</v>
      </c>
      <c r="N374" s="29"/>
      <c r="O374" s="29"/>
      <c r="P374" s="29"/>
      <c r="Q374" s="29"/>
      <c r="R374" s="29"/>
      <c r="S374" s="29"/>
      <c r="T374" s="29"/>
      <c r="U374" s="29"/>
      <c r="V374" s="29"/>
      <c r="W374" s="29"/>
      <c r="X374" s="29"/>
      <c r="Y374" s="29"/>
      <c r="Z374" s="29"/>
      <c r="AA374" s="29"/>
      <c r="AB374" s="29"/>
      <c r="AC374" s="29"/>
      <c r="AD374" s="29"/>
      <c r="AE374" s="29"/>
      <c r="AF374" s="29"/>
      <c r="AG374" s="29"/>
      <c r="AH374" s="29"/>
      <c r="AI374" s="29"/>
      <c r="AJ374" s="29"/>
      <c r="AK374" s="29"/>
      <c r="AL374" s="29"/>
      <c r="AM374" s="29"/>
      <c r="AN374" s="29"/>
      <c r="AO374" s="29"/>
      <c r="AP374" s="29"/>
      <c r="AQ374" s="29"/>
      <c r="AR374" s="29"/>
      <c r="AS374" s="29"/>
      <c r="AT374" s="29"/>
      <c r="AU374" s="156"/>
      <c r="AV374" s="156"/>
      <c r="AW374" s="29"/>
      <c r="AX374" s="29"/>
      <c r="AY374" s="29"/>
      <c r="AZ374" s="29"/>
      <c r="BA374" s="29"/>
      <c r="BB374" s="29"/>
      <c r="BC374" s="156"/>
      <c r="BD374" s="29">
        <v>19.399999999999999</v>
      </c>
      <c r="BE374" s="29"/>
      <c r="BF374" s="29"/>
      <c r="BG374" s="29"/>
      <c r="BH374" s="29"/>
      <c r="BI374" s="156"/>
      <c r="BJ374" s="156"/>
      <c r="BK374" s="29">
        <v>20.2</v>
      </c>
      <c r="BL374" s="29"/>
      <c r="BM374" s="29"/>
      <c r="BN374" s="29"/>
      <c r="BO374" s="29"/>
      <c r="BP374" s="29">
        <v>20.7</v>
      </c>
      <c r="BQ374" s="156"/>
      <c r="BR374" s="29"/>
      <c r="BS374" s="29"/>
      <c r="BT374" s="29"/>
      <c r="BU374" s="29"/>
      <c r="BV374" s="29"/>
      <c r="BW374" s="29"/>
      <c r="BX374" s="29"/>
      <c r="BY374" s="29"/>
      <c r="BZ374" s="57"/>
      <c r="CA374" s="29"/>
      <c r="CB374" s="29"/>
      <c r="CC374" s="7"/>
      <c r="CD374" s="156"/>
      <c r="CE374" s="156"/>
      <c r="CF374" s="29"/>
      <c r="CG374" s="29"/>
      <c r="CH374" s="29"/>
      <c r="CI374" s="29"/>
      <c r="CJ374" s="29"/>
      <c r="CK374" s="156"/>
      <c r="CL374" s="156"/>
      <c r="CM374" s="29"/>
      <c r="CN374" s="29"/>
      <c r="CO374" s="29"/>
      <c r="CP374" s="29"/>
      <c r="CQ374" s="156"/>
      <c r="CR374" s="156"/>
      <c r="CS374" s="156"/>
      <c r="CT374" s="156"/>
      <c r="CU374" s="156"/>
      <c r="CV374" s="156"/>
      <c r="CW374" s="156"/>
      <c r="CX374" s="156"/>
      <c r="CY374" s="156"/>
      <c r="CZ374" s="156"/>
      <c r="DA374" s="156"/>
      <c r="DB374" s="156"/>
      <c r="DC374" s="156"/>
      <c r="DD374" s="156"/>
      <c r="DE374" s="156"/>
      <c r="DF374" s="156"/>
      <c r="DG374" s="156"/>
      <c r="DH374" s="156"/>
      <c r="DI374" s="156"/>
      <c r="DJ374" s="156"/>
      <c r="DK374" s="156"/>
      <c r="DL374" s="156"/>
      <c r="DM374" s="156"/>
      <c r="DN374" s="156"/>
      <c r="DO374" s="156"/>
      <c r="DP374" s="156"/>
      <c r="DQ374" s="156"/>
      <c r="DR374" s="156"/>
      <c r="DS374" s="156"/>
      <c r="DT374" s="156"/>
      <c r="DU374" s="156"/>
      <c r="DV374" s="156"/>
      <c r="DW374" s="156"/>
      <c r="DX374" s="156"/>
      <c r="DY374" s="156"/>
      <c r="DZ374" s="96"/>
      <c r="EA374" s="96"/>
      <c r="EB374" s="96"/>
      <c r="EC374" s="96"/>
      <c r="ED374" s="96"/>
      <c r="EE374" s="96"/>
      <c r="EF374" s="96"/>
      <c r="EG374" s="96"/>
    </row>
    <row r="375" spans="1:137" s="1" customFormat="1" ht="15.9" customHeight="1" outlineLevel="1" x14ac:dyDescent="0.3">
      <c r="A375" s="7" t="s">
        <v>22</v>
      </c>
      <c r="B375" s="7" t="s">
        <v>23</v>
      </c>
      <c r="C375" s="8" t="s">
        <v>44</v>
      </c>
      <c r="D375" s="146"/>
      <c r="E375" s="7" t="s">
        <v>694</v>
      </c>
      <c r="F375" s="7" t="s">
        <v>716</v>
      </c>
      <c r="G375" s="9" t="s">
        <v>719</v>
      </c>
      <c r="H375" s="9"/>
      <c r="I375" s="204" cm="1">
        <f t="array" ref="I375">IFERROR(LOOKUP(2,1/(N375:GR375&lt;&gt;""),N$4:DRA$4),"")</f>
        <v>45189</v>
      </c>
      <c r="J375" s="169" t="str" cm="1">
        <f t="array" ref="J375">IFERROR(_xlfn.XLOOKUP(TRUE,N375:EH375&lt;&gt;"",N375:EH375,,,-1)," ")</f>
        <v>21.2*</v>
      </c>
      <c r="K375" s="45">
        <v>24</v>
      </c>
      <c r="L375" s="45">
        <v>25.5</v>
      </c>
      <c r="M375" s="7" t="s">
        <v>28</v>
      </c>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c r="AT375" s="29"/>
      <c r="AU375" s="156"/>
      <c r="AV375" s="156"/>
      <c r="AW375" s="29"/>
      <c r="AX375" s="29"/>
      <c r="AY375" s="29"/>
      <c r="AZ375" s="29"/>
      <c r="BA375" s="29"/>
      <c r="BB375" s="29"/>
      <c r="BC375" s="156"/>
      <c r="BD375" s="29">
        <v>21.4</v>
      </c>
      <c r="BE375" s="29"/>
      <c r="BF375" s="29"/>
      <c r="BG375" s="29"/>
      <c r="BH375" s="29"/>
      <c r="BI375" s="156"/>
      <c r="BJ375" s="156"/>
      <c r="BK375" s="29">
        <v>21.2</v>
      </c>
      <c r="BL375" s="29"/>
      <c r="BM375" s="29"/>
      <c r="BN375" s="29"/>
      <c r="BO375" s="29"/>
      <c r="BP375" s="29" t="s">
        <v>435</v>
      </c>
      <c r="BQ375" s="156"/>
      <c r="BR375" s="29"/>
      <c r="BS375" s="29"/>
      <c r="BT375" s="29"/>
      <c r="BU375" s="29"/>
      <c r="BV375" s="29"/>
      <c r="BW375" s="29"/>
      <c r="BX375" s="29"/>
      <c r="BY375" s="29"/>
      <c r="BZ375" s="29"/>
      <c r="CA375" s="29"/>
      <c r="CB375" s="29"/>
      <c r="CC375" s="7"/>
      <c r="CD375" s="156"/>
      <c r="CE375" s="156"/>
      <c r="CF375" s="29"/>
      <c r="CG375" s="29"/>
      <c r="CH375" s="29"/>
      <c r="CI375" s="29"/>
      <c r="CJ375" s="29"/>
      <c r="CK375" s="156"/>
      <c r="CL375" s="156"/>
      <c r="CM375" s="29"/>
      <c r="CN375" s="29"/>
      <c r="CO375" s="29"/>
      <c r="CP375" s="29"/>
      <c r="CQ375" s="156"/>
      <c r="CR375" s="156"/>
      <c r="CS375" s="156"/>
      <c r="CT375" s="156"/>
      <c r="CU375" s="156"/>
      <c r="CV375" s="156"/>
      <c r="CW375" s="156"/>
      <c r="CX375" s="156"/>
      <c r="CY375" s="156"/>
      <c r="CZ375" s="156"/>
      <c r="DA375" s="156"/>
      <c r="DB375" s="156"/>
      <c r="DC375" s="156"/>
      <c r="DD375" s="156"/>
      <c r="DE375" s="156"/>
      <c r="DF375" s="156"/>
      <c r="DG375" s="156"/>
      <c r="DH375" s="156"/>
      <c r="DI375" s="156"/>
      <c r="DJ375" s="156"/>
      <c r="DK375" s="156"/>
      <c r="DL375" s="156"/>
      <c r="DM375" s="156"/>
      <c r="DN375" s="156"/>
      <c r="DO375" s="156"/>
      <c r="DP375" s="156"/>
      <c r="DQ375" s="156"/>
      <c r="DR375" s="156"/>
      <c r="DS375" s="156"/>
      <c r="DT375" s="156"/>
      <c r="DU375" s="156"/>
      <c r="DV375" s="156"/>
      <c r="DW375" s="156"/>
      <c r="DX375" s="156"/>
      <c r="DY375" s="156"/>
      <c r="DZ375" s="96"/>
      <c r="EA375" s="96"/>
      <c r="EB375" s="96"/>
      <c r="EC375" s="96"/>
      <c r="ED375" s="96"/>
      <c r="EE375" s="96"/>
      <c r="EF375" s="96"/>
      <c r="EG375" s="96"/>
    </row>
    <row r="376" spans="1:137" s="5" customFormat="1" ht="15.9" customHeight="1" outlineLevel="1" x14ac:dyDescent="0.3">
      <c r="A376" s="6" t="s">
        <v>22</v>
      </c>
      <c r="B376" s="6" t="s">
        <v>23</v>
      </c>
      <c r="C376" s="50" t="s">
        <v>44</v>
      </c>
      <c r="D376" s="147">
        <v>79.94</v>
      </c>
      <c r="E376" s="6" t="s">
        <v>694</v>
      </c>
      <c r="F376" s="6" t="s">
        <v>720</v>
      </c>
      <c r="G376" s="11" t="s">
        <v>721</v>
      </c>
      <c r="H376" s="11"/>
      <c r="I376" s="205" cm="1">
        <f t="array" ref="I376">IFERROR(LOOKUP(2,1/(N376:GR376&lt;&gt;""),N$4:DRA$4),"")</f>
        <v>45203</v>
      </c>
      <c r="J376" s="170" cm="1">
        <f t="array" ref="J376">IFERROR(_xlfn.XLOOKUP(TRUE,N376:EH376&lt;&gt;"",N376:EH376,,,-1)," ")</f>
        <v>24.2</v>
      </c>
      <c r="K376" s="142" t="s">
        <v>722</v>
      </c>
      <c r="L376" s="49"/>
      <c r="M376" s="6" t="s">
        <v>723</v>
      </c>
      <c r="N376" s="62"/>
      <c r="O376" s="62"/>
      <c r="P376" s="62"/>
      <c r="Q376" s="62"/>
      <c r="R376" s="62"/>
      <c r="S376" s="62"/>
      <c r="T376" s="62"/>
      <c r="U376" s="62"/>
      <c r="V376" s="62"/>
      <c r="W376" s="62"/>
      <c r="X376" s="62"/>
      <c r="Y376" s="62"/>
      <c r="Z376" s="62"/>
      <c r="AA376" s="62"/>
      <c r="AB376" s="62"/>
      <c r="AC376" s="62"/>
      <c r="AD376" s="62"/>
      <c r="AE376" s="62"/>
      <c r="AF376" s="62"/>
      <c r="AG376" s="62"/>
      <c r="AH376" s="62"/>
      <c r="AI376" s="62"/>
      <c r="AJ376" s="62"/>
      <c r="AK376" s="62"/>
      <c r="AL376" s="62"/>
      <c r="AM376" s="62"/>
      <c r="AN376" s="62"/>
      <c r="AO376" s="62"/>
      <c r="AP376" s="62"/>
      <c r="AQ376" s="62"/>
      <c r="AR376" s="62"/>
      <c r="AS376" s="62"/>
      <c r="AT376" s="62"/>
      <c r="AU376" s="63"/>
      <c r="AV376" s="63"/>
      <c r="AW376" s="62"/>
      <c r="AX376" s="62"/>
      <c r="AY376" s="62"/>
      <c r="AZ376" s="62"/>
      <c r="BA376" s="62"/>
      <c r="BB376" s="62"/>
      <c r="BC376" s="63"/>
      <c r="BD376" s="62"/>
      <c r="BE376" s="62"/>
      <c r="BF376" s="62"/>
      <c r="BG376" s="62"/>
      <c r="BH376" s="62"/>
      <c r="BI376" s="63"/>
      <c r="BJ376" s="63"/>
      <c r="BK376" s="62"/>
      <c r="BL376" s="62"/>
      <c r="BM376" s="62"/>
      <c r="BN376" s="62"/>
      <c r="BO376" s="62"/>
      <c r="BP376" s="64"/>
      <c r="BQ376" s="63"/>
      <c r="BR376" s="62"/>
      <c r="BS376" s="62"/>
      <c r="BT376" s="62"/>
      <c r="BU376" s="62"/>
      <c r="BV376" s="64"/>
      <c r="BW376" s="62">
        <f>AVERAGE(22.3,22.7)</f>
        <v>22.5</v>
      </c>
      <c r="BX376" s="62"/>
      <c r="BY376" s="62"/>
      <c r="BZ376" s="62"/>
      <c r="CA376" s="62"/>
      <c r="CB376" s="62"/>
      <c r="CC376" s="51"/>
      <c r="CD376" s="63">
        <v>24.2</v>
      </c>
      <c r="CE376" s="63"/>
      <c r="CF376" s="62"/>
      <c r="CG376" s="63"/>
      <c r="CH376" s="62"/>
      <c r="CI376" s="63"/>
      <c r="CJ376" s="62"/>
      <c r="CK376" s="63"/>
      <c r="CL376" s="63"/>
      <c r="CM376" s="63"/>
      <c r="CN376" s="63"/>
      <c r="CO376" s="63"/>
      <c r="CP376" s="63"/>
      <c r="CQ376" s="63"/>
      <c r="CR376" s="63"/>
      <c r="CS376" s="63"/>
      <c r="CT376" s="63"/>
      <c r="CU376" s="63"/>
      <c r="CV376" s="63"/>
      <c r="CW376" s="63"/>
      <c r="CX376" s="63"/>
      <c r="CY376" s="63"/>
      <c r="CZ376" s="63"/>
      <c r="DA376" s="63"/>
      <c r="DB376" s="63"/>
      <c r="DC376" s="63"/>
      <c r="DD376" s="63"/>
      <c r="DE376" s="63"/>
      <c r="DF376" s="63"/>
      <c r="DG376" s="63"/>
      <c r="DH376" s="63"/>
      <c r="DI376" s="63"/>
      <c r="DJ376" s="63"/>
      <c r="DK376" s="63"/>
      <c r="DL376" s="63"/>
      <c r="DM376" s="63"/>
      <c r="DN376" s="63"/>
      <c r="DO376" s="63"/>
      <c r="DP376" s="63"/>
      <c r="DQ376" s="158"/>
      <c r="DR376" s="158"/>
      <c r="DS376" s="158"/>
      <c r="DT376" s="158"/>
      <c r="DU376" s="158"/>
      <c r="DV376" s="158"/>
      <c r="DW376" s="158"/>
      <c r="DX376" s="158"/>
      <c r="DY376" s="158"/>
      <c r="DZ376" s="351"/>
      <c r="EA376" s="351"/>
      <c r="EB376" s="351"/>
      <c r="EC376" s="351"/>
      <c r="ED376" s="351"/>
      <c r="EE376" s="351"/>
      <c r="EF376" s="351"/>
      <c r="EG376" s="351"/>
    </row>
    <row r="377" spans="1:137" s="5" customFormat="1" ht="15.9" customHeight="1" outlineLevel="1" x14ac:dyDescent="0.3">
      <c r="A377" s="6" t="s">
        <v>22</v>
      </c>
      <c r="B377" s="6" t="s">
        <v>23</v>
      </c>
      <c r="C377" s="50" t="s">
        <v>44</v>
      </c>
      <c r="D377" s="147"/>
      <c r="E377" s="6" t="s">
        <v>694</v>
      </c>
      <c r="F377" s="6" t="s">
        <v>720</v>
      </c>
      <c r="G377" s="11" t="s">
        <v>724</v>
      </c>
      <c r="H377" s="11"/>
      <c r="I377" s="205" cm="1">
        <f t="array" ref="I377">IFERROR(LOOKUP(2,1/(N377:GR377&lt;&gt;""),N$4:DRA$4),"")</f>
        <v>45204</v>
      </c>
      <c r="J377" s="271" cm="1">
        <f t="array" ref="J377">IFERROR(_xlfn.XLOOKUP(TRUE,N377:EH377&lt;&gt;"",N377:EH377,,,-1)," ")</f>
        <v>24.2</v>
      </c>
      <c r="K377" s="142" t="s">
        <v>722</v>
      </c>
      <c r="L377" s="49"/>
      <c r="M377" s="6" t="s">
        <v>723</v>
      </c>
      <c r="N377" s="62"/>
      <c r="O377" s="62"/>
      <c r="P377" s="62"/>
      <c r="Q377" s="62"/>
      <c r="R377" s="62"/>
      <c r="S377" s="62"/>
      <c r="T377" s="62"/>
      <c r="U377" s="62"/>
      <c r="V377" s="62"/>
      <c r="W377" s="62"/>
      <c r="X377" s="62"/>
      <c r="Y377" s="62"/>
      <c r="Z377" s="62"/>
      <c r="AA377" s="62"/>
      <c r="AB377" s="62"/>
      <c r="AC377" s="62"/>
      <c r="AD377" s="62"/>
      <c r="AE377" s="62"/>
      <c r="AF377" s="62"/>
      <c r="AG377" s="62"/>
      <c r="AH377" s="62"/>
      <c r="AI377" s="62"/>
      <c r="AJ377" s="62"/>
      <c r="AK377" s="62"/>
      <c r="AL377" s="62"/>
      <c r="AM377" s="62"/>
      <c r="AN377" s="62"/>
      <c r="AO377" s="62"/>
      <c r="AP377" s="62"/>
      <c r="AQ377" s="62"/>
      <c r="AR377" s="62"/>
      <c r="AS377" s="62"/>
      <c r="AT377" s="62"/>
      <c r="AU377" s="63">
        <v>19.600000000000001</v>
      </c>
      <c r="AV377" s="63"/>
      <c r="AW377" s="62"/>
      <c r="AX377" s="62"/>
      <c r="AY377" s="62"/>
      <c r="AZ377" s="62"/>
      <c r="BA377" s="62"/>
      <c r="BB377" s="62"/>
      <c r="BC377" s="63"/>
      <c r="BD377" s="62">
        <v>19.8</v>
      </c>
      <c r="BE377" s="62"/>
      <c r="BF377" s="62"/>
      <c r="BG377" s="62"/>
      <c r="BH377" s="62"/>
      <c r="BI377" s="63"/>
      <c r="BJ377" s="63"/>
      <c r="BK377" s="62">
        <v>22.5</v>
      </c>
      <c r="BL377" s="62"/>
      <c r="BM377" s="62"/>
      <c r="BN377" s="62"/>
      <c r="BO377" s="62"/>
      <c r="BP377" s="64"/>
      <c r="BQ377" s="63"/>
      <c r="BR377" s="62"/>
      <c r="BS377" s="62"/>
      <c r="BT377" s="62"/>
      <c r="BU377" s="62"/>
      <c r="BV377" s="62"/>
      <c r="BW377" s="62"/>
      <c r="BX377" s="62"/>
      <c r="BY377" s="62"/>
      <c r="BZ377" s="62"/>
      <c r="CA377" s="62"/>
      <c r="CB377" s="62"/>
      <c r="CC377" s="51"/>
      <c r="CD377" s="63"/>
      <c r="CE377" s="159">
        <v>24.2</v>
      </c>
      <c r="CF377" s="62"/>
      <c r="CG377" s="63"/>
      <c r="CH377" s="62"/>
      <c r="CI377" s="63"/>
      <c r="CJ377" s="62"/>
      <c r="CK377" s="63"/>
      <c r="CL377" s="63"/>
      <c r="CM377" s="63"/>
      <c r="CN377" s="63"/>
      <c r="CO377" s="63"/>
      <c r="CP377" s="63"/>
      <c r="CQ377" s="63"/>
      <c r="CR377" s="63"/>
      <c r="CS377" s="63"/>
      <c r="CT377" s="63"/>
      <c r="CU377" s="63"/>
      <c r="CV377" s="63"/>
      <c r="CW377" s="63"/>
      <c r="CX377" s="63"/>
      <c r="CY377" s="63"/>
      <c r="CZ377" s="63"/>
      <c r="DA377" s="63"/>
      <c r="DB377" s="63"/>
      <c r="DC377" s="63"/>
      <c r="DD377" s="63"/>
      <c r="DE377" s="63"/>
      <c r="DF377" s="63"/>
      <c r="DG377" s="63"/>
      <c r="DH377" s="63"/>
      <c r="DI377" s="63"/>
      <c r="DJ377" s="63"/>
      <c r="DK377" s="63"/>
      <c r="DL377" s="63"/>
      <c r="DM377" s="63"/>
      <c r="DN377" s="63"/>
      <c r="DO377" s="63"/>
      <c r="DP377" s="63"/>
      <c r="DQ377" s="158"/>
      <c r="DR377" s="158"/>
      <c r="DS377" s="158"/>
      <c r="DT377" s="158"/>
      <c r="DU377" s="158"/>
      <c r="DV377" s="158"/>
      <c r="DW377" s="158"/>
      <c r="DX377" s="158"/>
      <c r="DY377" s="158"/>
      <c r="DZ377" s="351"/>
      <c r="EA377" s="351"/>
      <c r="EB377" s="351"/>
      <c r="EC377" s="351"/>
      <c r="ED377" s="351"/>
      <c r="EE377" s="351"/>
      <c r="EF377" s="351"/>
      <c r="EG377" s="351"/>
    </row>
    <row r="378" spans="1:137" s="5" customFormat="1" ht="15.9" customHeight="1" outlineLevel="1" x14ac:dyDescent="0.3">
      <c r="A378" s="6" t="s">
        <v>22</v>
      </c>
      <c r="B378" s="6" t="s">
        <v>23</v>
      </c>
      <c r="C378" s="50" t="s">
        <v>44</v>
      </c>
      <c r="D378" s="147"/>
      <c r="E378" s="6" t="s">
        <v>694</v>
      </c>
      <c r="F378" s="6" t="s">
        <v>720</v>
      </c>
      <c r="G378" s="11" t="s">
        <v>725</v>
      </c>
      <c r="H378" s="11"/>
      <c r="I378" s="205" cm="1">
        <f t="array" ref="I378">IFERROR(LOOKUP(2,1/(N378:GR378&lt;&gt;""),N$4:DRA$4),"")</f>
        <v>45192</v>
      </c>
      <c r="J378" s="170" cm="1">
        <f t="array" ref="J378">IFERROR(_xlfn.XLOOKUP(TRUE,N378:EH378&lt;&gt;"",N378:EH378,,,-1)," ")</f>
        <v>22.9</v>
      </c>
      <c r="K378" s="142" t="s">
        <v>722</v>
      </c>
      <c r="L378" s="49"/>
      <c r="M378" s="6" t="s">
        <v>723</v>
      </c>
      <c r="N378" s="62"/>
      <c r="O378" s="62"/>
      <c r="P378" s="62"/>
      <c r="Q378" s="62"/>
      <c r="R378" s="62"/>
      <c r="S378" s="62"/>
      <c r="T378" s="62"/>
      <c r="U378" s="62"/>
      <c r="V378" s="62"/>
      <c r="W378" s="62"/>
      <c r="X378" s="62"/>
      <c r="Y378" s="62"/>
      <c r="Z378" s="62"/>
      <c r="AA378" s="62"/>
      <c r="AB378" s="62"/>
      <c r="AC378" s="62"/>
      <c r="AD378" s="62"/>
      <c r="AE378" s="62"/>
      <c r="AF378" s="62"/>
      <c r="AG378" s="62"/>
      <c r="AH378" s="62"/>
      <c r="AI378" s="62"/>
      <c r="AJ378" s="62"/>
      <c r="AK378" s="62"/>
      <c r="AL378" s="62"/>
      <c r="AM378" s="62"/>
      <c r="AN378" s="62"/>
      <c r="AO378" s="62"/>
      <c r="AP378" s="62"/>
      <c r="AQ378" s="62"/>
      <c r="AR378" s="62"/>
      <c r="AS378" s="62"/>
      <c r="AT378" s="62"/>
      <c r="AU378" s="63">
        <v>20</v>
      </c>
      <c r="AV378" s="63"/>
      <c r="AW378" s="62"/>
      <c r="AX378" s="62"/>
      <c r="AY378" s="62"/>
      <c r="AZ378" s="62"/>
      <c r="BA378" s="62"/>
      <c r="BB378" s="62"/>
      <c r="BC378" s="63"/>
      <c r="BD378" s="62">
        <v>20.6</v>
      </c>
      <c r="BE378" s="62"/>
      <c r="BF378" s="62"/>
      <c r="BG378" s="62"/>
      <c r="BH378" s="62"/>
      <c r="BI378" s="63"/>
      <c r="BJ378" s="63"/>
      <c r="BK378" s="62">
        <v>22.4</v>
      </c>
      <c r="BL378" s="62"/>
      <c r="BM378" s="62"/>
      <c r="BN378" s="62"/>
      <c r="BO378" s="62"/>
      <c r="BP378" s="64"/>
      <c r="BQ378" s="63"/>
      <c r="BR378" s="62"/>
      <c r="BS378" s="62">
        <v>22.9</v>
      </c>
      <c r="BT378" s="62"/>
      <c r="BU378" s="62"/>
      <c r="BV378" s="62"/>
      <c r="BW378" s="62"/>
      <c r="BX378" s="62"/>
      <c r="BY378" s="62"/>
      <c r="BZ378" s="62"/>
      <c r="CA378" s="62"/>
      <c r="CB378" s="62"/>
      <c r="CC378" s="51"/>
      <c r="CD378" s="63"/>
      <c r="CE378" s="63"/>
      <c r="CF378" s="62"/>
      <c r="CG378" s="63"/>
      <c r="CH378" s="62"/>
      <c r="CI378" s="63"/>
      <c r="CJ378" s="62"/>
      <c r="CK378" s="63"/>
      <c r="CL378" s="63"/>
      <c r="CM378" s="63"/>
      <c r="CN378" s="63"/>
      <c r="CO378" s="63"/>
      <c r="CP378" s="63"/>
      <c r="CQ378" s="63"/>
      <c r="CR378" s="63"/>
      <c r="CS378" s="63"/>
      <c r="CT378" s="63"/>
      <c r="CU378" s="63"/>
      <c r="CV378" s="63"/>
      <c r="CW378" s="63"/>
      <c r="CX378" s="63"/>
      <c r="CY378" s="63"/>
      <c r="CZ378" s="63"/>
      <c r="DA378" s="63"/>
      <c r="DB378" s="63"/>
      <c r="DC378" s="63"/>
      <c r="DD378" s="63"/>
      <c r="DE378" s="63"/>
      <c r="DF378" s="63"/>
      <c r="DG378" s="63"/>
      <c r="DH378" s="63"/>
      <c r="DI378" s="63"/>
      <c r="DJ378" s="63"/>
      <c r="DK378" s="63"/>
      <c r="DL378" s="63"/>
      <c r="DM378" s="63"/>
      <c r="DN378" s="63"/>
      <c r="DO378" s="63"/>
      <c r="DP378" s="63"/>
      <c r="DQ378" s="158"/>
      <c r="DR378" s="158"/>
      <c r="DS378" s="158"/>
      <c r="DT378" s="158"/>
      <c r="DU378" s="158"/>
      <c r="DV378" s="158"/>
      <c r="DW378" s="158"/>
      <c r="DX378" s="158"/>
      <c r="DY378" s="158"/>
      <c r="DZ378" s="351"/>
      <c r="EA378" s="351"/>
      <c r="EB378" s="351"/>
      <c r="EC378" s="351"/>
      <c r="ED378" s="351"/>
      <c r="EE378" s="351"/>
      <c r="EF378" s="351"/>
      <c r="EG378" s="351"/>
    </row>
    <row r="379" spans="1:137" s="10" customFormat="1" ht="15.9" customHeight="1" outlineLevel="1" x14ac:dyDescent="0.3">
      <c r="A379" s="7" t="s">
        <v>23</v>
      </c>
      <c r="B379" s="2" t="s">
        <v>23</v>
      </c>
      <c r="C379" s="8" t="s">
        <v>24</v>
      </c>
      <c r="D379" s="145">
        <v>9.27</v>
      </c>
      <c r="E379" s="7" t="s">
        <v>694</v>
      </c>
      <c r="F379" s="2" t="s">
        <v>726</v>
      </c>
      <c r="G379" s="9" t="s">
        <v>727</v>
      </c>
      <c r="H379" s="9"/>
      <c r="I379" s="204" cm="1">
        <f t="array" ref="I379">IFERROR(LOOKUP(2,1/(N379:GR379&lt;&gt;""),N$4:DRA$4),"")</f>
        <v>45218</v>
      </c>
      <c r="J379" s="266" cm="1">
        <f t="array" ref="J379">IFERROR(_xlfn.XLOOKUP(TRUE,N379:EH379&lt;&gt;"",N379:EH379,,,-1)," ")</f>
        <v>21.4</v>
      </c>
      <c r="K379" s="45">
        <v>25</v>
      </c>
      <c r="L379" s="45">
        <v>25.5</v>
      </c>
      <c r="M379" s="7" t="s">
        <v>28</v>
      </c>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c r="AT379" s="29">
        <v>16.2</v>
      </c>
      <c r="AU379" s="156"/>
      <c r="AV379" s="156"/>
      <c r="AW379" s="29"/>
      <c r="AX379" s="29"/>
      <c r="AY379" s="29"/>
      <c r="AZ379" s="29"/>
      <c r="BA379" s="29"/>
      <c r="BB379" s="29"/>
      <c r="BC379" s="156"/>
      <c r="BD379" s="29"/>
      <c r="BE379" s="29"/>
      <c r="BF379" s="29"/>
      <c r="BG379" s="29"/>
      <c r="BH379" s="29">
        <v>17.899999999999999</v>
      </c>
      <c r="BI379" s="156"/>
      <c r="BJ379" s="156"/>
      <c r="BK379" s="57"/>
      <c r="BL379" s="29"/>
      <c r="BM379" s="29"/>
      <c r="BN379" s="29"/>
      <c r="BO379" s="29"/>
      <c r="BP379" s="78"/>
      <c r="BQ379" s="156">
        <v>18.3</v>
      </c>
      <c r="BR379" s="29"/>
      <c r="BS379" s="29"/>
      <c r="BT379" s="29"/>
      <c r="BU379" s="78"/>
      <c r="BV379" s="29"/>
      <c r="BW379" s="29"/>
      <c r="BX379" s="29"/>
      <c r="BY379" s="57" t="s">
        <v>148</v>
      </c>
      <c r="BZ379" s="29"/>
      <c r="CA379" s="29"/>
      <c r="CB379" s="29"/>
      <c r="CC379" s="7"/>
      <c r="CD379" s="156"/>
      <c r="CE379" s="156"/>
      <c r="CF379" s="29"/>
      <c r="CG379" s="156">
        <v>20.399999999999999</v>
      </c>
      <c r="CH379" s="29"/>
      <c r="CI379" s="156"/>
      <c r="CJ379" s="29"/>
      <c r="CK379" s="156"/>
      <c r="CL379" s="156"/>
      <c r="CM379" s="156"/>
      <c r="CN379" s="156"/>
      <c r="CO379" s="156"/>
      <c r="CP379" s="275">
        <v>20.3</v>
      </c>
      <c r="CQ379" s="156"/>
      <c r="CR379" s="156"/>
      <c r="CS379" s="275">
        <v>21.4</v>
      </c>
      <c r="CT379" s="156"/>
      <c r="CU379" s="156"/>
      <c r="CV379" s="156"/>
      <c r="CW379" s="156"/>
      <c r="CX379" s="156"/>
      <c r="CY379" s="156"/>
      <c r="CZ379" s="156"/>
      <c r="DA379" s="156"/>
      <c r="DB379" s="156"/>
      <c r="DC379" s="156"/>
      <c r="DD379" s="156"/>
      <c r="DE379" s="156"/>
      <c r="DF379" s="156"/>
      <c r="DG379" s="156"/>
      <c r="DH379" s="156"/>
      <c r="DI379" s="156"/>
      <c r="DJ379" s="156"/>
      <c r="DK379" s="156"/>
      <c r="DL379" s="156"/>
      <c r="DM379" s="156"/>
      <c r="DN379" s="156"/>
      <c r="DO379" s="156"/>
      <c r="DP379" s="156"/>
      <c r="DQ379" s="156"/>
      <c r="DR379" s="156"/>
      <c r="DS379" s="156"/>
      <c r="DT379" s="156"/>
      <c r="DU379" s="156"/>
      <c r="DV379" s="156"/>
      <c r="DW379" s="156"/>
      <c r="DX379" s="156"/>
      <c r="DY379" s="156"/>
      <c r="DZ379" s="59"/>
      <c r="EA379" s="59"/>
      <c r="EB379" s="59"/>
      <c r="EC379" s="59"/>
      <c r="ED379" s="59"/>
      <c r="EE379" s="59"/>
      <c r="EF379" s="59"/>
      <c r="EG379" s="59"/>
    </row>
    <row r="380" spans="1:137" s="10" customFormat="1" ht="15.9" customHeight="1" outlineLevel="1" x14ac:dyDescent="0.3">
      <c r="A380" s="7" t="s">
        <v>23</v>
      </c>
      <c r="B380" s="2" t="s">
        <v>23</v>
      </c>
      <c r="C380" s="8" t="s">
        <v>24</v>
      </c>
      <c r="D380" s="145"/>
      <c r="E380" s="7" t="s">
        <v>694</v>
      </c>
      <c r="F380" s="2" t="s">
        <v>726</v>
      </c>
      <c r="G380" s="9" t="s">
        <v>728</v>
      </c>
      <c r="H380" s="9"/>
      <c r="I380" s="204" t="str" cm="1">
        <f t="array" ref="I380">IFERROR(LOOKUP(2,1/(N380:GR380&lt;&gt;""),N$4:DRA$4),"")</f>
        <v/>
      </c>
      <c r="J380" s="169" t="str" cm="1">
        <f t="array" ref="J380">IFERROR(_xlfn.XLOOKUP(TRUE,N380:EH380&lt;&gt;"",N380:EH380,,,-1)," ")</f>
        <v xml:space="preserve"> </v>
      </c>
      <c r="K380" s="45">
        <v>25</v>
      </c>
      <c r="L380" s="45">
        <v>25.5</v>
      </c>
      <c r="M380" s="7" t="s">
        <v>28</v>
      </c>
      <c r="N380" s="29"/>
      <c r="O380" s="29"/>
      <c r="P380" s="29"/>
      <c r="Q380" s="29"/>
      <c r="R380" s="29"/>
      <c r="S380" s="29"/>
      <c r="T380" s="29"/>
      <c r="U380" s="29"/>
      <c r="V380" s="29"/>
      <c r="W380" s="29"/>
      <c r="X380" s="29"/>
      <c r="Y380" s="29"/>
      <c r="Z380" s="29"/>
      <c r="AA380" s="29"/>
      <c r="AB380" s="29"/>
      <c r="AC380" s="29"/>
      <c r="AD380" s="29"/>
      <c r="AE380" s="29"/>
      <c r="AF380" s="29"/>
      <c r="AG380" s="29"/>
      <c r="AH380" s="29"/>
      <c r="AI380" s="29"/>
      <c r="AJ380" s="29"/>
      <c r="AK380" s="29"/>
      <c r="AL380" s="29"/>
      <c r="AM380" s="29"/>
      <c r="AN380" s="29"/>
      <c r="AO380" s="29"/>
      <c r="AP380" s="29"/>
      <c r="AQ380" s="29"/>
      <c r="AR380" s="29"/>
      <c r="AS380" s="29"/>
      <c r="AT380" s="29"/>
      <c r="AU380" s="156"/>
      <c r="AV380" s="156"/>
      <c r="AW380" s="29"/>
      <c r="AX380" s="29"/>
      <c r="AY380" s="29"/>
      <c r="AZ380" s="29"/>
      <c r="BA380" s="29"/>
      <c r="BB380" s="29"/>
      <c r="BC380" s="156"/>
      <c r="BD380" s="29"/>
      <c r="BE380" s="29"/>
      <c r="BF380" s="29"/>
      <c r="BG380" s="29"/>
      <c r="BH380" s="29"/>
      <c r="BI380" s="156"/>
      <c r="BJ380" s="156"/>
      <c r="BK380" s="29"/>
      <c r="BL380" s="29"/>
      <c r="BM380" s="29"/>
      <c r="BN380" s="29"/>
      <c r="BO380" s="29"/>
      <c r="BP380" s="78"/>
      <c r="BQ380" s="156"/>
      <c r="BR380" s="29"/>
      <c r="BS380" s="29"/>
      <c r="BT380" s="29"/>
      <c r="BU380" s="29"/>
      <c r="BV380" s="29"/>
      <c r="BW380" s="29"/>
      <c r="BX380" s="29"/>
      <c r="BY380" s="29"/>
      <c r="BZ380" s="29"/>
      <c r="CA380" s="29"/>
      <c r="CB380" s="29"/>
      <c r="CC380" s="7"/>
      <c r="CD380" s="156"/>
      <c r="CE380" s="156"/>
      <c r="CF380" s="29"/>
      <c r="CG380" s="156"/>
      <c r="CH380" s="29"/>
      <c r="CI380" s="156"/>
      <c r="CJ380" s="29"/>
      <c r="CK380" s="156"/>
      <c r="CL380" s="156"/>
      <c r="CM380" s="156"/>
      <c r="CN380" s="156"/>
      <c r="CO380" s="156"/>
      <c r="CP380" s="156"/>
      <c r="CQ380" s="156"/>
      <c r="CR380" s="156"/>
      <c r="CS380" s="156"/>
      <c r="CT380" s="156"/>
      <c r="CU380" s="156"/>
      <c r="CV380" s="156"/>
      <c r="CW380" s="156"/>
      <c r="CX380" s="156"/>
      <c r="CY380" s="156"/>
      <c r="CZ380" s="156"/>
      <c r="DA380" s="156"/>
      <c r="DB380" s="156"/>
      <c r="DC380" s="156"/>
      <c r="DD380" s="156"/>
      <c r="DE380" s="156"/>
      <c r="DF380" s="156"/>
      <c r="DG380" s="156"/>
      <c r="DH380" s="156"/>
      <c r="DI380" s="156"/>
      <c r="DJ380" s="156"/>
      <c r="DK380" s="156"/>
      <c r="DL380" s="156"/>
      <c r="DM380" s="156"/>
      <c r="DN380" s="156"/>
      <c r="DO380" s="156"/>
      <c r="DP380" s="156"/>
      <c r="DQ380" s="156"/>
      <c r="DR380" s="156"/>
      <c r="DS380" s="156"/>
      <c r="DT380" s="156"/>
      <c r="DU380" s="156"/>
      <c r="DV380" s="156"/>
      <c r="DW380" s="156"/>
      <c r="DX380" s="156"/>
      <c r="DY380" s="156"/>
      <c r="DZ380" s="137"/>
      <c r="EA380" s="137"/>
      <c r="EB380" s="137"/>
      <c r="EC380" s="137"/>
      <c r="ED380" s="137"/>
      <c r="EE380" s="137"/>
      <c r="EF380" s="137"/>
      <c r="EG380" s="137"/>
    </row>
    <row r="381" spans="1:137" s="10" customFormat="1" ht="15.9" customHeight="1" outlineLevel="1" x14ac:dyDescent="0.3">
      <c r="A381" s="7" t="s">
        <v>23</v>
      </c>
      <c r="B381" s="2" t="s">
        <v>23</v>
      </c>
      <c r="C381" s="8" t="s">
        <v>24</v>
      </c>
      <c r="D381" s="145"/>
      <c r="E381" s="7" t="s">
        <v>694</v>
      </c>
      <c r="F381" s="2" t="s">
        <v>726</v>
      </c>
      <c r="G381" s="9" t="s">
        <v>729</v>
      </c>
      <c r="H381" s="9"/>
      <c r="I381" s="204" t="str" cm="1">
        <f t="array" ref="I381">IFERROR(LOOKUP(2,1/(N381:GR381&lt;&gt;""),N$4:DRA$4),"")</f>
        <v/>
      </c>
      <c r="J381" s="169" t="str" cm="1">
        <f t="array" ref="J381">IFERROR(_xlfn.XLOOKUP(TRUE,N381:EH381&lt;&gt;"",N381:EH381,,,-1)," ")</f>
        <v xml:space="preserve"> </v>
      </c>
      <c r="K381" s="45">
        <v>25</v>
      </c>
      <c r="L381" s="45">
        <v>25.5</v>
      </c>
      <c r="M381" s="7" t="s">
        <v>28</v>
      </c>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c r="AN381" s="29"/>
      <c r="AO381" s="29"/>
      <c r="AP381" s="29"/>
      <c r="AQ381" s="29"/>
      <c r="AR381" s="29"/>
      <c r="AS381" s="29"/>
      <c r="AT381" s="29"/>
      <c r="AU381" s="156"/>
      <c r="AV381" s="156"/>
      <c r="AW381" s="29"/>
      <c r="AX381" s="29"/>
      <c r="AY381" s="29"/>
      <c r="AZ381" s="29"/>
      <c r="BA381" s="29"/>
      <c r="BB381" s="29"/>
      <c r="BC381" s="156"/>
      <c r="BD381" s="29"/>
      <c r="BE381" s="29"/>
      <c r="BF381" s="29"/>
      <c r="BG381" s="29"/>
      <c r="BH381" s="29"/>
      <c r="BI381" s="156"/>
      <c r="BJ381" s="156"/>
      <c r="BK381" s="29"/>
      <c r="BL381" s="29"/>
      <c r="BM381" s="29"/>
      <c r="BN381" s="29"/>
      <c r="BO381" s="29"/>
      <c r="BP381" s="78"/>
      <c r="BQ381" s="156"/>
      <c r="BR381" s="29"/>
      <c r="BS381" s="29"/>
      <c r="BT381" s="29"/>
      <c r="BU381" s="29"/>
      <c r="BV381" s="29"/>
      <c r="BW381" s="29"/>
      <c r="BX381" s="29"/>
      <c r="BY381" s="29"/>
      <c r="BZ381" s="29"/>
      <c r="CA381" s="29"/>
      <c r="CB381" s="29"/>
      <c r="CC381" s="7"/>
      <c r="CD381" s="156"/>
      <c r="CE381" s="156"/>
      <c r="CF381" s="29"/>
      <c r="CG381" s="156"/>
      <c r="CH381" s="29"/>
      <c r="CI381" s="156"/>
      <c r="CJ381" s="29"/>
      <c r="CK381" s="156"/>
      <c r="CL381" s="156"/>
      <c r="CM381" s="156"/>
      <c r="CN381" s="156"/>
      <c r="CO381" s="156"/>
      <c r="CP381" s="156"/>
      <c r="CQ381" s="156"/>
      <c r="CR381" s="156"/>
      <c r="CS381" s="156"/>
      <c r="CT381" s="156"/>
      <c r="CU381" s="156"/>
      <c r="CV381" s="156"/>
      <c r="CW381" s="156"/>
      <c r="CX381" s="156"/>
      <c r="CY381" s="156"/>
      <c r="CZ381" s="156"/>
      <c r="DA381" s="156"/>
      <c r="DB381" s="156"/>
      <c r="DC381" s="156"/>
      <c r="DD381" s="156"/>
      <c r="DE381" s="156"/>
      <c r="DF381" s="156"/>
      <c r="DG381" s="156"/>
      <c r="DH381" s="156"/>
      <c r="DI381" s="156"/>
      <c r="DJ381" s="156"/>
      <c r="DK381" s="156"/>
      <c r="DL381" s="156"/>
      <c r="DM381" s="156"/>
      <c r="DN381" s="156"/>
      <c r="DO381" s="156"/>
      <c r="DP381" s="156"/>
      <c r="DQ381" s="156"/>
      <c r="DR381" s="156"/>
      <c r="DS381" s="156"/>
      <c r="DT381" s="156"/>
      <c r="DU381" s="156"/>
      <c r="DV381" s="156"/>
      <c r="DW381" s="156"/>
      <c r="DX381" s="156"/>
      <c r="DY381" s="156"/>
      <c r="DZ381" s="137"/>
      <c r="EA381" s="137"/>
      <c r="EB381" s="137"/>
      <c r="EC381" s="137"/>
      <c r="ED381" s="137"/>
      <c r="EE381" s="137"/>
      <c r="EF381" s="137"/>
      <c r="EG381" s="137"/>
    </row>
    <row r="382" spans="1:137" s="5" customFormat="1" ht="15.9" customHeight="1" outlineLevel="1" x14ac:dyDescent="0.3">
      <c r="A382" s="6" t="s">
        <v>23</v>
      </c>
      <c r="B382" s="6" t="s">
        <v>23</v>
      </c>
      <c r="C382" s="50" t="s">
        <v>24</v>
      </c>
      <c r="D382" s="147">
        <v>8.07</v>
      </c>
      <c r="E382" s="6" t="s">
        <v>694</v>
      </c>
      <c r="F382" s="6" t="s">
        <v>730</v>
      </c>
      <c r="G382" s="11" t="s">
        <v>731</v>
      </c>
      <c r="H382" s="11"/>
      <c r="I382" s="205" cm="1">
        <f t="array" ref="I382">IFERROR(LOOKUP(2,1/(N382:GR382&lt;&gt;""),N$4:DRA$4),"")</f>
        <v>45191</v>
      </c>
      <c r="J382" s="170" cm="1">
        <f t="array" ref="J382">IFERROR(_xlfn.XLOOKUP(TRUE,N382:EH382&lt;&gt;"",N382:EH382,,,-1)," ")</f>
        <v>24.3</v>
      </c>
      <c r="K382" s="49"/>
      <c r="L382" s="49"/>
      <c r="M382" s="6" t="s">
        <v>28</v>
      </c>
      <c r="N382" s="111"/>
      <c r="O382" s="111"/>
      <c r="P382" s="111"/>
      <c r="Q382" s="111"/>
      <c r="R382" s="111"/>
      <c r="S382" s="111"/>
      <c r="T382" s="111"/>
      <c r="U382" s="111"/>
      <c r="V382" s="111"/>
      <c r="W382" s="111"/>
      <c r="X382" s="111"/>
      <c r="Y382" s="111"/>
      <c r="Z382" s="111"/>
      <c r="AA382" s="111"/>
      <c r="AB382" s="111"/>
      <c r="AC382" s="111"/>
      <c r="AD382" s="111"/>
      <c r="AE382" s="111"/>
      <c r="AF382" s="111"/>
      <c r="AG382" s="111"/>
      <c r="AH382" s="111"/>
      <c r="AI382" s="111"/>
      <c r="AJ382" s="111"/>
      <c r="AK382" s="111"/>
      <c r="AL382" s="111"/>
      <c r="AM382" s="111"/>
      <c r="AN382" s="111"/>
      <c r="AO382" s="111"/>
      <c r="AP382" s="111"/>
      <c r="AQ382" s="111"/>
      <c r="AR382" s="111"/>
      <c r="AS382" s="111"/>
      <c r="AT382" s="111"/>
      <c r="AU382" s="158">
        <v>21.5</v>
      </c>
      <c r="AV382" s="158"/>
      <c r="AW382" s="111"/>
      <c r="AX382" s="111"/>
      <c r="AY382" s="111"/>
      <c r="AZ382" s="111"/>
      <c r="BA382" s="111"/>
      <c r="BB382" s="111"/>
      <c r="BC382" s="158"/>
      <c r="BD382" s="111"/>
      <c r="BE382" s="111"/>
      <c r="BF382" s="111"/>
      <c r="BG382" s="111"/>
      <c r="BH382" s="62"/>
      <c r="BI382" s="158" t="s">
        <v>732</v>
      </c>
      <c r="BJ382" s="158"/>
      <c r="BK382" s="111"/>
      <c r="BL382" s="111"/>
      <c r="BM382" s="111"/>
      <c r="BN382" s="111"/>
      <c r="BO382" s="111"/>
      <c r="BP382" s="112"/>
      <c r="BQ382" s="158" t="s">
        <v>713</v>
      </c>
      <c r="BR382" s="159">
        <v>24.3</v>
      </c>
      <c r="BS382" s="111"/>
      <c r="BT382" s="158"/>
      <c r="BU382" s="158"/>
      <c r="BV382" s="158"/>
      <c r="BW382" s="158"/>
      <c r="BX382" s="158"/>
      <c r="BY382" s="158"/>
      <c r="BZ382" s="158"/>
      <c r="CA382" s="158"/>
      <c r="CB382" s="111"/>
      <c r="CC382" s="158"/>
      <c r="CD382" s="158"/>
      <c r="CE382" s="158"/>
      <c r="CF382" s="111"/>
      <c r="CG382" s="158"/>
      <c r="CH382" s="111"/>
      <c r="CI382" s="158"/>
      <c r="CJ382" s="111"/>
      <c r="CK382" s="158"/>
      <c r="CL382" s="158"/>
      <c r="CM382" s="158"/>
      <c r="CN382" s="158"/>
      <c r="CO382" s="158"/>
      <c r="CP382" s="158"/>
      <c r="CQ382" s="158"/>
      <c r="CR382" s="158"/>
      <c r="CS382" s="158"/>
      <c r="CT382" s="158"/>
      <c r="CU382" s="158"/>
      <c r="CV382" s="158"/>
      <c r="CW382" s="158"/>
      <c r="CX382" s="158"/>
      <c r="CY382" s="158"/>
      <c r="CZ382" s="158"/>
      <c r="DA382" s="158"/>
      <c r="DB382" s="158"/>
      <c r="DC382" s="158"/>
      <c r="DD382" s="158"/>
      <c r="DE382" s="158"/>
      <c r="DF382" s="158"/>
      <c r="DG382" s="158"/>
      <c r="DH382" s="158"/>
      <c r="DI382" s="158"/>
      <c r="DJ382" s="158"/>
      <c r="DK382" s="158"/>
      <c r="DL382" s="158"/>
      <c r="DM382" s="158"/>
      <c r="DN382" s="158"/>
      <c r="DO382" s="158"/>
      <c r="DP382" s="158"/>
      <c r="DQ382" s="158"/>
      <c r="DR382" s="158"/>
      <c r="DS382" s="158"/>
      <c r="DT382" s="158"/>
      <c r="DU382" s="158"/>
      <c r="DV382" s="158"/>
      <c r="DW382" s="158"/>
      <c r="DX382" s="158"/>
      <c r="DY382" s="158"/>
      <c r="DZ382" s="351"/>
      <c r="EA382" s="351"/>
      <c r="EB382" s="351"/>
      <c r="EC382" s="351"/>
      <c r="ED382" s="351"/>
      <c r="EE382" s="351"/>
      <c r="EF382" s="351"/>
      <c r="EG382" s="351"/>
    </row>
    <row r="383" spans="1:137" s="10" customFormat="1" ht="15.9" customHeight="1" outlineLevel="1" x14ac:dyDescent="0.3">
      <c r="A383" s="352" t="s">
        <v>22</v>
      </c>
      <c r="B383" s="33"/>
      <c r="C383" s="353" t="s">
        <v>24</v>
      </c>
      <c r="D383" s="4"/>
      <c r="E383" s="7" t="s">
        <v>694</v>
      </c>
      <c r="F383" s="2" t="s">
        <v>733</v>
      </c>
      <c r="G383" s="9" t="s">
        <v>683</v>
      </c>
      <c r="H383" s="9"/>
      <c r="I383" s="204" cm="1">
        <f t="array" ref="I383">IFERROR(LOOKUP(2,1/(N383:GR383&lt;&gt;""),N$4:DRA$4),"")</f>
        <v>45205</v>
      </c>
      <c r="J383" s="266" cm="1">
        <f t="array" ref="J383">IFERROR(_xlfn.XLOOKUP(TRUE,N383:EH383&lt;&gt;"",N383:EH383,,,-1)," ")</f>
        <v>23.5</v>
      </c>
      <c r="K383" s="354"/>
      <c r="L383" s="354"/>
      <c r="M383" s="352" t="s">
        <v>28</v>
      </c>
      <c r="N383" s="355"/>
      <c r="O383" s="355"/>
      <c r="P383" s="355"/>
      <c r="Q383" s="355"/>
      <c r="R383" s="355"/>
      <c r="S383" s="355"/>
      <c r="T383" s="355"/>
      <c r="U383" s="355"/>
      <c r="V383" s="355"/>
      <c r="W383" s="355"/>
      <c r="X383" s="355"/>
      <c r="Y383" s="355"/>
      <c r="Z383" s="355"/>
      <c r="AA383" s="355"/>
      <c r="AB383" s="355"/>
      <c r="AC383" s="355"/>
      <c r="AD383" s="355"/>
      <c r="AE383" s="355"/>
      <c r="AF383" s="355"/>
      <c r="AG383" s="355"/>
      <c r="AH383" s="355"/>
      <c r="AI383" s="355"/>
      <c r="AJ383" s="355"/>
      <c r="AK383" s="355"/>
      <c r="AL383" s="355"/>
      <c r="AM383" s="355"/>
      <c r="AN383" s="355"/>
      <c r="AO383" s="355"/>
      <c r="AP383" s="355"/>
      <c r="AQ383" s="355"/>
      <c r="AR383" s="355"/>
      <c r="AS383" s="355"/>
      <c r="AT383" s="355"/>
      <c r="AU383" s="156"/>
      <c r="AV383" s="356"/>
      <c r="AW383" s="355"/>
      <c r="AX383" s="355"/>
      <c r="AY383" s="355"/>
      <c r="AZ383" s="355"/>
      <c r="BA383" s="355"/>
      <c r="BB383" s="355"/>
      <c r="BC383" s="356"/>
      <c r="BD383" s="355"/>
      <c r="BE383" s="57"/>
      <c r="BF383" s="355"/>
      <c r="BG383" s="58"/>
      <c r="BH383" s="355"/>
      <c r="BI383" s="356"/>
      <c r="BJ383" s="356"/>
      <c r="BK383" s="58"/>
      <c r="BL383" s="355"/>
      <c r="BM383" s="355"/>
      <c r="BN383" s="355"/>
      <c r="BO383" s="58"/>
      <c r="BP383" s="357"/>
      <c r="BQ383" s="356"/>
      <c r="BR383" s="355"/>
      <c r="BS383" s="57">
        <v>22</v>
      </c>
      <c r="BT383" s="355"/>
      <c r="BU383" s="355"/>
      <c r="BV383" s="58"/>
      <c r="BW383" s="355"/>
      <c r="BX383" s="355"/>
      <c r="BY383" s="355"/>
      <c r="BZ383" s="355"/>
      <c r="CA383" s="355"/>
      <c r="CB383" s="355"/>
      <c r="CC383" s="407" t="s">
        <v>734</v>
      </c>
      <c r="CD383" s="356"/>
      <c r="CE383" s="356"/>
      <c r="CF383" s="58">
        <v>23.5</v>
      </c>
      <c r="CG383" s="355"/>
      <c r="CH383" s="355"/>
      <c r="CI383" s="355"/>
      <c r="CJ383" s="355"/>
      <c r="CK383" s="356"/>
      <c r="CL383" s="356"/>
      <c r="CM383" s="355"/>
      <c r="CN383" s="355"/>
      <c r="CO383" s="355"/>
      <c r="CP383" s="355"/>
      <c r="CQ383" s="356"/>
      <c r="CR383" s="356"/>
      <c r="CS383" s="356"/>
      <c r="CT383" s="356"/>
      <c r="CU383" s="356"/>
      <c r="CV383" s="356"/>
      <c r="CW383" s="356"/>
      <c r="CX383" s="356"/>
      <c r="CY383" s="356"/>
      <c r="CZ383" s="356"/>
      <c r="DA383" s="356"/>
      <c r="DB383" s="356"/>
      <c r="DC383" s="356"/>
      <c r="DD383" s="356"/>
      <c r="DE383" s="356"/>
      <c r="DF383" s="356"/>
      <c r="DG383" s="356"/>
      <c r="DH383" s="356"/>
      <c r="DI383" s="356"/>
      <c r="DJ383" s="356"/>
      <c r="DK383" s="356"/>
      <c r="DL383" s="356"/>
      <c r="DM383" s="356"/>
      <c r="DN383" s="356"/>
      <c r="DO383" s="356"/>
      <c r="DP383" s="356"/>
      <c r="DQ383" s="156"/>
      <c r="DR383" s="156"/>
      <c r="DS383" s="156"/>
      <c r="DT383" s="156"/>
      <c r="DU383" s="156"/>
      <c r="DV383" s="156"/>
      <c r="DW383" s="156"/>
      <c r="DX383" s="156"/>
      <c r="DY383" s="156"/>
      <c r="DZ383" s="137"/>
      <c r="EA383" s="137"/>
      <c r="EB383" s="137"/>
      <c r="EC383" s="137"/>
      <c r="ED383" s="137"/>
      <c r="EE383" s="137"/>
      <c r="EF383" s="137"/>
      <c r="EG383" s="137"/>
    </row>
    <row r="384" spans="1:137" s="5" customFormat="1" ht="15.9" customHeight="1" outlineLevel="1" x14ac:dyDescent="0.3">
      <c r="A384" s="6" t="s">
        <v>22</v>
      </c>
      <c r="B384" s="7" t="s">
        <v>23</v>
      </c>
      <c r="C384" s="50" t="s">
        <v>24</v>
      </c>
      <c r="D384" s="146"/>
      <c r="E384" s="6" t="s">
        <v>694</v>
      </c>
      <c r="F384" s="7" t="s">
        <v>735</v>
      </c>
      <c r="G384" s="11" t="s">
        <v>736</v>
      </c>
      <c r="H384" s="11"/>
      <c r="I384" s="205" cm="1">
        <f t="array" ref="I384">IFERROR(LOOKUP(2,1/(N384:GR384&lt;&gt;""),N$4:DRA$4),"")</f>
        <v>45183</v>
      </c>
      <c r="J384" s="271" cm="1">
        <f t="array" ref="J384">IFERROR(_xlfn.XLOOKUP(TRUE,N384:EH384&lt;&gt;"",N384:EH384,,,-1)," ")</f>
        <v>18.3</v>
      </c>
      <c r="K384" s="48" t="s">
        <v>737</v>
      </c>
      <c r="L384" s="48">
        <v>19.5</v>
      </c>
      <c r="M384" s="6" t="s">
        <v>28</v>
      </c>
      <c r="N384" s="62"/>
      <c r="O384" s="62"/>
      <c r="P384" s="62"/>
      <c r="Q384" s="62"/>
      <c r="R384" s="62"/>
      <c r="S384" s="62"/>
      <c r="T384" s="62"/>
      <c r="U384" s="62"/>
      <c r="V384" s="62"/>
      <c r="W384" s="62"/>
      <c r="X384" s="62"/>
      <c r="Y384" s="62"/>
      <c r="Z384" s="62"/>
      <c r="AA384" s="62">
        <v>13.2</v>
      </c>
      <c r="AB384" s="62"/>
      <c r="AC384" s="62"/>
      <c r="AD384" s="62"/>
      <c r="AE384" s="62"/>
      <c r="AF384" s="62">
        <v>13.6</v>
      </c>
      <c r="AG384" s="62"/>
      <c r="AH384" s="62"/>
      <c r="AI384" s="62"/>
      <c r="AJ384" s="62"/>
      <c r="AK384" s="64"/>
      <c r="AL384" s="62"/>
      <c r="AM384" s="62">
        <v>15.3</v>
      </c>
      <c r="AN384" s="62"/>
      <c r="AO384" s="62"/>
      <c r="AP384" s="62"/>
      <c r="AQ384" s="62"/>
      <c r="AR384" s="62"/>
      <c r="AS384" s="62"/>
      <c r="AT384" s="62">
        <v>15.7</v>
      </c>
      <c r="AU384" s="63"/>
      <c r="AV384" s="63"/>
      <c r="AW384" s="62"/>
      <c r="AX384" s="62"/>
      <c r="AY384" s="62"/>
      <c r="AZ384" s="62">
        <v>17.8</v>
      </c>
      <c r="BA384" s="62"/>
      <c r="BB384" s="62"/>
      <c r="BC384" s="63"/>
      <c r="BD384" s="62"/>
      <c r="BE384" s="64">
        <v>18.100000000000001</v>
      </c>
      <c r="BF384" s="62"/>
      <c r="BG384" s="62"/>
      <c r="BH384" s="62"/>
      <c r="BI384" s="63"/>
      <c r="BJ384" s="159">
        <v>18.3</v>
      </c>
      <c r="BK384" s="62"/>
      <c r="BL384" s="63"/>
      <c r="BM384" s="62"/>
      <c r="BN384" s="63"/>
      <c r="BO384" s="62"/>
      <c r="BP384" s="64"/>
      <c r="BQ384" s="63"/>
      <c r="BR384" s="63"/>
      <c r="BS384" s="62"/>
      <c r="BT384" s="63"/>
      <c r="BU384" s="63"/>
      <c r="BV384" s="63"/>
      <c r="BW384" s="63"/>
      <c r="BX384" s="63"/>
      <c r="BY384" s="63"/>
      <c r="BZ384" s="63"/>
      <c r="CA384" s="63"/>
      <c r="CB384" s="62"/>
      <c r="CC384" s="63"/>
      <c r="CD384" s="63"/>
      <c r="CE384" s="63"/>
      <c r="CF384" s="62"/>
      <c r="CG384" s="63"/>
      <c r="CH384" s="62"/>
      <c r="CI384" s="63"/>
      <c r="CJ384" s="62"/>
      <c r="CK384" s="63"/>
      <c r="CL384" s="63"/>
      <c r="CM384" s="63"/>
      <c r="CN384" s="63"/>
      <c r="CO384" s="63"/>
      <c r="CP384" s="63"/>
      <c r="CQ384" s="63"/>
      <c r="CR384" s="63"/>
      <c r="CS384" s="63"/>
      <c r="CT384" s="63"/>
      <c r="CU384" s="63"/>
      <c r="CV384" s="63"/>
      <c r="CW384" s="63"/>
      <c r="CX384" s="63"/>
      <c r="CY384" s="63"/>
      <c r="CZ384" s="63"/>
      <c r="DA384" s="63"/>
      <c r="DB384" s="63"/>
      <c r="DC384" s="63"/>
      <c r="DD384" s="63"/>
      <c r="DE384" s="63"/>
      <c r="DF384" s="63"/>
      <c r="DG384" s="63"/>
      <c r="DH384" s="63"/>
      <c r="DI384" s="63"/>
      <c r="DJ384" s="63"/>
      <c r="DK384" s="63"/>
      <c r="DL384" s="63"/>
      <c r="DM384" s="63"/>
      <c r="DN384" s="63"/>
      <c r="DO384" s="63"/>
      <c r="DP384" s="63"/>
      <c r="DQ384" s="158"/>
      <c r="DR384" s="158"/>
      <c r="DS384" s="158"/>
      <c r="DT384" s="158"/>
      <c r="DU384" s="158"/>
      <c r="DV384" s="158"/>
      <c r="DW384" s="158"/>
      <c r="DX384" s="158"/>
      <c r="DY384" s="158"/>
      <c r="DZ384" s="65"/>
      <c r="EA384" s="65"/>
      <c r="EB384" s="65"/>
      <c r="EC384" s="65"/>
      <c r="ED384" s="65"/>
      <c r="EE384" s="65"/>
      <c r="EF384" s="65"/>
      <c r="EG384" s="65"/>
    </row>
    <row r="385" spans="1:137" s="5" customFormat="1" ht="15.9" customHeight="1" outlineLevel="1" x14ac:dyDescent="0.3">
      <c r="A385" s="6" t="s">
        <v>22</v>
      </c>
      <c r="B385" s="7" t="s">
        <v>23</v>
      </c>
      <c r="C385" s="50" t="s">
        <v>24</v>
      </c>
      <c r="D385" s="146"/>
      <c r="E385" s="6" t="s">
        <v>694</v>
      </c>
      <c r="F385" s="7" t="s">
        <v>735</v>
      </c>
      <c r="G385" s="11" t="s">
        <v>738</v>
      </c>
      <c r="H385" s="11"/>
      <c r="I385" s="205" cm="1">
        <f t="array" ref="I385">IFERROR(LOOKUP(2,1/(N385:GR385&lt;&gt;""),N$4:DRA$4),"")</f>
        <v>45178</v>
      </c>
      <c r="J385" s="271" cm="1">
        <f t="array" ref="J385">IFERROR(_xlfn.XLOOKUP(TRUE,N385:EH385&lt;&gt;"",N385:EH385,,,-1)," ")</f>
        <v>17.399999999999999</v>
      </c>
      <c r="K385" s="48" t="s">
        <v>737</v>
      </c>
      <c r="L385" s="48">
        <v>19.5</v>
      </c>
      <c r="M385" s="6" t="s">
        <v>28</v>
      </c>
      <c r="N385" s="62"/>
      <c r="O385" s="62"/>
      <c r="P385" s="62"/>
      <c r="Q385" s="62"/>
      <c r="R385" s="62"/>
      <c r="S385" s="62"/>
      <c r="T385" s="62"/>
      <c r="U385" s="62"/>
      <c r="V385" s="62"/>
      <c r="W385" s="62"/>
      <c r="X385" s="62"/>
      <c r="Y385" s="62"/>
      <c r="Z385" s="62"/>
      <c r="AA385" s="62">
        <v>13.6</v>
      </c>
      <c r="AB385" s="62"/>
      <c r="AC385" s="62"/>
      <c r="AD385" s="62"/>
      <c r="AE385" s="62"/>
      <c r="AF385" s="62">
        <v>13.6</v>
      </c>
      <c r="AG385" s="62"/>
      <c r="AH385" s="62"/>
      <c r="AI385" s="62"/>
      <c r="AJ385" s="62"/>
      <c r="AK385" s="62"/>
      <c r="AL385" s="62"/>
      <c r="AM385" s="62">
        <v>15.3</v>
      </c>
      <c r="AN385" s="62"/>
      <c r="AO385" s="62"/>
      <c r="AP385" s="62"/>
      <c r="AQ385" s="62"/>
      <c r="AR385" s="62"/>
      <c r="AS385" s="62"/>
      <c r="AT385" s="62">
        <v>15.9</v>
      </c>
      <c r="AU385" s="63"/>
      <c r="AV385" s="63"/>
      <c r="AW385" s="62"/>
      <c r="AX385" s="62"/>
      <c r="AY385" s="62"/>
      <c r="AZ385" s="62">
        <v>17.100000000000001</v>
      </c>
      <c r="BA385" s="62"/>
      <c r="BB385" s="62"/>
      <c r="BC385" s="63"/>
      <c r="BD385" s="62"/>
      <c r="BE385" s="64">
        <v>17.399999999999999</v>
      </c>
      <c r="BF385" s="62"/>
      <c r="BG385" s="62"/>
      <c r="BH385" s="62"/>
      <c r="BI385" s="63"/>
      <c r="BJ385" s="63"/>
      <c r="BK385" s="62"/>
      <c r="BL385" s="63"/>
      <c r="BM385" s="62"/>
      <c r="BN385" s="63"/>
      <c r="BO385" s="62"/>
      <c r="BP385" s="64"/>
      <c r="BQ385" s="63"/>
      <c r="BR385" s="63"/>
      <c r="BS385" s="62"/>
      <c r="BT385" s="63"/>
      <c r="BU385" s="63"/>
      <c r="BV385" s="63"/>
      <c r="BW385" s="63"/>
      <c r="BX385" s="63"/>
      <c r="BY385" s="63"/>
      <c r="BZ385" s="63"/>
      <c r="CA385" s="63"/>
      <c r="CB385" s="62"/>
      <c r="CC385" s="63"/>
      <c r="CD385" s="63"/>
      <c r="CE385" s="63"/>
      <c r="CF385" s="62"/>
      <c r="CG385" s="63"/>
      <c r="CH385" s="62"/>
      <c r="CI385" s="63"/>
      <c r="CJ385" s="62"/>
      <c r="CK385" s="63"/>
      <c r="CL385" s="63"/>
      <c r="CM385" s="63"/>
      <c r="CN385" s="63"/>
      <c r="CO385" s="63"/>
      <c r="CP385" s="63"/>
      <c r="CQ385" s="63"/>
      <c r="CR385" s="63"/>
      <c r="CS385" s="63"/>
      <c r="CT385" s="63"/>
      <c r="CU385" s="63"/>
      <c r="CV385" s="63"/>
      <c r="CW385" s="63"/>
      <c r="CX385" s="63"/>
      <c r="CY385" s="63"/>
      <c r="CZ385" s="63"/>
      <c r="DA385" s="63"/>
      <c r="DB385" s="63"/>
      <c r="DC385" s="63"/>
      <c r="DD385" s="63"/>
      <c r="DE385" s="63"/>
      <c r="DF385" s="63"/>
      <c r="DG385" s="63"/>
      <c r="DH385" s="63"/>
      <c r="DI385" s="63"/>
      <c r="DJ385" s="63"/>
      <c r="DK385" s="63"/>
      <c r="DL385" s="63"/>
      <c r="DM385" s="63"/>
      <c r="DN385" s="63"/>
      <c r="DO385" s="63"/>
      <c r="DP385" s="63"/>
      <c r="DQ385" s="158"/>
      <c r="DR385" s="158"/>
      <c r="DS385" s="158"/>
      <c r="DT385" s="158"/>
      <c r="DU385" s="158"/>
      <c r="DV385" s="158"/>
      <c r="DW385" s="158"/>
      <c r="DX385" s="158"/>
      <c r="DY385" s="158"/>
      <c r="DZ385" s="351"/>
      <c r="EA385" s="351"/>
      <c r="EB385" s="351"/>
      <c r="EC385" s="351"/>
      <c r="ED385" s="351"/>
      <c r="EE385" s="351"/>
      <c r="EF385" s="351"/>
      <c r="EG385" s="351"/>
    </row>
    <row r="386" spans="1:137" s="5" customFormat="1" ht="15.9" customHeight="1" outlineLevel="1" x14ac:dyDescent="0.3">
      <c r="A386" s="6" t="s">
        <v>22</v>
      </c>
      <c r="B386" s="7" t="s">
        <v>23</v>
      </c>
      <c r="C386" s="50" t="s">
        <v>24</v>
      </c>
      <c r="D386" s="146">
        <v>28.79</v>
      </c>
      <c r="E386" s="6" t="s">
        <v>694</v>
      </c>
      <c r="F386" s="7" t="s">
        <v>735</v>
      </c>
      <c r="G386" s="11" t="s">
        <v>739</v>
      </c>
      <c r="H386" s="11"/>
      <c r="I386" s="205" cm="1">
        <f t="array" ref="I386">IFERROR(LOOKUP(2,1/(N386:GR386&lt;&gt;""),N$4:DRA$4),"")</f>
        <v>45183</v>
      </c>
      <c r="J386" s="170" cm="1">
        <f t="array" ref="J386">IFERROR(_xlfn.XLOOKUP(TRUE,N386:EH386&lt;&gt;"",N386:EH386,,,-1)," ")</f>
        <v>19.399999999999999</v>
      </c>
      <c r="K386" s="48" t="s">
        <v>737</v>
      </c>
      <c r="L386" s="48">
        <v>19.5</v>
      </c>
      <c r="M386" s="6" t="s">
        <v>28</v>
      </c>
      <c r="N386" s="62"/>
      <c r="O386" s="62"/>
      <c r="P386" s="62"/>
      <c r="Q386" s="62"/>
      <c r="R386" s="62"/>
      <c r="S386" s="62"/>
      <c r="T386" s="62"/>
      <c r="U386" s="62"/>
      <c r="V386" s="62"/>
      <c r="W386" s="62"/>
      <c r="X386" s="62"/>
      <c r="Y386" s="62"/>
      <c r="Z386" s="62"/>
      <c r="AA386" s="62"/>
      <c r="AB386" s="62"/>
      <c r="AC386" s="62"/>
      <c r="AD386" s="62"/>
      <c r="AE386" s="62"/>
      <c r="AF386" s="62"/>
      <c r="AG386" s="62"/>
      <c r="AH386" s="62"/>
      <c r="AI386" s="62"/>
      <c r="AJ386" s="62"/>
      <c r="AK386" s="62"/>
      <c r="AL386" s="62"/>
      <c r="AM386" s="62"/>
      <c r="AN386" s="62"/>
      <c r="AO386" s="62"/>
      <c r="AP386" s="62"/>
      <c r="AQ386" s="62"/>
      <c r="AR386" s="62"/>
      <c r="AS386" s="62"/>
      <c r="AT386" s="62"/>
      <c r="AU386" s="63"/>
      <c r="AV386" s="63"/>
      <c r="AW386" s="62"/>
      <c r="AX386" s="62"/>
      <c r="AY386" s="62"/>
      <c r="AZ386" s="62"/>
      <c r="BA386" s="62"/>
      <c r="BB386" s="62"/>
      <c r="BC386" s="63"/>
      <c r="BD386" s="62"/>
      <c r="BE386" s="62"/>
      <c r="BF386" s="62"/>
      <c r="BG386" s="62"/>
      <c r="BH386" s="62"/>
      <c r="BI386" s="63"/>
      <c r="BJ386" s="159">
        <v>19.399999999999999</v>
      </c>
      <c r="BK386" s="62"/>
      <c r="BL386" s="63"/>
      <c r="BM386" s="62"/>
      <c r="BN386" s="159"/>
      <c r="BO386" s="62"/>
      <c r="BP386" s="64"/>
      <c r="BQ386" s="63"/>
      <c r="BR386" s="159"/>
      <c r="BS386" s="62"/>
      <c r="BT386" s="63"/>
      <c r="BU386" s="63"/>
      <c r="BV386" s="63"/>
      <c r="BW386" s="63"/>
      <c r="BX386" s="63"/>
      <c r="BY386" s="63"/>
      <c r="BZ386" s="63"/>
      <c r="CA386" s="63"/>
      <c r="CB386" s="62"/>
      <c r="CC386" s="63"/>
      <c r="CD386" s="63"/>
      <c r="CE386" s="63"/>
      <c r="CF386" s="62"/>
      <c r="CG386" s="63"/>
      <c r="CH386" s="62"/>
      <c r="CI386" s="63"/>
      <c r="CJ386" s="62"/>
      <c r="CK386" s="63"/>
      <c r="CL386" s="63"/>
      <c r="CM386" s="63"/>
      <c r="CN386" s="63"/>
      <c r="CO386" s="63"/>
      <c r="CP386" s="63"/>
      <c r="CQ386" s="63"/>
      <c r="CR386" s="63"/>
      <c r="CS386" s="63"/>
      <c r="CT386" s="63"/>
      <c r="CU386" s="63"/>
      <c r="CV386" s="63"/>
      <c r="CW386" s="63"/>
      <c r="CX386" s="63"/>
      <c r="CY386" s="63"/>
      <c r="CZ386" s="63"/>
      <c r="DA386" s="63"/>
      <c r="DB386" s="63"/>
      <c r="DC386" s="63"/>
      <c r="DD386" s="63"/>
      <c r="DE386" s="63"/>
      <c r="DF386" s="63"/>
      <c r="DG386" s="63"/>
      <c r="DH386" s="63"/>
      <c r="DI386" s="63"/>
      <c r="DJ386" s="63"/>
      <c r="DK386" s="63"/>
      <c r="DL386" s="63"/>
      <c r="DM386" s="63"/>
      <c r="DN386" s="63"/>
      <c r="DO386" s="63"/>
      <c r="DP386" s="63"/>
      <c r="DQ386" s="158"/>
      <c r="DR386" s="158"/>
      <c r="DS386" s="158"/>
      <c r="DT386" s="158"/>
      <c r="DU386" s="158"/>
      <c r="DV386" s="158"/>
      <c r="DW386" s="158"/>
      <c r="DX386" s="158"/>
      <c r="DY386" s="158"/>
      <c r="DZ386" s="351"/>
      <c r="EA386" s="351"/>
      <c r="EB386" s="351"/>
      <c r="EC386" s="351"/>
      <c r="ED386" s="351"/>
      <c r="EE386" s="351"/>
      <c r="EF386" s="351"/>
      <c r="EG386" s="351"/>
    </row>
    <row r="387" spans="1:137" s="10" customFormat="1" ht="15.9" customHeight="1" outlineLevel="1" x14ac:dyDescent="0.3">
      <c r="A387" s="7" t="s">
        <v>22</v>
      </c>
      <c r="B387" s="2" t="s">
        <v>23</v>
      </c>
      <c r="C387" s="8" t="s">
        <v>24</v>
      </c>
      <c r="D387" s="145">
        <v>27.8</v>
      </c>
      <c r="E387" s="7" t="s">
        <v>694</v>
      </c>
      <c r="F387" s="2" t="s">
        <v>740</v>
      </c>
      <c r="G387" s="9" t="s">
        <v>741</v>
      </c>
      <c r="H387" s="9"/>
      <c r="I387" s="204" t="str" cm="1">
        <f t="array" ref="I387">IFERROR(LOOKUP(2,1/(N387:GR387&lt;&gt;""),N$4:DRA$4),"")</f>
        <v/>
      </c>
      <c r="J387" s="169" t="str" cm="1">
        <f t="array" ref="J387">IFERROR(_xlfn.XLOOKUP(TRUE,N387:EH387&lt;&gt;"",N387:EH387,,,-1)," ")</f>
        <v xml:space="preserve"> </v>
      </c>
      <c r="K387" s="45">
        <v>25</v>
      </c>
      <c r="L387" s="45">
        <v>25.5</v>
      </c>
      <c r="M387" s="7" t="s">
        <v>28</v>
      </c>
      <c r="N387" s="57"/>
      <c r="O387" s="57"/>
      <c r="P387" s="57"/>
      <c r="Q387" s="57"/>
      <c r="R387" s="57"/>
      <c r="S387" s="57"/>
      <c r="T387" s="57"/>
      <c r="U387" s="57"/>
      <c r="V387" s="57"/>
      <c r="W387" s="57"/>
      <c r="X387" s="57"/>
      <c r="Y387" s="57"/>
      <c r="Z387" s="57"/>
      <c r="AA387" s="57"/>
      <c r="AB387" s="57"/>
      <c r="AC387" s="57"/>
      <c r="AD387" s="57"/>
      <c r="AE387" s="57"/>
      <c r="AF387" s="57"/>
      <c r="AG387" s="57"/>
      <c r="AH387" s="57"/>
      <c r="AI387" s="57"/>
      <c r="AJ387" s="57"/>
      <c r="AK387" s="57"/>
      <c r="AL387" s="57"/>
      <c r="AM387" s="57"/>
      <c r="AN387" s="57"/>
      <c r="AO387" s="57"/>
      <c r="AP387" s="57"/>
      <c r="AQ387" s="57"/>
      <c r="AR387" s="57"/>
      <c r="AS387" s="57"/>
      <c r="AT387" s="57"/>
      <c r="AU387" s="61"/>
      <c r="AV387" s="61"/>
      <c r="AW387" s="57"/>
      <c r="AX387" s="57"/>
      <c r="AY387" s="57"/>
      <c r="AZ387" s="57"/>
      <c r="BA387" s="57"/>
      <c r="BB387" s="57"/>
      <c r="BC387" s="61"/>
      <c r="BD387" s="57"/>
      <c r="BE387" s="57"/>
      <c r="BF387" s="57"/>
      <c r="BG387" s="58"/>
      <c r="BH387" s="57"/>
      <c r="BI387" s="61"/>
      <c r="BJ387" s="61"/>
      <c r="BK387" s="57"/>
      <c r="BL387" s="57"/>
      <c r="BM387" s="57"/>
      <c r="BN387" s="61"/>
      <c r="BO387" s="57"/>
      <c r="BP387" s="58"/>
      <c r="BQ387" s="61"/>
      <c r="BR387" s="61"/>
      <c r="BS387" s="57"/>
      <c r="BT387" s="61"/>
      <c r="BU387" s="61"/>
      <c r="BV387" s="61"/>
      <c r="BW387" s="61"/>
      <c r="BX387" s="61"/>
      <c r="BY387" s="61"/>
      <c r="BZ387" s="61"/>
      <c r="CA387" s="61"/>
      <c r="CB387" s="57"/>
      <c r="CC387" s="61"/>
      <c r="CD387" s="61"/>
      <c r="CE387" s="61"/>
      <c r="CF387" s="57"/>
      <c r="CG387" s="61"/>
      <c r="CH387" s="57"/>
      <c r="CI387" s="61"/>
      <c r="CJ387" s="57"/>
      <c r="CK387" s="61"/>
      <c r="CL387" s="61"/>
      <c r="CM387" s="61"/>
      <c r="CN387" s="61"/>
      <c r="CO387" s="61"/>
      <c r="CP387" s="61"/>
      <c r="CQ387" s="61"/>
      <c r="CR387" s="61"/>
      <c r="CS387" s="61"/>
      <c r="CT387" s="61"/>
      <c r="CU387" s="61"/>
      <c r="CV387" s="61"/>
      <c r="CW387" s="61"/>
      <c r="CX387" s="61"/>
      <c r="CY387" s="61"/>
      <c r="CZ387" s="61"/>
      <c r="DA387" s="61"/>
      <c r="DB387" s="61"/>
      <c r="DC387" s="61"/>
      <c r="DD387" s="61"/>
      <c r="DE387" s="61"/>
      <c r="DF387" s="61"/>
      <c r="DG387" s="61"/>
      <c r="DH387" s="61"/>
      <c r="DI387" s="61"/>
      <c r="DJ387" s="61"/>
      <c r="DK387" s="61"/>
      <c r="DL387" s="61"/>
      <c r="DM387" s="61"/>
      <c r="DN387" s="61"/>
      <c r="DO387" s="61"/>
      <c r="DP387" s="61"/>
      <c r="DQ387" s="156"/>
      <c r="DR387" s="156"/>
      <c r="DS387" s="156"/>
      <c r="DT387" s="156"/>
      <c r="DU387" s="156"/>
      <c r="DV387" s="156"/>
      <c r="DW387" s="156"/>
      <c r="DX387" s="156"/>
      <c r="DY387" s="156"/>
      <c r="DZ387" s="137"/>
      <c r="EA387" s="137"/>
      <c r="EB387" s="137"/>
      <c r="EC387" s="137"/>
      <c r="ED387" s="137"/>
      <c r="EE387" s="137"/>
      <c r="EF387" s="137"/>
      <c r="EG387" s="137"/>
    </row>
    <row r="388" spans="1:137" s="10" customFormat="1" ht="15.9" customHeight="1" outlineLevel="1" x14ac:dyDescent="0.3">
      <c r="A388" s="7" t="s">
        <v>22</v>
      </c>
      <c r="B388" s="2" t="s">
        <v>23</v>
      </c>
      <c r="C388" s="8" t="s">
        <v>24</v>
      </c>
      <c r="D388" s="145"/>
      <c r="E388" s="7" t="s">
        <v>694</v>
      </c>
      <c r="F388" s="2" t="s">
        <v>740</v>
      </c>
      <c r="G388" s="9" t="s">
        <v>742</v>
      </c>
      <c r="H388" s="9"/>
      <c r="I388" s="204" cm="1">
        <f t="array" ref="I388">IFERROR(LOOKUP(2,1/(N388:GR388&lt;&gt;""),N$4:DRA$4),"")</f>
        <v>45194</v>
      </c>
      <c r="J388" s="169" cm="1">
        <f t="array" ref="J388">IFERROR(_xlfn.XLOOKUP(TRUE,N388:EH388&lt;&gt;"",N388:EH388,,,-1)," ")</f>
        <v>24.6</v>
      </c>
      <c r="K388" s="45">
        <v>25</v>
      </c>
      <c r="L388" s="45">
        <v>25.5</v>
      </c>
      <c r="M388" s="7" t="s">
        <v>28</v>
      </c>
      <c r="N388" s="57"/>
      <c r="O388" s="57"/>
      <c r="P388" s="57"/>
      <c r="Q388" s="57"/>
      <c r="R388" s="57"/>
      <c r="S388" s="57"/>
      <c r="T388" s="57"/>
      <c r="U388" s="57"/>
      <c r="V388" s="57"/>
      <c r="W388" s="57"/>
      <c r="X388" s="57"/>
      <c r="Y388" s="57"/>
      <c r="Z388" s="57"/>
      <c r="AA388" s="57"/>
      <c r="AB388" s="57"/>
      <c r="AC388" s="57"/>
      <c r="AD388" s="57"/>
      <c r="AE388" s="57"/>
      <c r="AF388" s="57"/>
      <c r="AG388" s="57"/>
      <c r="AH388" s="57"/>
      <c r="AI388" s="57"/>
      <c r="AJ388" s="57"/>
      <c r="AK388" s="57"/>
      <c r="AL388" s="57"/>
      <c r="AM388" s="57"/>
      <c r="AN388" s="57"/>
      <c r="AO388" s="57"/>
      <c r="AP388" s="57"/>
      <c r="AQ388" s="57"/>
      <c r="AR388" s="57"/>
      <c r="AS388" s="57">
        <v>19.600000000000001</v>
      </c>
      <c r="AT388" s="57"/>
      <c r="AU388" s="61"/>
      <c r="AV388" s="61"/>
      <c r="AW388" s="57"/>
      <c r="AX388" s="57"/>
      <c r="AY388" s="57"/>
      <c r="AZ388" s="57"/>
      <c r="BA388" s="57"/>
      <c r="BB388" s="57"/>
      <c r="BC388" s="61"/>
      <c r="BD388" s="57"/>
      <c r="BE388" s="57">
        <v>21.6</v>
      </c>
      <c r="BF388" s="57"/>
      <c r="BG388" s="57"/>
      <c r="BH388" s="57"/>
      <c r="BI388" s="61"/>
      <c r="BJ388" s="61"/>
      <c r="BK388" s="57"/>
      <c r="BL388" s="57">
        <v>23</v>
      </c>
      <c r="BM388" s="57"/>
      <c r="BN388" s="61"/>
      <c r="BO388" s="57"/>
      <c r="BP388" s="58"/>
      <c r="BQ388" s="61"/>
      <c r="BR388" s="61"/>
      <c r="BS388" s="57"/>
      <c r="BT388" s="61"/>
      <c r="BU388" s="160">
        <v>24.6</v>
      </c>
      <c r="BV388" s="61"/>
      <c r="BW388" s="61"/>
      <c r="BX388" s="61"/>
      <c r="BY388" s="61"/>
      <c r="BZ388" s="160"/>
      <c r="CA388" s="61"/>
      <c r="CB388" s="57"/>
      <c r="CC388" s="61"/>
      <c r="CD388" s="61"/>
      <c r="CE388" s="61"/>
      <c r="CF388" s="57"/>
      <c r="CG388" s="61"/>
      <c r="CH388" s="57"/>
      <c r="CI388" s="61"/>
      <c r="CJ388" s="57"/>
      <c r="CK388" s="61"/>
      <c r="CL388" s="61"/>
      <c r="CM388" s="61"/>
      <c r="CN388" s="61"/>
      <c r="CO388" s="61"/>
      <c r="CP388" s="61"/>
      <c r="CQ388" s="61"/>
      <c r="CR388" s="61"/>
      <c r="CS388" s="61"/>
      <c r="CT388" s="61"/>
      <c r="CU388" s="61"/>
      <c r="CV388" s="61"/>
      <c r="CW388" s="61"/>
      <c r="CX388" s="61"/>
      <c r="CY388" s="61"/>
      <c r="CZ388" s="61"/>
      <c r="DA388" s="61"/>
      <c r="DB388" s="61"/>
      <c r="DC388" s="61"/>
      <c r="DD388" s="61"/>
      <c r="DE388" s="61"/>
      <c r="DF388" s="61"/>
      <c r="DG388" s="61"/>
      <c r="DH388" s="61"/>
      <c r="DI388" s="61"/>
      <c r="DJ388" s="61"/>
      <c r="DK388" s="61"/>
      <c r="DL388" s="61"/>
      <c r="DM388" s="61"/>
      <c r="DN388" s="61"/>
      <c r="DO388" s="61"/>
      <c r="DP388" s="61"/>
      <c r="DQ388" s="156"/>
      <c r="DR388" s="156"/>
      <c r="DS388" s="156"/>
      <c r="DT388" s="156"/>
      <c r="DU388" s="156"/>
      <c r="DV388" s="156"/>
      <c r="DW388" s="156"/>
      <c r="DX388" s="156"/>
      <c r="DY388" s="156"/>
      <c r="DZ388" s="137"/>
      <c r="EA388" s="137"/>
      <c r="EB388" s="137"/>
      <c r="EC388" s="137"/>
      <c r="ED388" s="137"/>
      <c r="EE388" s="137"/>
      <c r="EF388" s="137"/>
      <c r="EG388" s="137"/>
    </row>
    <row r="389" spans="1:137" s="10" customFormat="1" ht="15.9" customHeight="1" outlineLevel="1" x14ac:dyDescent="0.3">
      <c r="A389" s="7" t="s">
        <v>22</v>
      </c>
      <c r="B389" s="2" t="s">
        <v>23</v>
      </c>
      <c r="C389" s="8" t="s">
        <v>24</v>
      </c>
      <c r="D389" s="145"/>
      <c r="E389" s="7" t="s">
        <v>694</v>
      </c>
      <c r="F389" s="2" t="s">
        <v>740</v>
      </c>
      <c r="G389" s="9" t="s">
        <v>743</v>
      </c>
      <c r="H389" s="9"/>
      <c r="I389" s="204" t="str" cm="1">
        <f t="array" ref="I389">IFERROR(LOOKUP(2,1/(N389:GR389&lt;&gt;""),N$4:DRA$4),"")</f>
        <v/>
      </c>
      <c r="J389" s="169" t="str" cm="1">
        <f t="array" ref="J389">IFERROR(_xlfn.XLOOKUP(TRUE,N389:EH389&lt;&gt;"",N389:EH389,,,-1)," ")</f>
        <v xml:space="preserve"> </v>
      </c>
      <c r="K389" s="45">
        <v>25</v>
      </c>
      <c r="L389" s="45">
        <v>25.5</v>
      </c>
      <c r="M389" s="7" t="s">
        <v>28</v>
      </c>
      <c r="N389" s="57"/>
      <c r="O389" s="57"/>
      <c r="P389" s="57"/>
      <c r="Q389" s="57"/>
      <c r="R389" s="57"/>
      <c r="S389" s="57"/>
      <c r="T389" s="57"/>
      <c r="U389" s="57"/>
      <c r="V389" s="57"/>
      <c r="W389" s="57"/>
      <c r="X389" s="57"/>
      <c r="Y389" s="57"/>
      <c r="Z389" s="57"/>
      <c r="AA389" s="57"/>
      <c r="AB389" s="57"/>
      <c r="AC389" s="57"/>
      <c r="AD389" s="57"/>
      <c r="AE389" s="57"/>
      <c r="AF389" s="57"/>
      <c r="AG389" s="57"/>
      <c r="AH389" s="57"/>
      <c r="AI389" s="57"/>
      <c r="AJ389" s="57"/>
      <c r="AK389" s="57"/>
      <c r="AL389" s="57"/>
      <c r="AM389" s="57"/>
      <c r="AN389" s="57"/>
      <c r="AO389" s="57"/>
      <c r="AP389" s="57"/>
      <c r="AQ389" s="57"/>
      <c r="AR389" s="57"/>
      <c r="AS389" s="57"/>
      <c r="AT389" s="57"/>
      <c r="AU389" s="61"/>
      <c r="AV389" s="61"/>
      <c r="AW389" s="57"/>
      <c r="AX389" s="57"/>
      <c r="AY389" s="57"/>
      <c r="AZ389" s="57"/>
      <c r="BA389" s="57"/>
      <c r="BB389" s="57"/>
      <c r="BC389" s="61"/>
      <c r="BD389" s="57"/>
      <c r="BE389" s="57"/>
      <c r="BF389" s="57"/>
      <c r="BG389" s="57"/>
      <c r="BH389" s="57"/>
      <c r="BI389" s="61"/>
      <c r="BJ389" s="61"/>
      <c r="BK389" s="57"/>
      <c r="BL389" s="57"/>
      <c r="BM389" s="57"/>
      <c r="BN389" s="61"/>
      <c r="BO389" s="57"/>
      <c r="BP389" s="58"/>
      <c r="BQ389" s="61"/>
      <c r="BR389" s="61"/>
      <c r="BS389" s="57"/>
      <c r="BT389" s="61"/>
      <c r="BU389" s="61"/>
      <c r="BV389" s="61"/>
      <c r="BW389" s="61"/>
      <c r="BX389" s="61"/>
      <c r="BY389" s="61"/>
      <c r="BZ389" s="61"/>
      <c r="CA389" s="61"/>
      <c r="CB389" s="57"/>
      <c r="CC389" s="61"/>
      <c r="CD389" s="61"/>
      <c r="CE389" s="61"/>
      <c r="CF389" s="57"/>
      <c r="CG389" s="61"/>
      <c r="CH389" s="57"/>
      <c r="CI389" s="61"/>
      <c r="CJ389" s="57"/>
      <c r="CK389" s="61"/>
      <c r="CL389" s="61"/>
      <c r="CM389" s="61"/>
      <c r="CN389" s="61"/>
      <c r="CO389" s="61"/>
      <c r="CP389" s="61"/>
      <c r="CQ389" s="61"/>
      <c r="CR389" s="61"/>
      <c r="CS389" s="61"/>
      <c r="CT389" s="61"/>
      <c r="CU389" s="61"/>
      <c r="CV389" s="61"/>
      <c r="CW389" s="61"/>
      <c r="CX389" s="61"/>
      <c r="CY389" s="61"/>
      <c r="CZ389" s="61"/>
      <c r="DA389" s="61"/>
      <c r="DB389" s="61"/>
      <c r="DC389" s="61"/>
      <c r="DD389" s="61"/>
      <c r="DE389" s="61"/>
      <c r="DF389" s="61"/>
      <c r="DG389" s="61"/>
      <c r="DH389" s="61"/>
      <c r="DI389" s="61"/>
      <c r="DJ389" s="61"/>
      <c r="DK389" s="61"/>
      <c r="DL389" s="61"/>
      <c r="DM389" s="61"/>
      <c r="DN389" s="61"/>
      <c r="DO389" s="61"/>
      <c r="DP389" s="61"/>
      <c r="DQ389" s="156"/>
      <c r="DR389" s="156"/>
      <c r="DS389" s="156"/>
      <c r="DT389" s="156"/>
      <c r="DU389" s="156"/>
      <c r="DV389" s="156"/>
      <c r="DW389" s="156"/>
      <c r="DX389" s="156"/>
      <c r="DY389" s="156"/>
      <c r="DZ389" s="137"/>
      <c r="EA389" s="137"/>
      <c r="EB389" s="137"/>
      <c r="EC389" s="137"/>
      <c r="ED389" s="137"/>
      <c r="EE389" s="137"/>
      <c r="EF389" s="137"/>
      <c r="EG389" s="137"/>
    </row>
    <row r="390" spans="1:137" s="10" customFormat="1" ht="15.9" customHeight="1" outlineLevel="1" x14ac:dyDescent="0.3">
      <c r="A390" s="7" t="s">
        <v>22</v>
      </c>
      <c r="B390" s="2" t="s">
        <v>23</v>
      </c>
      <c r="C390" s="8" t="s">
        <v>24</v>
      </c>
      <c r="D390" s="145"/>
      <c r="E390" s="7" t="s">
        <v>694</v>
      </c>
      <c r="F390" s="2" t="s">
        <v>740</v>
      </c>
      <c r="G390" s="9" t="s">
        <v>744</v>
      </c>
      <c r="H390" s="9"/>
      <c r="I390" s="204" t="str" cm="1">
        <f t="array" ref="I390">IFERROR(LOOKUP(2,1/(N390:GR390&lt;&gt;""),N$4:DRA$4),"")</f>
        <v/>
      </c>
      <c r="J390" s="169" t="str" cm="1">
        <f t="array" ref="J390">IFERROR(_xlfn.XLOOKUP(TRUE,N390:EH390&lt;&gt;"",N390:EH390,,,-1)," ")</f>
        <v xml:space="preserve"> </v>
      </c>
      <c r="K390" s="45">
        <v>25</v>
      </c>
      <c r="L390" s="45">
        <v>25.5</v>
      </c>
      <c r="M390" s="7" t="s">
        <v>28</v>
      </c>
      <c r="N390" s="57"/>
      <c r="O390" s="57"/>
      <c r="P390" s="57"/>
      <c r="Q390" s="57"/>
      <c r="R390" s="57"/>
      <c r="S390" s="57"/>
      <c r="T390" s="57"/>
      <c r="U390" s="57"/>
      <c r="V390" s="57"/>
      <c r="W390" s="57"/>
      <c r="X390" s="57"/>
      <c r="Y390" s="57"/>
      <c r="Z390" s="57"/>
      <c r="AA390" s="57"/>
      <c r="AB390" s="57"/>
      <c r="AC390" s="57"/>
      <c r="AD390" s="57"/>
      <c r="AE390" s="57"/>
      <c r="AF390" s="57"/>
      <c r="AG390" s="57"/>
      <c r="AH390" s="57"/>
      <c r="AI390" s="57"/>
      <c r="AJ390" s="57"/>
      <c r="AK390" s="57"/>
      <c r="AL390" s="57"/>
      <c r="AM390" s="57"/>
      <c r="AN390" s="57"/>
      <c r="AO390" s="57"/>
      <c r="AP390" s="57"/>
      <c r="AQ390" s="57"/>
      <c r="AR390" s="57"/>
      <c r="AS390" s="57"/>
      <c r="AT390" s="57"/>
      <c r="AU390" s="61"/>
      <c r="AV390" s="61"/>
      <c r="AW390" s="57"/>
      <c r="AX390" s="57"/>
      <c r="AY390" s="57"/>
      <c r="AZ390" s="57"/>
      <c r="BA390" s="57"/>
      <c r="BB390" s="57"/>
      <c r="BC390" s="61"/>
      <c r="BD390" s="57"/>
      <c r="BE390" s="57"/>
      <c r="BF390" s="57"/>
      <c r="BG390" s="57"/>
      <c r="BH390" s="57"/>
      <c r="BI390" s="61"/>
      <c r="BJ390" s="61"/>
      <c r="BK390" s="57"/>
      <c r="BL390" s="57"/>
      <c r="BM390" s="57"/>
      <c r="BN390" s="61"/>
      <c r="BO390" s="57"/>
      <c r="BP390" s="58"/>
      <c r="BQ390" s="61"/>
      <c r="BR390" s="61"/>
      <c r="BS390" s="57"/>
      <c r="BT390" s="61"/>
      <c r="BU390" s="61"/>
      <c r="BV390" s="61"/>
      <c r="BW390" s="61"/>
      <c r="BX390" s="61"/>
      <c r="BY390" s="61"/>
      <c r="BZ390" s="61"/>
      <c r="CA390" s="61"/>
      <c r="CB390" s="57"/>
      <c r="CC390" s="61"/>
      <c r="CD390" s="61"/>
      <c r="CE390" s="61"/>
      <c r="CF390" s="57"/>
      <c r="CG390" s="61"/>
      <c r="CH390" s="57"/>
      <c r="CI390" s="61"/>
      <c r="CJ390" s="57"/>
      <c r="CK390" s="61"/>
      <c r="CL390" s="61"/>
      <c r="CM390" s="61"/>
      <c r="CN390" s="61"/>
      <c r="CO390" s="61"/>
      <c r="CP390" s="61"/>
      <c r="CQ390" s="61"/>
      <c r="CR390" s="61"/>
      <c r="CS390" s="61"/>
      <c r="CT390" s="61"/>
      <c r="CU390" s="61"/>
      <c r="CV390" s="61"/>
      <c r="CW390" s="61"/>
      <c r="CX390" s="61"/>
      <c r="CY390" s="61"/>
      <c r="CZ390" s="61"/>
      <c r="DA390" s="61"/>
      <c r="DB390" s="61"/>
      <c r="DC390" s="61"/>
      <c r="DD390" s="61"/>
      <c r="DE390" s="61"/>
      <c r="DF390" s="61"/>
      <c r="DG390" s="61"/>
      <c r="DH390" s="61"/>
      <c r="DI390" s="61"/>
      <c r="DJ390" s="61"/>
      <c r="DK390" s="61"/>
      <c r="DL390" s="61"/>
      <c r="DM390" s="61"/>
      <c r="DN390" s="61"/>
      <c r="DO390" s="61"/>
      <c r="DP390" s="61"/>
      <c r="DQ390" s="156"/>
      <c r="DR390" s="156"/>
      <c r="DS390" s="156"/>
      <c r="DT390" s="156"/>
      <c r="DU390" s="156"/>
      <c r="DV390" s="156"/>
      <c r="DW390" s="156"/>
      <c r="DX390" s="156"/>
      <c r="DY390" s="156"/>
      <c r="DZ390" s="137"/>
      <c r="EA390" s="137"/>
      <c r="EB390" s="137"/>
      <c r="EC390" s="137"/>
      <c r="ED390" s="137"/>
      <c r="EE390" s="137"/>
      <c r="EF390" s="137"/>
      <c r="EG390" s="137"/>
    </row>
    <row r="391" spans="1:137" s="10" customFormat="1" ht="15.9" customHeight="1" outlineLevel="1" x14ac:dyDescent="0.3">
      <c r="A391" s="7" t="s">
        <v>22</v>
      </c>
      <c r="B391" s="2" t="s">
        <v>23</v>
      </c>
      <c r="C391" s="8" t="s">
        <v>24</v>
      </c>
      <c r="D391" s="145"/>
      <c r="E391" s="7" t="s">
        <v>694</v>
      </c>
      <c r="F391" s="2" t="s">
        <v>740</v>
      </c>
      <c r="G391" s="9" t="s">
        <v>745</v>
      </c>
      <c r="H391" s="9"/>
      <c r="I391" s="204" cm="1">
        <f t="array" ref="I391">IFERROR(LOOKUP(2,1/(N391:GR391&lt;&gt;""),N$4:DRA$4),"")</f>
        <v>45185</v>
      </c>
      <c r="J391" s="169" cm="1">
        <f t="array" ref="J391">IFERROR(_xlfn.XLOOKUP(TRUE,N391:EH391&lt;&gt;"",N391:EH391,,,-1)," ")</f>
        <v>22.5</v>
      </c>
      <c r="K391" s="45">
        <v>25</v>
      </c>
      <c r="L391" s="45">
        <v>25.5</v>
      </c>
      <c r="M391" s="7" t="s">
        <v>28</v>
      </c>
      <c r="N391" s="57"/>
      <c r="O391" s="57"/>
      <c r="P391" s="57"/>
      <c r="Q391" s="57"/>
      <c r="R391" s="57"/>
      <c r="S391" s="57"/>
      <c r="T391" s="57"/>
      <c r="U391" s="57"/>
      <c r="V391" s="57"/>
      <c r="W391" s="57"/>
      <c r="X391" s="57"/>
      <c r="Y391" s="57"/>
      <c r="Z391" s="57"/>
      <c r="AA391" s="57"/>
      <c r="AB391" s="57"/>
      <c r="AC391" s="57"/>
      <c r="AD391" s="57"/>
      <c r="AE391" s="57"/>
      <c r="AF391" s="57"/>
      <c r="AG391" s="57"/>
      <c r="AH391" s="57"/>
      <c r="AI391" s="57"/>
      <c r="AJ391" s="57"/>
      <c r="AK391" s="57"/>
      <c r="AL391" s="57"/>
      <c r="AM391" s="57"/>
      <c r="AN391" s="57"/>
      <c r="AO391" s="57"/>
      <c r="AP391" s="57"/>
      <c r="AQ391" s="57"/>
      <c r="AR391" s="57"/>
      <c r="AS391" s="57">
        <v>17</v>
      </c>
      <c r="AT391" s="57"/>
      <c r="AU391" s="61"/>
      <c r="AV391" s="61"/>
      <c r="AW391" s="57"/>
      <c r="AX391" s="57"/>
      <c r="AY391" s="57"/>
      <c r="AZ391" s="57"/>
      <c r="BA391" s="57"/>
      <c r="BB391" s="57"/>
      <c r="BC391" s="61"/>
      <c r="BD391" s="57"/>
      <c r="BE391" s="57">
        <v>22.4</v>
      </c>
      <c r="BF391" s="57"/>
      <c r="BG391" s="57"/>
      <c r="BH391" s="57"/>
      <c r="BI391" s="61"/>
      <c r="BJ391" s="61"/>
      <c r="BK391" s="57"/>
      <c r="BL391" s="57">
        <v>22.5</v>
      </c>
      <c r="BM391" s="57"/>
      <c r="BN391" s="61"/>
      <c r="BO391" s="57"/>
      <c r="BP391" s="58"/>
      <c r="BQ391" s="61"/>
      <c r="BR391" s="61"/>
      <c r="BS391" s="57"/>
      <c r="BT391" s="61"/>
      <c r="BU391" s="61"/>
      <c r="BV391" s="61"/>
      <c r="BW391" s="61"/>
      <c r="BX391" s="61"/>
      <c r="BY391" s="61"/>
      <c r="BZ391" s="160"/>
      <c r="CA391" s="61"/>
      <c r="CB391" s="57"/>
      <c r="CC391" s="61"/>
      <c r="CD391" s="61"/>
      <c r="CE391" s="61"/>
      <c r="CF391" s="57"/>
      <c r="CG391" s="61"/>
      <c r="CH391" s="57"/>
      <c r="CI391" s="61"/>
      <c r="CJ391" s="57"/>
      <c r="CK391" s="61"/>
      <c r="CL391" s="61"/>
      <c r="CM391" s="61"/>
      <c r="CN391" s="61"/>
      <c r="CO391" s="61"/>
      <c r="CP391" s="61"/>
      <c r="CQ391" s="61"/>
      <c r="CR391" s="61"/>
      <c r="CS391" s="61"/>
      <c r="CT391" s="61"/>
      <c r="CU391" s="61"/>
      <c r="CV391" s="61"/>
      <c r="CW391" s="61"/>
      <c r="CX391" s="61"/>
      <c r="CY391" s="61"/>
      <c r="CZ391" s="61"/>
      <c r="DA391" s="61"/>
      <c r="DB391" s="61"/>
      <c r="DC391" s="61"/>
      <c r="DD391" s="61"/>
      <c r="DE391" s="61"/>
      <c r="DF391" s="61"/>
      <c r="DG391" s="61"/>
      <c r="DH391" s="61"/>
      <c r="DI391" s="61"/>
      <c r="DJ391" s="61"/>
      <c r="DK391" s="61"/>
      <c r="DL391" s="61"/>
      <c r="DM391" s="61"/>
      <c r="DN391" s="61"/>
      <c r="DO391" s="61"/>
      <c r="DP391" s="61"/>
      <c r="DQ391" s="156"/>
      <c r="DR391" s="156"/>
      <c r="DS391" s="156"/>
      <c r="DT391" s="156"/>
      <c r="DU391" s="156"/>
      <c r="DV391" s="156"/>
      <c r="DW391" s="156"/>
      <c r="DX391" s="156"/>
      <c r="DY391" s="156"/>
      <c r="DZ391" s="137"/>
      <c r="EA391" s="137"/>
      <c r="EB391" s="137"/>
      <c r="EC391" s="137"/>
      <c r="ED391" s="137"/>
      <c r="EE391" s="137"/>
      <c r="EF391" s="137"/>
      <c r="EG391" s="137"/>
    </row>
    <row r="392" spans="1:137" s="5" customFormat="1" ht="15.9" customHeight="1" outlineLevel="1" x14ac:dyDescent="0.3">
      <c r="A392" s="6" t="s">
        <v>22</v>
      </c>
      <c r="B392" s="6" t="s">
        <v>23</v>
      </c>
      <c r="C392" s="50" t="s">
        <v>24</v>
      </c>
      <c r="D392" s="147">
        <v>4.72</v>
      </c>
      <c r="E392" s="6" t="s">
        <v>694</v>
      </c>
      <c r="F392" s="6" t="s">
        <v>746</v>
      </c>
      <c r="G392" s="11" t="s">
        <v>747</v>
      </c>
      <c r="H392" s="11"/>
      <c r="I392" s="205" cm="1">
        <f t="array" ref="I392">IFERROR(LOOKUP(2,1/(N392:GR392&lt;&gt;""),N$4:DRA$4),"")</f>
        <v>45209</v>
      </c>
      <c r="J392" s="271" cm="1">
        <f t="array" ref="J392">IFERROR(_xlfn.XLOOKUP(TRUE,N392:EH392&lt;&gt;"",N392:EH392,,,-1)," ")</f>
        <v>22.2</v>
      </c>
      <c r="K392" s="49">
        <v>25</v>
      </c>
      <c r="L392" s="49">
        <v>25.5</v>
      </c>
      <c r="M392" s="6" t="s">
        <v>28</v>
      </c>
      <c r="N392" s="111"/>
      <c r="O392" s="111"/>
      <c r="P392" s="111"/>
      <c r="Q392" s="111"/>
      <c r="R392" s="111"/>
      <c r="S392" s="111"/>
      <c r="T392" s="111"/>
      <c r="U392" s="111"/>
      <c r="V392" s="111"/>
      <c r="W392" s="111"/>
      <c r="X392" s="111"/>
      <c r="Y392" s="111"/>
      <c r="Z392" s="111"/>
      <c r="AA392" s="111"/>
      <c r="AB392" s="111"/>
      <c r="AC392" s="111"/>
      <c r="AD392" s="111"/>
      <c r="AE392" s="111"/>
      <c r="AF392" s="111"/>
      <c r="AG392" s="111"/>
      <c r="AH392" s="111"/>
      <c r="AI392" s="111"/>
      <c r="AJ392" s="111"/>
      <c r="AK392" s="111"/>
      <c r="AL392" s="111"/>
      <c r="AM392" s="111"/>
      <c r="AN392" s="111"/>
      <c r="AO392" s="111"/>
      <c r="AP392" s="111"/>
      <c r="AQ392" s="111"/>
      <c r="AR392" s="111"/>
      <c r="AS392" s="111"/>
      <c r="AT392" s="111">
        <v>16.600000000000001</v>
      </c>
      <c r="AU392" s="158"/>
      <c r="AV392" s="158"/>
      <c r="AW392" s="111"/>
      <c r="AX392" s="111"/>
      <c r="AY392" s="111"/>
      <c r="AZ392" s="111"/>
      <c r="BA392" s="111"/>
      <c r="BB392" s="111"/>
      <c r="BC392" s="158"/>
      <c r="BD392" s="111"/>
      <c r="BE392" s="111"/>
      <c r="BF392" s="111"/>
      <c r="BG392" s="111"/>
      <c r="BH392" s="62">
        <v>19.5</v>
      </c>
      <c r="BI392" s="158"/>
      <c r="BJ392" s="158"/>
      <c r="BK392" s="111"/>
      <c r="BL392" s="111"/>
      <c r="BM392" s="111"/>
      <c r="BN392" s="111"/>
      <c r="BO392" s="111"/>
      <c r="BP392" s="112"/>
      <c r="BQ392" s="63">
        <v>20</v>
      </c>
      <c r="BR392" s="111"/>
      <c r="BS392" s="111"/>
      <c r="BT392" s="111"/>
      <c r="BU392" s="111"/>
      <c r="BV392" s="111"/>
      <c r="BW392" s="111"/>
      <c r="BX392" s="112">
        <v>20.6</v>
      </c>
      <c r="BY392" s="111"/>
      <c r="BZ392" s="111"/>
      <c r="CA392" s="111"/>
      <c r="CB392" s="111"/>
      <c r="CC392" s="6"/>
      <c r="CD392" s="158"/>
      <c r="CE392" s="158"/>
      <c r="CF392" s="111"/>
      <c r="CG392" s="158">
        <v>21.6</v>
      </c>
      <c r="CH392" s="111"/>
      <c r="CI392" s="158"/>
      <c r="CJ392" s="112">
        <v>22.2</v>
      </c>
      <c r="CK392" s="158"/>
      <c r="CL392" s="158"/>
      <c r="CM392" s="158"/>
      <c r="CN392" s="158"/>
      <c r="CO392" s="158"/>
      <c r="CP392" s="158"/>
      <c r="CQ392" s="158"/>
      <c r="CR392" s="158"/>
      <c r="CS392" s="158"/>
      <c r="CT392" s="158"/>
      <c r="CU392" s="158"/>
      <c r="CV392" s="158"/>
      <c r="CW392" s="158"/>
      <c r="CX392" s="158"/>
      <c r="CY392" s="158"/>
      <c r="CZ392" s="158"/>
      <c r="DA392" s="158"/>
      <c r="DB392" s="158"/>
      <c r="DC392" s="158"/>
      <c r="DD392" s="158"/>
      <c r="DE392" s="158"/>
      <c r="DF392" s="158"/>
      <c r="DG392" s="158"/>
      <c r="DH392" s="158"/>
      <c r="DI392" s="158"/>
      <c r="DJ392" s="158"/>
      <c r="DK392" s="158"/>
      <c r="DL392" s="158"/>
      <c r="DM392" s="158"/>
      <c r="DN392" s="158"/>
      <c r="DO392" s="158"/>
      <c r="DP392" s="158"/>
      <c r="DQ392" s="158"/>
      <c r="DR392" s="158"/>
      <c r="DS392" s="158"/>
      <c r="DT392" s="158"/>
      <c r="DU392" s="158"/>
      <c r="DV392" s="158"/>
      <c r="DW392" s="158"/>
      <c r="DX392" s="158"/>
      <c r="DY392" s="158"/>
      <c r="DZ392" s="351"/>
      <c r="EA392" s="351"/>
      <c r="EB392" s="351"/>
      <c r="EC392" s="351"/>
      <c r="ED392" s="351"/>
      <c r="EE392" s="351"/>
      <c r="EF392" s="351"/>
      <c r="EG392" s="351"/>
    </row>
    <row r="393" spans="1:137" s="10" customFormat="1" ht="15.9" customHeight="1" outlineLevel="1" x14ac:dyDescent="0.3">
      <c r="A393" s="7" t="s">
        <v>22</v>
      </c>
      <c r="B393" s="2" t="s">
        <v>23</v>
      </c>
      <c r="C393" s="8" t="s">
        <v>24</v>
      </c>
      <c r="D393" s="145">
        <v>7.16</v>
      </c>
      <c r="E393" s="7" t="s">
        <v>694</v>
      </c>
      <c r="F393" s="2" t="s">
        <v>748</v>
      </c>
      <c r="G393" s="9" t="s">
        <v>749</v>
      </c>
      <c r="H393" s="9"/>
      <c r="I393" s="204" cm="1">
        <f t="array" ref="I393">IFERROR(LOOKUP(2,1/(N393:GR393&lt;&gt;""),N$4:DRA$4),"")</f>
        <v>45207</v>
      </c>
      <c r="J393" s="266" cm="1">
        <f t="array" ref="J393">IFERROR(_xlfn.XLOOKUP(TRUE,N393:EH393&lt;&gt;"",N393:EH393,,,-1)," ")</f>
        <v>25.3</v>
      </c>
      <c r="K393" s="45">
        <v>25</v>
      </c>
      <c r="L393" s="45">
        <v>25.5</v>
      </c>
      <c r="M393" s="7" t="s">
        <v>28</v>
      </c>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c r="AT393" s="29">
        <v>18.899999999999999</v>
      </c>
      <c r="AU393" s="156"/>
      <c r="AV393" s="156"/>
      <c r="AW393" s="29"/>
      <c r="AX393" s="29"/>
      <c r="AY393" s="29"/>
      <c r="AZ393" s="29"/>
      <c r="BA393" s="29"/>
      <c r="BB393" s="29"/>
      <c r="BC393" s="156"/>
      <c r="BD393" s="29"/>
      <c r="BE393" s="29"/>
      <c r="BF393" s="29"/>
      <c r="BG393" s="29"/>
      <c r="BH393" s="57">
        <v>21</v>
      </c>
      <c r="BI393" s="156"/>
      <c r="BJ393" s="156"/>
      <c r="BK393" s="57"/>
      <c r="BL393" s="78"/>
      <c r="BM393" s="29"/>
      <c r="BN393" s="29"/>
      <c r="BO393" s="29"/>
      <c r="BP393" s="78"/>
      <c r="BQ393" s="156" t="s">
        <v>210</v>
      </c>
      <c r="BR393" s="58"/>
      <c r="BS393" s="29"/>
      <c r="BT393" s="29"/>
      <c r="BU393" s="29"/>
      <c r="BV393" s="78">
        <v>21.6</v>
      </c>
      <c r="BW393" s="29"/>
      <c r="BX393" s="29"/>
      <c r="BY393" s="29"/>
      <c r="BZ393" s="29"/>
      <c r="CA393" s="29"/>
      <c r="CB393" s="29"/>
      <c r="CC393" s="7"/>
      <c r="CD393" s="156"/>
      <c r="CE393" s="156"/>
      <c r="CF393" s="29"/>
      <c r="CG393" s="156">
        <v>24</v>
      </c>
      <c r="CH393" s="78">
        <v>25.3</v>
      </c>
      <c r="CI393" s="156"/>
      <c r="CJ393" s="29"/>
      <c r="CK393" s="156"/>
      <c r="CL393" s="156"/>
      <c r="CM393" s="156"/>
      <c r="CN393" s="156"/>
      <c r="CO393" s="156"/>
      <c r="CP393" s="156"/>
      <c r="CQ393" s="156"/>
      <c r="CR393" s="156"/>
      <c r="CS393" s="156"/>
      <c r="CT393" s="156"/>
      <c r="CU393" s="156"/>
      <c r="CV393" s="156"/>
      <c r="CW393" s="156"/>
      <c r="CX393" s="156"/>
      <c r="CY393" s="156"/>
      <c r="CZ393" s="156"/>
      <c r="DA393" s="156"/>
      <c r="DB393" s="156"/>
      <c r="DC393" s="156"/>
      <c r="DD393" s="156"/>
      <c r="DE393" s="156"/>
      <c r="DF393" s="156"/>
      <c r="DG393" s="156"/>
      <c r="DH393" s="156"/>
      <c r="DI393" s="156"/>
      <c r="DJ393" s="156"/>
      <c r="DK393" s="156"/>
      <c r="DL393" s="156"/>
      <c r="DM393" s="156"/>
      <c r="DN393" s="156"/>
      <c r="DO393" s="156"/>
      <c r="DP393" s="156"/>
      <c r="DQ393" s="156"/>
      <c r="DR393" s="156"/>
      <c r="DS393" s="156"/>
      <c r="DT393" s="156"/>
      <c r="DU393" s="156"/>
      <c r="DV393" s="156"/>
      <c r="DW393" s="156"/>
      <c r="DX393" s="156"/>
      <c r="DY393" s="156"/>
      <c r="DZ393" s="137"/>
      <c r="EA393" s="137"/>
      <c r="EB393" s="137"/>
      <c r="EC393" s="137"/>
      <c r="ED393" s="137"/>
      <c r="EE393" s="137"/>
      <c r="EF393" s="137"/>
      <c r="EG393" s="137"/>
    </row>
  </sheetData>
  <autoFilter ref="A4:EG393" xr:uid="{00000000-0001-0000-0000-000000000000}"/>
  <sortState xmlns:xlrd2="http://schemas.microsoft.com/office/spreadsheetml/2017/richdata2" ref="A5:DY393">
    <sortCondition ref="E5:E393"/>
    <sortCondition ref="G5:G393"/>
  </sortState>
  <mergeCells count="6">
    <mergeCell ref="I3:J3"/>
    <mergeCell ref="K3:L3"/>
    <mergeCell ref="C3:E3"/>
    <mergeCell ref="N1:O1"/>
    <mergeCell ref="P1:V1"/>
    <mergeCell ref="G1:M2"/>
  </mergeCells>
  <phoneticPr fontId="2" type="noConversion"/>
  <conditionalFormatting sqref="A4:C4 E4:XFD4">
    <cfRule type="timePeriod" dxfId="1" priority="19" timePeriod="today">
      <formula>FLOOR(A4,1)=TODAY()</formula>
    </cfRule>
  </conditionalFormatting>
  <pageMargins left="0.25" right="0.25" top="0.75" bottom="0.75" header="0.3" footer="0.3"/>
  <pageSetup paperSize="5" scale="10" fitToWidth="0" orientation="landscape" r:id="rId1"/>
  <headerFooter>
    <oddHeader>&amp;R&amp;D  &amp;T   &amp;P of &amp;N</oddHead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5D87F-4929-2A42-ABA1-682CB76D8F2D}">
  <dimension ref="A1"/>
  <sheetViews>
    <sheetView workbookViewId="0"/>
  </sheetViews>
  <sheetFormatPr defaultRowHeight="15.6"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AE5FD-F544-4290-9ED3-EE490C7F1037}">
  <sheetPr codeName="Sheet2"/>
  <dimension ref="A1:K779"/>
  <sheetViews>
    <sheetView workbookViewId="0">
      <pane ySplit="2" topLeftCell="A282" activePane="bottomLeft" state="frozen"/>
      <selection pane="bottomLeft" activeCell="I302" sqref="I302"/>
    </sheetView>
  </sheetViews>
  <sheetFormatPr defaultColWidth="9" defaultRowHeight="15.6" x14ac:dyDescent="0.3"/>
  <cols>
    <col min="1" max="1" width="13.88671875" customWidth="1"/>
    <col min="2" max="2" width="14.88671875" customWidth="1"/>
    <col min="3" max="3" width="32" customWidth="1"/>
    <col min="5" max="5" width="14.44140625" customWidth="1"/>
    <col min="6" max="6" width="15.109375" customWidth="1"/>
    <col min="7" max="8" width="13.109375" customWidth="1"/>
    <col min="9" max="9" width="14.109375" customWidth="1"/>
    <col min="10" max="10" width="30.44140625" customWidth="1"/>
  </cols>
  <sheetData>
    <row r="1" spans="1:10" ht="25.2" x14ac:dyDescent="0.45">
      <c r="A1" s="193" t="s">
        <v>750</v>
      </c>
      <c r="B1" s="444" t="s">
        <v>751</v>
      </c>
      <c r="C1" s="444"/>
      <c r="D1" s="444"/>
      <c r="E1" s="444"/>
      <c r="F1" s="444"/>
      <c r="G1" s="444"/>
      <c r="H1" s="444"/>
      <c r="I1" s="444"/>
      <c r="J1" s="444"/>
    </row>
    <row r="2" spans="1:10" x14ac:dyDescent="0.3">
      <c r="A2" s="178" t="s">
        <v>752</v>
      </c>
      <c r="B2" s="173" t="s">
        <v>753</v>
      </c>
      <c r="C2" s="173" t="s">
        <v>754</v>
      </c>
      <c r="D2" s="173" t="s">
        <v>755</v>
      </c>
      <c r="E2" s="174" t="s">
        <v>756</v>
      </c>
      <c r="F2" s="174" t="s">
        <v>757</v>
      </c>
      <c r="G2" s="173" t="s">
        <v>758</v>
      </c>
      <c r="H2" s="173" t="s">
        <v>759</v>
      </c>
      <c r="I2" s="174" t="s">
        <v>760</v>
      </c>
      <c r="J2" s="173" t="s">
        <v>761</v>
      </c>
    </row>
    <row r="3" spans="1:10" x14ac:dyDescent="0.3">
      <c r="A3" s="175" t="s">
        <v>762</v>
      </c>
      <c r="B3" s="176">
        <v>45145</v>
      </c>
      <c r="C3" s="175" t="s">
        <v>763</v>
      </c>
      <c r="D3" s="175" t="s">
        <v>91</v>
      </c>
      <c r="E3" s="175">
        <v>17.600000000000001</v>
      </c>
      <c r="F3" s="175">
        <v>16.600000000000001</v>
      </c>
      <c r="G3" s="175">
        <v>12.6</v>
      </c>
      <c r="H3" s="175">
        <v>3.06</v>
      </c>
      <c r="I3" s="175">
        <v>6160</v>
      </c>
      <c r="J3" s="175"/>
    </row>
    <row r="4" spans="1:10" x14ac:dyDescent="0.3">
      <c r="A4" s="175" t="s">
        <v>764</v>
      </c>
      <c r="B4" s="176">
        <v>45145</v>
      </c>
      <c r="C4" s="175" t="s">
        <v>765</v>
      </c>
      <c r="D4" s="175" t="s">
        <v>91</v>
      </c>
      <c r="E4" s="175">
        <v>16.399999999999999</v>
      </c>
      <c r="F4" s="175">
        <v>15.7</v>
      </c>
      <c r="G4" s="175">
        <v>15.4</v>
      </c>
      <c r="H4" s="175">
        <v>3.03</v>
      </c>
      <c r="I4" s="175">
        <v>8632</v>
      </c>
      <c r="J4" s="175"/>
    </row>
    <row r="5" spans="1:10" x14ac:dyDescent="0.3">
      <c r="A5" s="16" t="s">
        <v>762</v>
      </c>
      <c r="B5" s="190">
        <v>45148</v>
      </c>
      <c r="C5" s="16" t="s">
        <v>766</v>
      </c>
      <c r="D5" s="16" t="s">
        <v>767</v>
      </c>
      <c r="E5" s="16">
        <v>17.899999999999999</v>
      </c>
      <c r="F5" s="16">
        <v>17.3</v>
      </c>
      <c r="G5" s="16">
        <v>10.4</v>
      </c>
      <c r="H5" s="16">
        <v>3.21</v>
      </c>
      <c r="I5" s="16">
        <v>4741</v>
      </c>
      <c r="J5" s="16"/>
    </row>
    <row r="6" spans="1:10" x14ac:dyDescent="0.3">
      <c r="A6" s="16" t="s">
        <v>764</v>
      </c>
      <c r="B6" s="190">
        <v>45148</v>
      </c>
      <c r="C6" s="16" t="s">
        <v>768</v>
      </c>
      <c r="D6" s="16" t="s">
        <v>767</v>
      </c>
      <c r="E6" s="16">
        <v>18.600000000000001</v>
      </c>
      <c r="F6" s="191">
        <v>18</v>
      </c>
      <c r="G6" s="16">
        <v>10.8</v>
      </c>
      <c r="H6" s="16">
        <v>3.26</v>
      </c>
      <c r="I6" s="16">
        <v>5728</v>
      </c>
      <c r="J6" s="16"/>
    </row>
    <row r="7" spans="1:10" x14ac:dyDescent="0.3">
      <c r="A7" s="16" t="s">
        <v>769</v>
      </c>
      <c r="B7" s="190">
        <v>45148</v>
      </c>
      <c r="C7" s="16" t="s">
        <v>770</v>
      </c>
      <c r="D7" s="16" t="s">
        <v>771</v>
      </c>
      <c r="E7" s="16">
        <v>19.3</v>
      </c>
      <c r="F7" s="16">
        <v>18.600000000000001</v>
      </c>
      <c r="G7" s="16">
        <v>8.6</v>
      </c>
      <c r="H7" s="192">
        <v>3.3</v>
      </c>
      <c r="I7" s="16">
        <v>3537</v>
      </c>
      <c r="J7" s="16"/>
    </row>
    <row r="8" spans="1:10" x14ac:dyDescent="0.3">
      <c r="A8" s="175" t="s">
        <v>762</v>
      </c>
      <c r="B8" s="176">
        <v>45153</v>
      </c>
      <c r="C8" s="175" t="s">
        <v>772</v>
      </c>
      <c r="D8" s="175" t="s">
        <v>773</v>
      </c>
      <c r="E8" s="198">
        <v>18</v>
      </c>
      <c r="F8" s="175">
        <v>17.2</v>
      </c>
      <c r="G8" s="175">
        <v>10.199999999999999</v>
      </c>
      <c r="H8" s="175">
        <v>2.74</v>
      </c>
      <c r="I8" s="175">
        <v>3197</v>
      </c>
      <c r="J8" s="175"/>
    </row>
    <row r="9" spans="1:10" x14ac:dyDescent="0.3">
      <c r="A9" s="210"/>
      <c r="B9" s="210"/>
      <c r="C9" s="210"/>
      <c r="D9" s="210"/>
      <c r="E9" s="210"/>
      <c r="F9" s="210"/>
      <c r="G9" s="210"/>
      <c r="H9" s="210"/>
      <c r="I9" s="210"/>
      <c r="J9" s="175"/>
    </row>
    <row r="10" spans="1:10" x14ac:dyDescent="0.3">
      <c r="A10" s="175" t="s">
        <v>762</v>
      </c>
      <c r="B10" s="176">
        <v>45156</v>
      </c>
      <c r="C10" s="175" t="s">
        <v>774</v>
      </c>
      <c r="D10" s="175" t="s">
        <v>593</v>
      </c>
      <c r="E10" s="175">
        <v>20.5</v>
      </c>
      <c r="F10" s="175">
        <v>19.899999999999999</v>
      </c>
      <c r="G10" s="175">
        <v>9.1999999999999993</v>
      </c>
      <c r="H10" s="175">
        <v>3.23</v>
      </c>
      <c r="I10" s="175">
        <v>2882</v>
      </c>
      <c r="J10" s="175"/>
    </row>
    <row r="11" spans="1:10" x14ac:dyDescent="0.3">
      <c r="A11" s="175" t="s">
        <v>764</v>
      </c>
      <c r="B11" s="176">
        <v>45156</v>
      </c>
      <c r="C11" s="175" t="s">
        <v>774</v>
      </c>
      <c r="D11" s="175" t="s">
        <v>771</v>
      </c>
      <c r="E11" s="175">
        <v>21.3</v>
      </c>
      <c r="F11" s="175">
        <v>20.6</v>
      </c>
      <c r="G11" s="198">
        <v>9</v>
      </c>
      <c r="H11" s="175">
        <v>3.33</v>
      </c>
      <c r="I11" s="175">
        <v>3663</v>
      </c>
      <c r="J11" s="175"/>
    </row>
    <row r="12" spans="1:10" x14ac:dyDescent="0.3">
      <c r="A12" s="210"/>
      <c r="B12" s="210"/>
      <c r="C12" s="210"/>
      <c r="D12" s="210"/>
      <c r="E12" s="210"/>
      <c r="F12" s="210"/>
      <c r="G12" s="210"/>
      <c r="H12" s="210"/>
      <c r="I12" s="210"/>
      <c r="J12" s="175"/>
    </row>
    <row r="13" spans="1:10" x14ac:dyDescent="0.3">
      <c r="A13" s="175" t="s">
        <v>762</v>
      </c>
      <c r="B13" s="176">
        <v>45159</v>
      </c>
      <c r="C13" s="175" t="s">
        <v>775</v>
      </c>
      <c r="D13" s="175" t="s">
        <v>584</v>
      </c>
      <c r="E13" s="175">
        <v>18.899999999999999</v>
      </c>
      <c r="F13" s="175">
        <v>18.2</v>
      </c>
      <c r="G13" s="175">
        <v>6.8</v>
      </c>
      <c r="H13" s="175">
        <v>3.46</v>
      </c>
      <c r="I13" s="175">
        <v>2091</v>
      </c>
      <c r="J13" s="175"/>
    </row>
    <row r="14" spans="1:10" x14ac:dyDescent="0.3">
      <c r="A14" s="175" t="s">
        <v>764</v>
      </c>
      <c r="B14" s="176">
        <v>45159</v>
      </c>
      <c r="C14" s="175" t="s">
        <v>776</v>
      </c>
      <c r="D14" s="175" t="s">
        <v>91</v>
      </c>
      <c r="E14" s="175">
        <v>20.9</v>
      </c>
      <c r="F14" s="175">
        <v>20.100000000000001</v>
      </c>
      <c r="G14" s="175">
        <v>7.8</v>
      </c>
      <c r="H14" s="175">
        <v>3.38</v>
      </c>
      <c r="I14" s="175">
        <v>3564</v>
      </c>
      <c r="J14" s="175"/>
    </row>
    <row r="15" spans="1:10" x14ac:dyDescent="0.3">
      <c r="A15" s="175" t="s">
        <v>769</v>
      </c>
      <c r="B15" s="176">
        <v>45159</v>
      </c>
      <c r="C15" s="175" t="s">
        <v>777</v>
      </c>
      <c r="D15" s="175" t="s">
        <v>91</v>
      </c>
      <c r="E15" s="175">
        <v>20.6</v>
      </c>
      <c r="F15" s="175">
        <v>19.8</v>
      </c>
      <c r="G15" s="175">
        <v>8.6</v>
      </c>
      <c r="H15" s="175">
        <v>3.42</v>
      </c>
      <c r="I15" s="175">
        <v>3802</v>
      </c>
      <c r="J15" s="175"/>
    </row>
    <row r="16" spans="1:10" x14ac:dyDescent="0.3">
      <c r="A16" s="210"/>
      <c r="B16" s="210"/>
      <c r="C16" s="210"/>
      <c r="D16" s="210"/>
      <c r="E16" s="210"/>
      <c r="F16" s="210"/>
      <c r="G16" s="210"/>
      <c r="H16" s="210"/>
      <c r="I16" s="210"/>
      <c r="J16" s="175"/>
    </row>
    <row r="17" spans="1:10" x14ac:dyDescent="0.3">
      <c r="A17" s="175" t="s">
        <v>762</v>
      </c>
      <c r="B17" s="176">
        <v>45160</v>
      </c>
      <c r="C17" s="175" t="s">
        <v>778</v>
      </c>
      <c r="D17" s="175" t="s">
        <v>91</v>
      </c>
      <c r="E17" s="175">
        <v>21.4</v>
      </c>
      <c r="F17" s="175">
        <v>20.8</v>
      </c>
      <c r="G17" s="175">
        <v>7.6</v>
      </c>
      <c r="H17" s="175">
        <v>3.38</v>
      </c>
      <c r="I17" s="175">
        <v>3162</v>
      </c>
      <c r="J17" s="175"/>
    </row>
    <row r="18" spans="1:10" x14ac:dyDescent="0.3">
      <c r="A18" s="175" t="s">
        <v>764</v>
      </c>
      <c r="B18" s="176">
        <v>45160</v>
      </c>
      <c r="C18" s="175" t="s">
        <v>779</v>
      </c>
      <c r="D18" s="175" t="s">
        <v>91</v>
      </c>
      <c r="E18" s="175">
        <v>22.9</v>
      </c>
      <c r="F18" s="175">
        <v>22.1</v>
      </c>
      <c r="G18" s="175">
        <v>9.1999999999999993</v>
      </c>
      <c r="H18" s="175">
        <v>3.48</v>
      </c>
      <c r="I18" s="175">
        <v>4303</v>
      </c>
      <c r="J18" s="175"/>
    </row>
    <row r="19" spans="1:10" x14ac:dyDescent="0.3">
      <c r="A19" s="210"/>
      <c r="B19" s="210"/>
      <c r="C19" s="210"/>
      <c r="D19" s="210"/>
      <c r="E19" s="210"/>
      <c r="F19" s="210"/>
      <c r="G19" s="210"/>
      <c r="H19" s="210"/>
      <c r="I19" s="210"/>
      <c r="J19" s="175"/>
    </row>
    <row r="20" spans="1:10" x14ac:dyDescent="0.3">
      <c r="A20" s="175" t="s">
        <v>762</v>
      </c>
      <c r="B20" s="176">
        <v>45161</v>
      </c>
      <c r="C20" s="175" t="s">
        <v>780</v>
      </c>
      <c r="D20" s="175" t="s">
        <v>593</v>
      </c>
      <c r="E20" s="198">
        <v>19</v>
      </c>
      <c r="F20" s="175">
        <v>18.600000000000001</v>
      </c>
      <c r="G20" s="175">
        <v>6.6</v>
      </c>
      <c r="H20" s="175">
        <v>3.36</v>
      </c>
      <c r="I20" s="175">
        <v>2147</v>
      </c>
      <c r="J20" s="175"/>
    </row>
    <row r="21" spans="1:10" x14ac:dyDescent="0.3">
      <c r="A21" s="175" t="s">
        <v>764</v>
      </c>
      <c r="B21" s="176">
        <v>45161</v>
      </c>
      <c r="C21" s="175" t="s">
        <v>781</v>
      </c>
      <c r="D21" s="175" t="s">
        <v>593</v>
      </c>
      <c r="E21" s="175">
        <v>17.3</v>
      </c>
      <c r="F21" s="175">
        <v>16.8</v>
      </c>
      <c r="G21" s="198">
        <v>7</v>
      </c>
      <c r="H21" s="175">
        <v>3.27</v>
      </c>
      <c r="I21" s="175">
        <v>2268</v>
      </c>
      <c r="J21" s="175"/>
    </row>
    <row r="22" spans="1:10" x14ac:dyDescent="0.3">
      <c r="A22" s="210"/>
      <c r="B22" s="210"/>
      <c r="C22" s="210"/>
      <c r="D22" s="210"/>
      <c r="E22" s="210"/>
      <c r="F22" s="210"/>
      <c r="G22" s="210"/>
      <c r="H22" s="210"/>
      <c r="I22" s="210"/>
      <c r="J22" s="175"/>
    </row>
    <row r="23" spans="1:10" x14ac:dyDescent="0.3">
      <c r="A23" s="175" t="s">
        <v>762</v>
      </c>
      <c r="B23" s="176">
        <v>45163</v>
      </c>
      <c r="C23" s="175" t="s">
        <v>779</v>
      </c>
      <c r="D23" s="175" t="s">
        <v>771</v>
      </c>
      <c r="E23" s="198">
        <v>22.8</v>
      </c>
      <c r="F23" s="198">
        <v>22</v>
      </c>
      <c r="G23" s="175">
        <v>9.4</v>
      </c>
      <c r="H23" s="175">
        <v>3.47</v>
      </c>
      <c r="I23" s="175">
        <v>3726</v>
      </c>
      <c r="J23" s="175" t="s">
        <v>782</v>
      </c>
    </row>
    <row r="24" spans="1:10" x14ac:dyDescent="0.3">
      <c r="A24" s="175" t="s">
        <v>764</v>
      </c>
      <c r="B24" s="176">
        <v>45163</v>
      </c>
      <c r="C24" s="175" t="s">
        <v>779</v>
      </c>
      <c r="D24" s="175" t="s">
        <v>91</v>
      </c>
      <c r="E24" s="175">
        <v>20.2</v>
      </c>
      <c r="F24" s="175">
        <v>19.5</v>
      </c>
      <c r="G24" s="175">
        <v>9.6</v>
      </c>
      <c r="H24" s="175">
        <v>3.34</v>
      </c>
      <c r="I24" s="175">
        <v>3535</v>
      </c>
      <c r="J24" s="175" t="s">
        <v>783</v>
      </c>
    </row>
    <row r="25" spans="1:10" x14ac:dyDescent="0.3">
      <c r="A25" s="175" t="s">
        <v>769</v>
      </c>
      <c r="B25" s="176">
        <v>45163</v>
      </c>
      <c r="C25" s="175" t="s">
        <v>784</v>
      </c>
      <c r="D25" s="175" t="s">
        <v>771</v>
      </c>
      <c r="E25" s="175">
        <v>21.5</v>
      </c>
      <c r="F25" s="175">
        <v>20.8</v>
      </c>
      <c r="G25" s="175">
        <v>7.2</v>
      </c>
      <c r="H25" s="175">
        <v>3.44</v>
      </c>
      <c r="I25" s="175">
        <v>3062</v>
      </c>
      <c r="J25" s="175" t="s">
        <v>785</v>
      </c>
    </row>
    <row r="26" spans="1:10" x14ac:dyDescent="0.3">
      <c r="A26" s="175" t="s">
        <v>786</v>
      </c>
      <c r="B26" s="176">
        <v>45163</v>
      </c>
      <c r="C26" s="175" t="s">
        <v>784</v>
      </c>
      <c r="D26" s="175" t="s">
        <v>91</v>
      </c>
      <c r="E26" s="175">
        <v>22.1</v>
      </c>
      <c r="F26" s="175">
        <v>21.4</v>
      </c>
      <c r="G26" s="175">
        <v>7.4</v>
      </c>
      <c r="H26" s="175">
        <v>3.43</v>
      </c>
      <c r="I26" s="175">
        <v>2887</v>
      </c>
      <c r="J26" s="175" t="s">
        <v>787</v>
      </c>
    </row>
    <row r="27" spans="1:10" x14ac:dyDescent="0.3">
      <c r="A27" s="175" t="s">
        <v>788</v>
      </c>
      <c r="B27" s="176">
        <v>45163</v>
      </c>
      <c r="C27" s="175" t="s">
        <v>780</v>
      </c>
      <c r="D27" s="175" t="s">
        <v>593</v>
      </c>
      <c r="E27" s="175">
        <v>19.2</v>
      </c>
      <c r="F27" s="175">
        <v>18.7</v>
      </c>
      <c r="G27" s="175">
        <v>6.4</v>
      </c>
      <c r="H27" s="175">
        <v>3.32</v>
      </c>
      <c r="I27" s="175">
        <v>1643</v>
      </c>
      <c r="J27" s="175" t="s">
        <v>789</v>
      </c>
    </row>
    <row r="28" spans="1:10" x14ac:dyDescent="0.3">
      <c r="A28" s="210"/>
      <c r="B28" s="210"/>
      <c r="C28" s="210"/>
      <c r="D28" s="210"/>
      <c r="E28" s="210"/>
      <c r="F28" s="210"/>
      <c r="G28" s="210"/>
      <c r="H28" s="210"/>
      <c r="I28" s="210"/>
      <c r="J28" s="175"/>
    </row>
    <row r="29" spans="1:10" x14ac:dyDescent="0.3">
      <c r="A29" s="175" t="s">
        <v>762</v>
      </c>
      <c r="B29" s="176">
        <v>45164</v>
      </c>
      <c r="C29" s="175" t="s">
        <v>790</v>
      </c>
      <c r="D29" s="175" t="s">
        <v>444</v>
      </c>
      <c r="E29" s="175">
        <v>20.9</v>
      </c>
      <c r="F29" s="175">
        <v>20.100000000000001</v>
      </c>
      <c r="G29" s="175">
        <v>7.2</v>
      </c>
      <c r="H29" s="175">
        <v>3.37</v>
      </c>
      <c r="I29" s="175">
        <v>2455</v>
      </c>
      <c r="J29" s="175"/>
    </row>
    <row r="30" spans="1:10" x14ac:dyDescent="0.3">
      <c r="A30" s="175" t="s">
        <v>764</v>
      </c>
      <c r="B30" s="176">
        <v>45164</v>
      </c>
      <c r="C30" s="175" t="s">
        <v>791</v>
      </c>
      <c r="D30" s="175" t="s">
        <v>675</v>
      </c>
      <c r="E30" s="198">
        <v>20</v>
      </c>
      <c r="F30" s="175">
        <v>19.3</v>
      </c>
      <c r="G30" s="175">
        <v>5.6</v>
      </c>
      <c r="H30" s="175">
        <v>3.44</v>
      </c>
      <c r="I30" s="175">
        <v>1903</v>
      </c>
      <c r="J30" s="175"/>
    </row>
    <row r="31" spans="1:10" x14ac:dyDescent="0.3">
      <c r="A31" s="210"/>
      <c r="B31" s="210"/>
      <c r="C31" s="210"/>
      <c r="D31" s="210"/>
      <c r="E31" s="210"/>
      <c r="F31" s="210"/>
      <c r="G31" s="210"/>
      <c r="H31" s="210"/>
      <c r="I31" s="210"/>
      <c r="J31" s="175"/>
    </row>
    <row r="32" spans="1:10" x14ac:dyDescent="0.3">
      <c r="A32" s="175" t="s">
        <v>762</v>
      </c>
      <c r="B32" s="176">
        <v>45166</v>
      </c>
      <c r="C32" s="175" t="s">
        <v>779</v>
      </c>
      <c r="D32" s="175" t="s">
        <v>771</v>
      </c>
      <c r="E32" s="175">
        <v>24.4</v>
      </c>
      <c r="F32" s="175">
        <v>23.5</v>
      </c>
      <c r="G32" s="198">
        <v>9</v>
      </c>
      <c r="H32" s="269">
        <v>3.5</v>
      </c>
      <c r="I32" s="175">
        <v>3461</v>
      </c>
      <c r="J32" s="175" t="s">
        <v>782</v>
      </c>
    </row>
    <row r="33" spans="1:10" x14ac:dyDescent="0.3">
      <c r="A33" s="175" t="s">
        <v>764</v>
      </c>
      <c r="B33" s="176">
        <v>45166</v>
      </c>
      <c r="C33" s="175" t="s">
        <v>792</v>
      </c>
      <c r="D33" s="175" t="s">
        <v>91</v>
      </c>
      <c r="E33" s="175">
        <v>22.5</v>
      </c>
      <c r="F33" s="175">
        <v>21.7</v>
      </c>
      <c r="G33" s="175">
        <v>6.8</v>
      </c>
      <c r="H33" s="175">
        <v>3.47</v>
      </c>
      <c r="I33" s="175">
        <v>2395</v>
      </c>
      <c r="J33" s="175"/>
    </row>
    <row r="34" spans="1:10" x14ac:dyDescent="0.3">
      <c r="A34" s="175" t="s">
        <v>769</v>
      </c>
      <c r="B34" s="176">
        <v>45166</v>
      </c>
      <c r="C34" s="175" t="s">
        <v>778</v>
      </c>
      <c r="D34" s="175" t="s">
        <v>91</v>
      </c>
      <c r="E34" s="198">
        <v>23</v>
      </c>
      <c r="F34" s="175">
        <v>22.2</v>
      </c>
      <c r="G34" s="175">
        <v>7.4</v>
      </c>
      <c r="H34" s="175">
        <v>3.44</v>
      </c>
      <c r="I34" s="175">
        <v>2743</v>
      </c>
      <c r="J34" s="175"/>
    </row>
    <row r="35" spans="1:10" x14ac:dyDescent="0.3">
      <c r="A35" s="175" t="s">
        <v>786</v>
      </c>
      <c r="B35" s="176">
        <v>45166</v>
      </c>
      <c r="C35" s="175" t="s">
        <v>790</v>
      </c>
      <c r="D35" s="175" t="s">
        <v>444</v>
      </c>
      <c r="E35" s="175">
        <v>20.7</v>
      </c>
      <c r="F35" s="198">
        <v>20</v>
      </c>
      <c r="G35" s="175">
        <v>7.2</v>
      </c>
      <c r="H35" s="175">
        <v>3.38</v>
      </c>
      <c r="I35" s="175">
        <v>2522</v>
      </c>
      <c r="J35" s="175"/>
    </row>
    <row r="36" spans="1:10" x14ac:dyDescent="0.3">
      <c r="A36" s="210"/>
      <c r="B36" s="210"/>
      <c r="C36" s="210"/>
      <c r="D36" s="210"/>
      <c r="E36" s="210"/>
      <c r="F36" s="210"/>
      <c r="G36" s="210"/>
      <c r="H36" s="210"/>
      <c r="I36" s="210"/>
      <c r="J36" s="175"/>
    </row>
    <row r="37" spans="1:10" x14ac:dyDescent="0.3">
      <c r="A37" s="175" t="s">
        <v>762</v>
      </c>
      <c r="B37" s="176">
        <v>45167</v>
      </c>
      <c r="C37" s="175" t="s">
        <v>793</v>
      </c>
      <c r="D37" s="175" t="s">
        <v>593</v>
      </c>
      <c r="E37" s="175">
        <v>19.3</v>
      </c>
      <c r="F37" s="175">
        <v>18.899999999999999</v>
      </c>
      <c r="G37" s="175">
        <v>6.8</v>
      </c>
      <c r="H37" s="175">
        <v>3.34</v>
      </c>
      <c r="I37" s="175">
        <v>1931</v>
      </c>
      <c r="J37" s="175" t="s">
        <v>794</v>
      </c>
    </row>
    <row r="38" spans="1:10" x14ac:dyDescent="0.3">
      <c r="A38" s="175" t="s">
        <v>764</v>
      </c>
      <c r="B38" s="176">
        <v>45167</v>
      </c>
      <c r="C38" s="175" t="s">
        <v>795</v>
      </c>
      <c r="D38" s="175" t="s">
        <v>593</v>
      </c>
      <c r="E38" s="175">
        <v>19.3</v>
      </c>
      <c r="F38" s="175">
        <v>18.899999999999999</v>
      </c>
      <c r="G38" s="175">
        <v>6.8</v>
      </c>
      <c r="H38" s="175">
        <v>3.44</v>
      </c>
      <c r="I38" s="175">
        <v>1034</v>
      </c>
      <c r="J38" s="175" t="s">
        <v>796</v>
      </c>
    </row>
    <row r="39" spans="1:10" x14ac:dyDescent="0.3">
      <c r="A39" s="175" t="s">
        <v>769</v>
      </c>
      <c r="B39" s="176">
        <v>45167</v>
      </c>
      <c r="C39" s="175" t="s">
        <v>797</v>
      </c>
      <c r="D39" s="175" t="s">
        <v>474</v>
      </c>
      <c r="E39" s="175">
        <v>23.5</v>
      </c>
      <c r="F39" s="175">
        <v>22.9</v>
      </c>
      <c r="G39" s="175">
        <v>7.4</v>
      </c>
      <c r="H39" s="175">
        <v>3.33</v>
      </c>
      <c r="I39" s="175">
        <v>2071</v>
      </c>
      <c r="J39" s="175" t="s">
        <v>798</v>
      </c>
    </row>
    <row r="40" spans="1:10" x14ac:dyDescent="0.3">
      <c r="A40" s="175" t="s">
        <v>786</v>
      </c>
      <c r="B40" s="176">
        <v>45167</v>
      </c>
      <c r="C40" s="175" t="s">
        <v>799</v>
      </c>
      <c r="D40" s="175" t="s">
        <v>800</v>
      </c>
      <c r="E40" s="175">
        <v>20.9</v>
      </c>
      <c r="F40" s="175">
        <v>20.3</v>
      </c>
      <c r="G40" s="175">
        <v>7.6</v>
      </c>
      <c r="H40" s="175">
        <v>3.33</v>
      </c>
      <c r="I40" s="175">
        <v>2370</v>
      </c>
      <c r="J40" s="175" t="s">
        <v>801</v>
      </c>
    </row>
    <row r="41" spans="1:10" x14ac:dyDescent="0.3">
      <c r="A41" s="175" t="s">
        <v>788</v>
      </c>
      <c r="B41" s="176">
        <v>45167</v>
      </c>
      <c r="C41" s="175" t="s">
        <v>802</v>
      </c>
      <c r="D41" s="175" t="s">
        <v>800</v>
      </c>
      <c r="E41" s="175">
        <v>20.8</v>
      </c>
      <c r="F41" s="175">
        <v>20.3</v>
      </c>
      <c r="G41" s="175">
        <v>6.4</v>
      </c>
      <c r="H41" s="175">
        <v>3.51</v>
      </c>
      <c r="I41" s="175">
        <v>1334</v>
      </c>
      <c r="J41" s="175" t="s">
        <v>803</v>
      </c>
    </row>
    <row r="42" spans="1:10" x14ac:dyDescent="0.3">
      <c r="A42" s="175" t="s">
        <v>804</v>
      </c>
      <c r="B42" s="176">
        <v>45167</v>
      </c>
      <c r="C42" s="175" t="s">
        <v>805</v>
      </c>
      <c r="D42" s="175" t="s">
        <v>800</v>
      </c>
      <c r="E42" s="198">
        <v>21</v>
      </c>
      <c r="F42" s="175">
        <v>20.399999999999999</v>
      </c>
      <c r="G42" s="175">
        <v>6.4</v>
      </c>
      <c r="H42" s="175">
        <v>3.51</v>
      </c>
      <c r="I42" s="175">
        <v>1213</v>
      </c>
      <c r="J42" s="175" t="s">
        <v>806</v>
      </c>
    </row>
    <row r="43" spans="1:10" x14ac:dyDescent="0.3">
      <c r="A43" s="175"/>
      <c r="B43" s="176">
        <v>45167</v>
      </c>
      <c r="C43" s="175" t="s">
        <v>802</v>
      </c>
      <c r="D43" s="175" t="s">
        <v>800</v>
      </c>
      <c r="E43" s="175"/>
      <c r="F43" s="175"/>
      <c r="G43" s="175">
        <v>6.6</v>
      </c>
      <c r="H43" s="269">
        <v>3.5</v>
      </c>
      <c r="I43" s="175"/>
      <c r="J43" s="175" t="s">
        <v>807</v>
      </c>
    </row>
    <row r="44" spans="1:10" x14ac:dyDescent="0.3">
      <c r="A44" s="175"/>
      <c r="B44" s="176">
        <v>45167</v>
      </c>
      <c r="C44" s="175" t="s">
        <v>805</v>
      </c>
      <c r="D44" s="175" t="s">
        <v>800</v>
      </c>
      <c r="E44" s="175"/>
      <c r="F44" s="175"/>
      <c r="G44" s="175">
        <v>6.4</v>
      </c>
      <c r="H44" s="175">
        <v>3.51</v>
      </c>
      <c r="I44" s="175"/>
      <c r="J44" s="175" t="s">
        <v>807</v>
      </c>
    </row>
    <row r="45" spans="1:10" x14ac:dyDescent="0.3">
      <c r="A45" s="210"/>
      <c r="B45" s="210"/>
      <c r="C45" s="210"/>
      <c r="D45" s="210"/>
      <c r="E45" s="210"/>
      <c r="F45" s="210"/>
      <c r="G45" s="210"/>
      <c r="H45" s="210"/>
      <c r="I45" s="210"/>
      <c r="J45" s="175"/>
    </row>
    <row r="46" spans="1:10" x14ac:dyDescent="0.3">
      <c r="A46" s="175" t="s">
        <v>762</v>
      </c>
      <c r="B46" s="176">
        <v>45168</v>
      </c>
      <c r="C46" s="175" t="s">
        <v>808</v>
      </c>
      <c r="D46" s="175" t="s">
        <v>330</v>
      </c>
      <c r="E46" s="175">
        <v>21.4</v>
      </c>
      <c r="F46" s="198">
        <v>21</v>
      </c>
      <c r="G46" s="198">
        <v>7</v>
      </c>
      <c r="H46" s="175">
        <v>3.26</v>
      </c>
      <c r="I46" s="175">
        <v>2444</v>
      </c>
      <c r="J46" s="175"/>
    </row>
    <row r="47" spans="1:10" x14ac:dyDescent="0.3">
      <c r="A47" s="210"/>
      <c r="B47" s="210"/>
      <c r="C47" s="210"/>
      <c r="D47" s="210"/>
      <c r="E47" s="210"/>
      <c r="F47" s="210"/>
      <c r="G47" s="210"/>
      <c r="H47" s="210"/>
      <c r="I47" s="210"/>
      <c r="J47" s="175"/>
    </row>
    <row r="48" spans="1:10" x14ac:dyDescent="0.3">
      <c r="A48" s="175" t="s">
        <v>762</v>
      </c>
      <c r="B48" s="176">
        <v>45169</v>
      </c>
      <c r="C48" s="175" t="s">
        <v>809</v>
      </c>
      <c r="D48" s="175" t="s">
        <v>675</v>
      </c>
      <c r="E48" s="175">
        <v>22.9</v>
      </c>
      <c r="F48" s="175">
        <v>22.6</v>
      </c>
      <c r="G48" s="175">
        <v>5.6</v>
      </c>
      <c r="H48" s="175">
        <v>3.59</v>
      </c>
      <c r="I48" s="175">
        <v>1908</v>
      </c>
      <c r="J48" s="175"/>
    </row>
    <row r="49" spans="1:10" x14ac:dyDescent="0.3">
      <c r="A49" s="175" t="s">
        <v>764</v>
      </c>
      <c r="B49" s="176">
        <v>45169</v>
      </c>
      <c r="C49" s="175" t="s">
        <v>791</v>
      </c>
      <c r="D49" s="175" t="s">
        <v>675</v>
      </c>
      <c r="E49" s="175">
        <v>22.2</v>
      </c>
      <c r="F49" s="175">
        <v>21.5</v>
      </c>
      <c r="G49" s="175">
        <v>5.8</v>
      </c>
      <c r="H49" s="175">
        <v>3.55</v>
      </c>
      <c r="I49" s="175">
        <v>1613</v>
      </c>
      <c r="J49" s="175"/>
    </row>
    <row r="50" spans="1:10" x14ac:dyDescent="0.3">
      <c r="A50" s="175" t="s">
        <v>769</v>
      </c>
      <c r="B50" s="176">
        <v>45169</v>
      </c>
      <c r="C50" s="175" t="s">
        <v>810</v>
      </c>
      <c r="D50" s="175" t="s">
        <v>771</v>
      </c>
      <c r="E50" s="175">
        <v>21.4</v>
      </c>
      <c r="F50" s="175">
        <v>20.6</v>
      </c>
      <c r="G50" s="198">
        <v>7</v>
      </c>
      <c r="H50" s="175">
        <v>3.49</v>
      </c>
      <c r="I50" s="175">
        <v>2606</v>
      </c>
      <c r="J50" s="175" t="s">
        <v>811</v>
      </c>
    </row>
    <row r="51" spans="1:10" x14ac:dyDescent="0.3">
      <c r="A51" s="175" t="s">
        <v>786</v>
      </c>
      <c r="B51" s="176">
        <v>45169</v>
      </c>
      <c r="C51" s="175" t="s">
        <v>779</v>
      </c>
      <c r="D51" s="175" t="s">
        <v>771</v>
      </c>
      <c r="E51" s="175">
        <v>21.5</v>
      </c>
      <c r="F51" s="175">
        <v>20.8</v>
      </c>
      <c r="G51" s="175">
        <v>9.6</v>
      </c>
      <c r="H51" s="269">
        <v>3.4</v>
      </c>
      <c r="I51" s="175">
        <v>3732</v>
      </c>
      <c r="J51" s="175" t="s">
        <v>812</v>
      </c>
    </row>
    <row r="52" spans="1:10" x14ac:dyDescent="0.3">
      <c r="A52" s="175" t="s">
        <v>788</v>
      </c>
      <c r="B52" s="176">
        <v>45169</v>
      </c>
      <c r="C52" s="175" t="s">
        <v>813</v>
      </c>
      <c r="D52" s="175" t="s">
        <v>444</v>
      </c>
      <c r="E52" s="198">
        <v>18</v>
      </c>
      <c r="F52" s="175">
        <v>17.5</v>
      </c>
      <c r="G52" s="175">
        <v>8.8000000000000007</v>
      </c>
      <c r="H52" s="175">
        <v>3.17</v>
      </c>
      <c r="I52" s="175">
        <v>2959</v>
      </c>
      <c r="J52" s="175" t="s">
        <v>794</v>
      </c>
    </row>
    <row r="53" spans="1:10" x14ac:dyDescent="0.3">
      <c r="A53" s="210"/>
      <c r="B53" s="210"/>
      <c r="C53" s="210"/>
      <c r="D53" s="210"/>
      <c r="E53" s="210"/>
      <c r="F53" s="210"/>
      <c r="G53" s="210"/>
      <c r="H53" s="210"/>
      <c r="I53" s="210"/>
      <c r="J53" s="175"/>
    </row>
    <row r="54" spans="1:10" x14ac:dyDescent="0.3">
      <c r="A54" s="175" t="s">
        <v>762</v>
      </c>
      <c r="B54" s="176">
        <v>45170</v>
      </c>
      <c r="C54" s="175" t="s">
        <v>814</v>
      </c>
      <c r="D54" s="175" t="s">
        <v>593</v>
      </c>
      <c r="E54" s="175">
        <v>21.7</v>
      </c>
      <c r="F54" s="175">
        <v>21.2</v>
      </c>
      <c r="G54" s="198">
        <v>7</v>
      </c>
      <c r="H54" s="175">
        <v>3.36</v>
      </c>
      <c r="I54" s="175">
        <v>1719</v>
      </c>
      <c r="J54" s="175" t="s">
        <v>796</v>
      </c>
    </row>
    <row r="55" spans="1:10" x14ac:dyDescent="0.3">
      <c r="A55" s="175" t="s">
        <v>764</v>
      </c>
      <c r="B55" s="176">
        <v>45170</v>
      </c>
      <c r="C55" s="175" t="s">
        <v>814</v>
      </c>
      <c r="D55" s="175" t="s">
        <v>593</v>
      </c>
      <c r="E55" s="175">
        <v>20.9</v>
      </c>
      <c r="F55" s="175">
        <v>20.399999999999999</v>
      </c>
      <c r="G55" s="175">
        <v>6.4</v>
      </c>
      <c r="H55" s="175">
        <v>3.43</v>
      </c>
      <c r="I55" s="175">
        <v>1660</v>
      </c>
      <c r="J55" s="175" t="s">
        <v>794</v>
      </c>
    </row>
    <row r="56" spans="1:10" x14ac:dyDescent="0.3">
      <c r="A56" s="175" t="s">
        <v>769</v>
      </c>
      <c r="B56" s="176">
        <v>45170</v>
      </c>
      <c r="C56" s="175" t="s">
        <v>815</v>
      </c>
      <c r="D56" s="175" t="s">
        <v>771</v>
      </c>
      <c r="E56" s="175">
        <v>22.9</v>
      </c>
      <c r="F56" s="175">
        <v>22.1</v>
      </c>
      <c r="G56" s="175">
        <v>7.4</v>
      </c>
      <c r="H56" s="175">
        <v>3.46</v>
      </c>
      <c r="I56" s="175">
        <v>2444</v>
      </c>
      <c r="J56" s="175"/>
    </row>
    <row r="57" spans="1:10" x14ac:dyDescent="0.3">
      <c r="A57" s="210"/>
      <c r="B57" s="210"/>
      <c r="C57" s="210"/>
      <c r="D57" s="210"/>
      <c r="E57" s="210"/>
      <c r="F57" s="210"/>
      <c r="G57" s="210"/>
      <c r="H57" s="210"/>
      <c r="I57" s="210"/>
      <c r="J57" s="175"/>
    </row>
    <row r="58" spans="1:10" x14ac:dyDescent="0.3">
      <c r="A58" s="175" t="s">
        <v>762</v>
      </c>
      <c r="B58" s="176">
        <v>45171</v>
      </c>
      <c r="C58" s="175" t="s">
        <v>816</v>
      </c>
      <c r="D58" s="175" t="s">
        <v>675</v>
      </c>
      <c r="E58" s="175">
        <v>22.7</v>
      </c>
      <c r="F58" s="175">
        <v>21.9</v>
      </c>
      <c r="G58" s="175">
        <v>5.6</v>
      </c>
      <c r="H58" s="175">
        <v>3.57</v>
      </c>
      <c r="I58" s="175">
        <v>1795</v>
      </c>
      <c r="J58" s="175" t="s">
        <v>794</v>
      </c>
    </row>
    <row r="59" spans="1:10" x14ac:dyDescent="0.3">
      <c r="A59" s="175" t="s">
        <v>764</v>
      </c>
      <c r="B59" s="176">
        <v>45171</v>
      </c>
      <c r="C59" s="175" t="s">
        <v>817</v>
      </c>
      <c r="D59" s="175" t="s">
        <v>771</v>
      </c>
      <c r="E59" s="175">
        <v>23.6</v>
      </c>
      <c r="F59" s="198">
        <v>23</v>
      </c>
      <c r="G59" s="175">
        <v>7.4</v>
      </c>
      <c r="H59" s="175">
        <v>3.47</v>
      </c>
      <c r="I59" s="175">
        <v>3046</v>
      </c>
      <c r="J59" s="175"/>
    </row>
    <row r="60" spans="1:10" x14ac:dyDescent="0.3">
      <c r="A60" s="175" t="s">
        <v>818</v>
      </c>
      <c r="B60" s="176">
        <v>45171</v>
      </c>
      <c r="C60" s="175" t="s">
        <v>819</v>
      </c>
      <c r="D60" s="175" t="s">
        <v>474</v>
      </c>
      <c r="E60" s="198">
        <v>22</v>
      </c>
      <c r="F60" s="175">
        <v>21.3</v>
      </c>
      <c r="G60" s="175">
        <v>7.8</v>
      </c>
      <c r="H60" s="175">
        <v>3.38</v>
      </c>
      <c r="I60" s="175">
        <v>2316</v>
      </c>
      <c r="J60" s="175" t="s">
        <v>796</v>
      </c>
    </row>
    <row r="61" spans="1:10" x14ac:dyDescent="0.3">
      <c r="A61" s="175" t="s">
        <v>786</v>
      </c>
      <c r="B61" s="176">
        <v>45171</v>
      </c>
      <c r="C61" s="175" t="s">
        <v>820</v>
      </c>
      <c r="D61" s="175" t="s">
        <v>675</v>
      </c>
      <c r="E61" s="175">
        <v>22.5</v>
      </c>
      <c r="F61" s="175">
        <v>21.9</v>
      </c>
      <c r="G61" s="175">
        <v>5.8</v>
      </c>
      <c r="H61" s="175">
        <v>3.53</v>
      </c>
      <c r="I61" s="175">
        <v>2109</v>
      </c>
      <c r="J61" s="175"/>
    </row>
    <row r="62" spans="1:10" x14ac:dyDescent="0.3">
      <c r="A62" s="210"/>
      <c r="B62" s="210"/>
      <c r="C62" s="210"/>
      <c r="D62" s="210"/>
      <c r="E62" s="210"/>
      <c r="F62" s="210"/>
      <c r="G62" s="210"/>
      <c r="H62" s="210"/>
      <c r="I62" s="210"/>
      <c r="J62" s="175"/>
    </row>
    <row r="63" spans="1:10" x14ac:dyDescent="0.3">
      <c r="A63" s="175" t="s">
        <v>762</v>
      </c>
      <c r="B63" s="176">
        <v>45174</v>
      </c>
      <c r="C63" s="175" t="s">
        <v>821</v>
      </c>
      <c r="D63" s="175" t="s">
        <v>474</v>
      </c>
      <c r="E63" s="175">
        <v>21.7</v>
      </c>
      <c r="F63" s="175">
        <v>21.2</v>
      </c>
      <c r="G63" s="175">
        <v>7.6</v>
      </c>
      <c r="H63" s="175">
        <v>3.37</v>
      </c>
      <c r="I63" s="175">
        <v>1961</v>
      </c>
      <c r="J63" s="175" t="s">
        <v>822</v>
      </c>
    </row>
    <row r="64" spans="1:10" x14ac:dyDescent="0.3">
      <c r="A64" s="175" t="s">
        <v>764</v>
      </c>
      <c r="B64" s="176">
        <v>45174</v>
      </c>
      <c r="C64" s="175" t="s">
        <v>821</v>
      </c>
      <c r="D64" s="175" t="s">
        <v>474</v>
      </c>
      <c r="E64" s="198">
        <v>22</v>
      </c>
      <c r="F64" s="175">
        <v>21.4</v>
      </c>
      <c r="G64" s="198">
        <v>7</v>
      </c>
      <c r="H64" s="269">
        <v>3.4</v>
      </c>
      <c r="I64" s="175">
        <v>1630</v>
      </c>
      <c r="J64" s="175" t="s">
        <v>823</v>
      </c>
    </row>
    <row r="65" spans="1:10" x14ac:dyDescent="0.3">
      <c r="A65" s="175" t="s">
        <v>769</v>
      </c>
      <c r="B65" s="176">
        <v>45174</v>
      </c>
      <c r="C65" s="175" t="s">
        <v>824</v>
      </c>
      <c r="D65" s="175" t="s">
        <v>29</v>
      </c>
      <c r="E65" s="175">
        <v>20.7</v>
      </c>
      <c r="F65" s="198">
        <v>20</v>
      </c>
      <c r="G65" s="175">
        <v>9.4</v>
      </c>
      <c r="H65" s="269">
        <v>3.2</v>
      </c>
      <c r="I65" s="175">
        <v>2969</v>
      </c>
      <c r="J65" s="175"/>
    </row>
    <row r="66" spans="1:10" x14ac:dyDescent="0.3">
      <c r="A66" s="175" t="s">
        <v>786</v>
      </c>
      <c r="B66" s="176">
        <v>45174</v>
      </c>
      <c r="C66" s="175" t="s">
        <v>825</v>
      </c>
      <c r="D66" s="175" t="s">
        <v>800</v>
      </c>
      <c r="E66" s="175">
        <v>20.5</v>
      </c>
      <c r="F66" s="175">
        <v>21.2</v>
      </c>
      <c r="G66" s="175">
        <v>7.2</v>
      </c>
      <c r="H66" s="175">
        <v>3.47</v>
      </c>
      <c r="I66" s="175">
        <v>1415</v>
      </c>
      <c r="J66" s="175" t="s">
        <v>826</v>
      </c>
    </row>
    <row r="67" spans="1:10" x14ac:dyDescent="0.3">
      <c r="A67" s="175" t="s">
        <v>788</v>
      </c>
      <c r="B67" s="176">
        <v>45174</v>
      </c>
      <c r="C67" s="175" t="s">
        <v>824</v>
      </c>
      <c r="D67" s="175" t="s">
        <v>800</v>
      </c>
      <c r="E67" s="175">
        <v>21.7</v>
      </c>
      <c r="F67" s="198">
        <v>21</v>
      </c>
      <c r="G67" s="175">
        <v>6.8</v>
      </c>
      <c r="H67" s="175">
        <v>3.53</v>
      </c>
      <c r="I67" s="175">
        <v>1032</v>
      </c>
      <c r="J67" s="175" t="s">
        <v>827</v>
      </c>
    </row>
    <row r="68" spans="1:10" x14ac:dyDescent="0.3">
      <c r="A68" s="175" t="s">
        <v>804</v>
      </c>
      <c r="B68" s="176">
        <v>45174</v>
      </c>
      <c r="C68" s="175" t="s">
        <v>824</v>
      </c>
      <c r="D68" s="175" t="s">
        <v>800</v>
      </c>
      <c r="E68" s="175">
        <v>21.6</v>
      </c>
      <c r="F68" s="198">
        <v>21</v>
      </c>
      <c r="G68" s="175">
        <v>7.6</v>
      </c>
      <c r="H68" s="175">
        <v>3.38</v>
      </c>
      <c r="I68" s="175">
        <v>1835</v>
      </c>
      <c r="J68" s="175" t="s">
        <v>828</v>
      </c>
    </row>
    <row r="69" spans="1:10" x14ac:dyDescent="0.3">
      <c r="A69" s="210"/>
      <c r="B69" s="210"/>
      <c r="C69" s="210"/>
      <c r="D69" s="210"/>
      <c r="E69" s="210"/>
      <c r="F69" s="210"/>
      <c r="G69" s="210"/>
      <c r="H69" s="210"/>
      <c r="I69" s="210"/>
      <c r="J69" s="175"/>
    </row>
    <row r="70" spans="1:10" x14ac:dyDescent="0.3">
      <c r="A70" s="175" t="s">
        <v>762</v>
      </c>
      <c r="B70" s="176">
        <v>45175</v>
      </c>
      <c r="C70" s="175" t="s">
        <v>829</v>
      </c>
      <c r="D70" s="175" t="s">
        <v>771</v>
      </c>
      <c r="E70" s="175">
        <v>21.8</v>
      </c>
      <c r="F70" s="175">
        <v>21.1</v>
      </c>
      <c r="G70" s="175">
        <v>9.1</v>
      </c>
      <c r="H70" s="175">
        <v>3.41</v>
      </c>
      <c r="I70" s="175">
        <v>3624</v>
      </c>
      <c r="J70" s="175" t="s">
        <v>830</v>
      </c>
    </row>
    <row r="71" spans="1:10" x14ac:dyDescent="0.3">
      <c r="A71" s="175" t="s">
        <v>764</v>
      </c>
      <c r="B71" s="176">
        <v>45175</v>
      </c>
      <c r="C71" s="175" t="s">
        <v>831</v>
      </c>
      <c r="D71" s="175" t="s">
        <v>593</v>
      </c>
      <c r="E71" s="175">
        <v>22.7</v>
      </c>
      <c r="F71" s="175">
        <v>21.7</v>
      </c>
      <c r="G71" s="175">
        <v>5.8</v>
      </c>
      <c r="H71" s="175">
        <v>3.39</v>
      </c>
      <c r="I71" s="175">
        <v>1290</v>
      </c>
      <c r="J71" s="175" t="s">
        <v>832</v>
      </c>
    </row>
    <row r="72" spans="1:10" x14ac:dyDescent="0.3">
      <c r="A72" s="175" t="s">
        <v>833</v>
      </c>
      <c r="B72" s="176">
        <v>45175</v>
      </c>
      <c r="C72" s="175" t="s">
        <v>834</v>
      </c>
      <c r="D72" s="175" t="s">
        <v>189</v>
      </c>
      <c r="E72" s="175">
        <v>24.2</v>
      </c>
      <c r="F72" s="175">
        <v>23.5</v>
      </c>
      <c r="G72" s="175">
        <v>7.4</v>
      </c>
      <c r="H72" s="175">
        <v>3.38</v>
      </c>
      <c r="I72" s="175">
        <v>1516</v>
      </c>
      <c r="J72" s="175"/>
    </row>
    <row r="73" spans="1:10" x14ac:dyDescent="0.3">
      <c r="A73" s="175" t="s">
        <v>835</v>
      </c>
      <c r="B73" s="176">
        <v>45175</v>
      </c>
      <c r="C73" s="175" t="s">
        <v>836</v>
      </c>
      <c r="D73" s="175" t="s">
        <v>376</v>
      </c>
      <c r="E73" s="175">
        <v>24.1</v>
      </c>
      <c r="F73" s="175">
        <v>23.4</v>
      </c>
      <c r="G73" s="175">
        <v>5.8</v>
      </c>
      <c r="H73" s="175">
        <v>3.54</v>
      </c>
      <c r="I73" s="175">
        <v>1036</v>
      </c>
      <c r="J73" s="175"/>
    </row>
    <row r="74" spans="1:10" x14ac:dyDescent="0.3">
      <c r="A74" s="175" t="s">
        <v>788</v>
      </c>
      <c r="B74" s="176">
        <v>45175</v>
      </c>
      <c r="C74" s="175" t="s">
        <v>837</v>
      </c>
      <c r="D74" s="175" t="s">
        <v>593</v>
      </c>
      <c r="E74" s="198">
        <v>22</v>
      </c>
      <c r="F74" s="175">
        <v>21.3</v>
      </c>
      <c r="G74" s="175">
        <v>6.2</v>
      </c>
      <c r="H74" s="175">
        <v>3.42</v>
      </c>
      <c r="I74" s="175">
        <v>1999</v>
      </c>
      <c r="J74" s="175"/>
    </row>
    <row r="75" spans="1:10" x14ac:dyDescent="0.3">
      <c r="A75" s="210"/>
      <c r="B75" s="210"/>
      <c r="C75" s="210"/>
      <c r="D75" s="210"/>
      <c r="E75" s="210"/>
      <c r="F75" s="210"/>
      <c r="G75" s="210"/>
      <c r="H75" s="210"/>
      <c r="I75" s="210"/>
      <c r="J75" s="175"/>
    </row>
    <row r="76" spans="1:10" x14ac:dyDescent="0.3">
      <c r="A76" s="175" t="s">
        <v>762</v>
      </c>
      <c r="B76" s="176">
        <v>45176</v>
      </c>
      <c r="C76" s="175" t="s">
        <v>790</v>
      </c>
      <c r="D76" s="175" t="s">
        <v>771</v>
      </c>
      <c r="E76" s="175">
        <v>22.7</v>
      </c>
      <c r="F76" s="175">
        <v>22.3</v>
      </c>
      <c r="G76" s="175">
        <v>6.2</v>
      </c>
      <c r="H76" s="175">
        <v>3.42</v>
      </c>
      <c r="I76" s="175">
        <v>2787</v>
      </c>
      <c r="J76" s="175" t="s">
        <v>838</v>
      </c>
    </row>
    <row r="77" spans="1:10" x14ac:dyDescent="0.3">
      <c r="A77" s="175" t="s">
        <v>764</v>
      </c>
      <c r="B77" s="176">
        <v>45176</v>
      </c>
      <c r="C77" s="175" t="s">
        <v>839</v>
      </c>
      <c r="D77" s="175" t="s">
        <v>444</v>
      </c>
      <c r="E77" s="175">
        <v>20.399999999999999</v>
      </c>
      <c r="F77" s="175">
        <v>19.899999999999999</v>
      </c>
      <c r="G77" s="175">
        <v>7.6</v>
      </c>
      <c r="H77" s="175">
        <v>3.24</v>
      </c>
      <c r="I77" s="175">
        <v>2484</v>
      </c>
      <c r="J77" s="175"/>
    </row>
    <row r="78" spans="1:10" x14ac:dyDescent="0.3">
      <c r="A78" s="175" t="s">
        <v>769</v>
      </c>
      <c r="B78" s="176">
        <v>45176</v>
      </c>
      <c r="C78" s="175" t="s">
        <v>840</v>
      </c>
      <c r="D78" s="175" t="s">
        <v>444</v>
      </c>
      <c r="E78" s="175">
        <v>18.8</v>
      </c>
      <c r="F78" s="175">
        <v>18.3</v>
      </c>
      <c r="G78" s="175">
        <v>6.8</v>
      </c>
      <c r="H78" s="269">
        <v>3.2</v>
      </c>
      <c r="I78" s="175">
        <v>2009</v>
      </c>
      <c r="J78" s="175"/>
    </row>
    <row r="79" spans="1:10" x14ac:dyDescent="0.3">
      <c r="A79" s="175" t="s">
        <v>786</v>
      </c>
      <c r="B79" s="176">
        <v>45176</v>
      </c>
      <c r="C79" s="175" t="s">
        <v>841</v>
      </c>
      <c r="D79" s="175" t="s">
        <v>444</v>
      </c>
      <c r="E79" s="175">
        <v>21.5</v>
      </c>
      <c r="F79" s="175">
        <v>20.8</v>
      </c>
      <c r="G79" s="175">
        <v>6.8</v>
      </c>
      <c r="H79" s="175">
        <v>3.31</v>
      </c>
      <c r="I79" s="175">
        <v>1663</v>
      </c>
      <c r="J79" s="175"/>
    </row>
    <row r="80" spans="1:10" x14ac:dyDescent="0.3">
      <c r="A80" s="210"/>
      <c r="B80" s="210"/>
      <c r="C80" s="210"/>
      <c r="D80" s="210"/>
      <c r="E80" s="210"/>
      <c r="F80" s="210"/>
      <c r="G80" s="210"/>
      <c r="H80" s="210"/>
      <c r="I80" s="210"/>
      <c r="J80" s="175"/>
    </row>
    <row r="81" spans="1:10" x14ac:dyDescent="0.3">
      <c r="A81" s="175" t="s">
        <v>762</v>
      </c>
      <c r="B81" s="176">
        <v>45177</v>
      </c>
      <c r="C81" s="175" t="s">
        <v>842</v>
      </c>
      <c r="D81" s="175" t="s">
        <v>342</v>
      </c>
      <c r="E81" s="175">
        <v>21.5</v>
      </c>
      <c r="F81" s="175">
        <v>20.9</v>
      </c>
      <c r="G81" s="175">
        <v>4.8</v>
      </c>
      <c r="H81" s="175">
        <v>3.32</v>
      </c>
      <c r="I81" s="175">
        <v>592</v>
      </c>
      <c r="J81" s="175" t="s">
        <v>843</v>
      </c>
    </row>
    <row r="82" spans="1:10" x14ac:dyDescent="0.3">
      <c r="A82" s="175" t="s">
        <v>764</v>
      </c>
      <c r="B82" s="176">
        <v>45177</v>
      </c>
      <c r="C82" s="175" t="s">
        <v>842</v>
      </c>
      <c r="D82" s="175" t="s">
        <v>346</v>
      </c>
      <c r="E82" s="175">
        <v>22.8</v>
      </c>
      <c r="F82" s="175">
        <v>22.1</v>
      </c>
      <c r="G82" s="175">
        <v>5.4</v>
      </c>
      <c r="H82" s="175">
        <v>3.54</v>
      </c>
      <c r="I82" s="175">
        <v>784</v>
      </c>
      <c r="J82" s="175" t="s">
        <v>844</v>
      </c>
    </row>
    <row r="83" spans="1:10" x14ac:dyDescent="0.3">
      <c r="A83" s="175" t="s">
        <v>769</v>
      </c>
      <c r="B83" s="176">
        <v>45177</v>
      </c>
      <c r="C83" s="175" t="s">
        <v>845</v>
      </c>
      <c r="D83" s="175" t="s">
        <v>846</v>
      </c>
      <c r="E83" s="175">
        <v>21.9</v>
      </c>
      <c r="F83" s="175">
        <v>21.3</v>
      </c>
      <c r="G83" s="175">
        <v>5.6</v>
      </c>
      <c r="H83" s="175">
        <v>3.53</v>
      </c>
      <c r="I83" s="175">
        <v>2033</v>
      </c>
      <c r="J83" s="175" t="s">
        <v>847</v>
      </c>
    </row>
    <row r="84" spans="1:10" x14ac:dyDescent="0.3">
      <c r="A84" s="175" t="s">
        <v>786</v>
      </c>
      <c r="B84" s="176">
        <v>45177</v>
      </c>
      <c r="C84" s="175" t="s">
        <v>848</v>
      </c>
      <c r="D84" s="175" t="s">
        <v>91</v>
      </c>
      <c r="E84" s="175">
        <v>24.3</v>
      </c>
      <c r="F84" s="175">
        <v>23.7</v>
      </c>
      <c r="G84" s="175">
        <v>6.8</v>
      </c>
      <c r="H84" s="175">
        <v>3.53</v>
      </c>
      <c r="I84" s="175">
        <v>2664</v>
      </c>
      <c r="J84" s="175"/>
    </row>
    <row r="85" spans="1:10" x14ac:dyDescent="0.3">
      <c r="A85" s="175" t="s">
        <v>788</v>
      </c>
      <c r="B85" s="176">
        <v>45177</v>
      </c>
      <c r="C85" s="175" t="s">
        <v>849</v>
      </c>
      <c r="D85" s="175" t="s">
        <v>584</v>
      </c>
      <c r="E85" s="175">
        <v>20.6</v>
      </c>
      <c r="F85" s="175">
        <v>19.899999999999999</v>
      </c>
      <c r="G85" s="175">
        <v>5.4</v>
      </c>
      <c r="H85" s="175">
        <v>3.61</v>
      </c>
      <c r="I85" s="175">
        <v>2047</v>
      </c>
      <c r="J85" s="175" t="s">
        <v>794</v>
      </c>
    </row>
    <row r="86" spans="1:10" x14ac:dyDescent="0.3">
      <c r="A86" s="175" t="s">
        <v>804</v>
      </c>
      <c r="B86" s="176">
        <v>45177</v>
      </c>
      <c r="C86" s="175" t="s">
        <v>849</v>
      </c>
      <c r="D86" s="175" t="s">
        <v>584</v>
      </c>
      <c r="E86" s="175">
        <v>20.399999999999999</v>
      </c>
      <c r="F86" s="175">
        <v>19.8</v>
      </c>
      <c r="G86" s="175">
        <v>6.4</v>
      </c>
      <c r="H86" s="175">
        <v>3.46</v>
      </c>
      <c r="I86" s="175">
        <v>1925</v>
      </c>
      <c r="J86" s="175" t="s">
        <v>796</v>
      </c>
    </row>
    <row r="87" spans="1:10" x14ac:dyDescent="0.3">
      <c r="A87" s="210"/>
      <c r="B87" s="210"/>
      <c r="C87" s="210"/>
      <c r="D87" s="210"/>
      <c r="E87" s="210"/>
      <c r="F87" s="210"/>
      <c r="G87" s="210"/>
      <c r="H87" s="210"/>
      <c r="I87" s="210"/>
      <c r="J87" s="175"/>
    </row>
    <row r="88" spans="1:10" x14ac:dyDescent="0.3">
      <c r="A88" s="175" t="s">
        <v>850</v>
      </c>
      <c r="B88" s="176">
        <v>45178</v>
      </c>
      <c r="C88" s="175" t="s">
        <v>851</v>
      </c>
      <c r="D88" s="175" t="s">
        <v>852</v>
      </c>
      <c r="E88" s="198">
        <v>18</v>
      </c>
      <c r="F88" s="175">
        <v>17.399999999999999</v>
      </c>
      <c r="G88" s="175">
        <v>7.8</v>
      </c>
      <c r="H88" s="175">
        <v>3.32</v>
      </c>
      <c r="I88" s="175">
        <v>2793</v>
      </c>
      <c r="J88" s="175" t="s">
        <v>853</v>
      </c>
    </row>
    <row r="89" spans="1:10" x14ac:dyDescent="0.3">
      <c r="A89" s="175" t="s">
        <v>854</v>
      </c>
      <c r="B89" s="176">
        <v>45178</v>
      </c>
      <c r="C89" s="175" t="s">
        <v>851</v>
      </c>
      <c r="D89" s="175" t="s">
        <v>852</v>
      </c>
      <c r="E89" s="175">
        <v>18.7</v>
      </c>
      <c r="F89" s="175">
        <v>18.100000000000001</v>
      </c>
      <c r="G89" s="175">
        <v>7.4</v>
      </c>
      <c r="H89" s="269">
        <v>3.3</v>
      </c>
      <c r="I89" s="175">
        <v>2424</v>
      </c>
      <c r="J89" s="175" t="s">
        <v>855</v>
      </c>
    </row>
    <row r="90" spans="1:10" x14ac:dyDescent="0.3">
      <c r="A90" s="175" t="s">
        <v>833</v>
      </c>
      <c r="B90" s="176">
        <v>45178</v>
      </c>
      <c r="C90" s="175" t="s">
        <v>856</v>
      </c>
      <c r="D90" s="175" t="s">
        <v>29</v>
      </c>
      <c r="E90" s="175">
        <v>21</v>
      </c>
      <c r="F90" s="175">
        <v>20.6</v>
      </c>
      <c r="G90" s="175">
        <v>9.6</v>
      </c>
      <c r="H90" s="175">
        <v>3.19</v>
      </c>
      <c r="I90" s="175">
        <v>2905</v>
      </c>
      <c r="J90" s="175"/>
    </row>
    <row r="91" spans="1:10" x14ac:dyDescent="0.3">
      <c r="A91" s="175" t="s">
        <v>835</v>
      </c>
      <c r="B91" s="176">
        <v>45178</v>
      </c>
      <c r="C91" s="175" t="s">
        <v>857</v>
      </c>
      <c r="D91" s="175" t="s">
        <v>431</v>
      </c>
      <c r="E91" s="175">
        <v>21.5</v>
      </c>
      <c r="F91" s="175">
        <v>20.9</v>
      </c>
      <c r="G91" s="175">
        <v>9.6</v>
      </c>
      <c r="H91" s="175">
        <v>3.21</v>
      </c>
      <c r="I91" s="175">
        <v>2868</v>
      </c>
      <c r="J91" s="175"/>
    </row>
    <row r="92" spans="1:10" x14ac:dyDescent="0.3">
      <c r="A92" s="175" t="s">
        <v>858</v>
      </c>
      <c r="B92" s="176">
        <v>45178</v>
      </c>
      <c r="C92" s="175" t="s">
        <v>859</v>
      </c>
      <c r="D92" s="175" t="s">
        <v>376</v>
      </c>
      <c r="E92" s="175">
        <v>24.6</v>
      </c>
      <c r="F92" s="175">
        <v>23.6</v>
      </c>
      <c r="G92" s="175">
        <v>6.8</v>
      </c>
      <c r="H92" s="175">
        <v>3.57</v>
      </c>
      <c r="I92">
        <v>1843</v>
      </c>
      <c r="J92" s="175"/>
    </row>
    <row r="93" spans="1:10" x14ac:dyDescent="0.3">
      <c r="A93" s="210"/>
      <c r="B93" s="210"/>
      <c r="C93" s="210"/>
      <c r="D93" s="210"/>
      <c r="E93" s="210"/>
      <c r="F93" s="210"/>
      <c r="G93" s="210"/>
      <c r="H93" s="210"/>
      <c r="I93" s="210"/>
      <c r="J93" s="175"/>
    </row>
    <row r="94" spans="1:10" x14ac:dyDescent="0.3">
      <c r="A94" s="175" t="s">
        <v>850</v>
      </c>
      <c r="B94" s="176">
        <v>45180</v>
      </c>
      <c r="C94" s="175" t="s">
        <v>860</v>
      </c>
      <c r="D94" s="175" t="s">
        <v>438</v>
      </c>
      <c r="E94" s="175">
        <v>22.2</v>
      </c>
      <c r="F94" s="175">
        <v>21.6</v>
      </c>
      <c r="G94" s="175">
        <v>8.1999999999999993</v>
      </c>
      <c r="H94" s="269">
        <v>3.2</v>
      </c>
      <c r="I94" s="175">
        <v>2667</v>
      </c>
      <c r="J94" s="175" t="s">
        <v>861</v>
      </c>
    </row>
    <row r="95" spans="1:10" x14ac:dyDescent="0.3">
      <c r="A95" s="175" t="s">
        <v>854</v>
      </c>
      <c r="B95" s="176">
        <v>45180</v>
      </c>
      <c r="C95" s="175" t="s">
        <v>778</v>
      </c>
      <c r="D95" s="175" t="s">
        <v>91</v>
      </c>
      <c r="E95" s="175">
        <v>25.5</v>
      </c>
      <c r="F95" s="175">
        <v>24.9</v>
      </c>
      <c r="G95" s="175">
        <v>5.6</v>
      </c>
      <c r="H95" s="175">
        <v>3.51</v>
      </c>
      <c r="I95" s="175">
        <v>2186</v>
      </c>
      <c r="J95" s="175" t="s">
        <v>862</v>
      </c>
    </row>
    <row r="96" spans="1:10" x14ac:dyDescent="0.3">
      <c r="A96" s="175" t="s">
        <v>833</v>
      </c>
      <c r="B96" s="176">
        <v>45180</v>
      </c>
      <c r="C96" s="175" t="s">
        <v>824</v>
      </c>
      <c r="D96" s="175" t="s">
        <v>863</v>
      </c>
      <c r="E96" s="175">
        <v>23.5</v>
      </c>
      <c r="F96" s="175">
        <v>23.1</v>
      </c>
      <c r="G96" s="198">
        <v>7</v>
      </c>
      <c r="H96" s="175">
        <v>3.42</v>
      </c>
      <c r="I96" s="175">
        <v>1751</v>
      </c>
      <c r="J96" s="175" t="s">
        <v>801</v>
      </c>
    </row>
    <row r="97" spans="1:10" x14ac:dyDescent="0.3">
      <c r="A97" s="175" t="s">
        <v>835</v>
      </c>
      <c r="B97" s="176">
        <v>45180</v>
      </c>
      <c r="C97" s="175" t="s">
        <v>824</v>
      </c>
      <c r="D97" s="175" t="s">
        <v>863</v>
      </c>
      <c r="E97" s="175">
        <v>22.9</v>
      </c>
      <c r="F97" s="175">
        <v>22.2</v>
      </c>
      <c r="G97" s="175">
        <v>5.2</v>
      </c>
      <c r="H97" s="269">
        <v>3.6</v>
      </c>
      <c r="I97" s="175">
        <v>1013</v>
      </c>
      <c r="J97" s="175" t="s">
        <v>864</v>
      </c>
    </row>
    <row r="98" spans="1:10" x14ac:dyDescent="0.3">
      <c r="A98" s="175" t="s">
        <v>858</v>
      </c>
      <c r="B98" s="176">
        <v>45180</v>
      </c>
      <c r="C98" s="175" t="s">
        <v>824</v>
      </c>
      <c r="D98" s="175" t="s">
        <v>863</v>
      </c>
      <c r="E98" s="198">
        <v>22</v>
      </c>
      <c r="F98" s="175">
        <v>21.4</v>
      </c>
      <c r="G98" s="175">
        <v>6.4</v>
      </c>
      <c r="H98" s="175">
        <v>3.49</v>
      </c>
      <c r="I98" s="175">
        <v>1183</v>
      </c>
      <c r="J98" s="175" t="s">
        <v>865</v>
      </c>
    </row>
    <row r="99" spans="1:10" x14ac:dyDescent="0.3">
      <c r="A99" s="175" t="s">
        <v>804</v>
      </c>
      <c r="B99" s="176">
        <v>45180</v>
      </c>
      <c r="C99" s="175" t="s">
        <v>821</v>
      </c>
      <c r="D99" s="175" t="s">
        <v>474</v>
      </c>
      <c r="E99" s="175">
        <v>27.2</v>
      </c>
      <c r="F99" s="175">
        <v>26.4</v>
      </c>
      <c r="G99" s="175">
        <v>6.8</v>
      </c>
      <c r="H99" s="175">
        <v>3.48</v>
      </c>
      <c r="I99" s="175">
        <v>1712</v>
      </c>
      <c r="J99" s="175" t="s">
        <v>866</v>
      </c>
    </row>
    <row r="100" spans="1:10" x14ac:dyDescent="0.3">
      <c r="A100" s="210"/>
      <c r="B100" s="210"/>
      <c r="C100" s="210"/>
      <c r="D100" s="210"/>
      <c r="E100" s="210"/>
      <c r="F100" s="210"/>
      <c r="G100" s="210"/>
      <c r="H100" s="210"/>
      <c r="I100" s="210"/>
      <c r="J100" s="210"/>
    </row>
    <row r="101" spans="1:10" x14ac:dyDescent="0.3">
      <c r="A101" s="175" t="s">
        <v>762</v>
      </c>
      <c r="B101" s="176">
        <v>45181</v>
      </c>
      <c r="C101" s="175" t="s">
        <v>867</v>
      </c>
      <c r="D101" s="175" t="s">
        <v>376</v>
      </c>
      <c r="E101" s="175">
        <v>25.1</v>
      </c>
      <c r="F101" s="175">
        <v>24.5</v>
      </c>
      <c r="G101" s="175">
        <v>7.4</v>
      </c>
      <c r="H101" s="175">
        <v>3.5</v>
      </c>
      <c r="I101" s="175">
        <v>2042</v>
      </c>
      <c r="J101" s="175" t="s">
        <v>868</v>
      </c>
    </row>
    <row r="102" spans="1:10" x14ac:dyDescent="0.3">
      <c r="A102" s="175" t="s">
        <v>764</v>
      </c>
      <c r="B102" s="176">
        <v>45181</v>
      </c>
      <c r="C102" s="175" t="s">
        <v>867</v>
      </c>
      <c r="D102" s="175" t="s">
        <v>376</v>
      </c>
      <c r="E102" s="175">
        <v>26.1</v>
      </c>
      <c r="F102" s="175">
        <v>22.1</v>
      </c>
      <c r="G102" s="198">
        <v>7</v>
      </c>
      <c r="H102" s="175">
        <v>3.45</v>
      </c>
      <c r="I102" s="175">
        <v>1365</v>
      </c>
      <c r="J102" s="175" t="s">
        <v>869</v>
      </c>
    </row>
    <row r="103" spans="1:10" x14ac:dyDescent="0.3">
      <c r="A103" s="175" t="s">
        <v>769</v>
      </c>
      <c r="B103" s="176">
        <v>45181</v>
      </c>
      <c r="C103" s="175" t="s">
        <v>870</v>
      </c>
      <c r="D103" s="175" t="s">
        <v>85</v>
      </c>
      <c r="E103" s="175">
        <v>25.2</v>
      </c>
      <c r="F103" s="175">
        <v>24.4</v>
      </c>
      <c r="G103" s="175">
        <v>4.8</v>
      </c>
      <c r="H103" s="175">
        <v>3.44</v>
      </c>
      <c r="I103" s="175">
        <v>1076</v>
      </c>
      <c r="J103" s="175"/>
    </row>
    <row r="104" spans="1:10" x14ac:dyDescent="0.3">
      <c r="A104" s="175" t="s">
        <v>786</v>
      </c>
      <c r="B104" s="176">
        <v>45181</v>
      </c>
      <c r="C104" s="175" t="s">
        <v>871</v>
      </c>
      <c r="D104" s="175" t="s">
        <v>376</v>
      </c>
      <c r="E104" s="175">
        <v>25.6</v>
      </c>
      <c r="F104" s="175">
        <v>24.9</v>
      </c>
      <c r="G104" s="175">
        <v>4.5999999999999996</v>
      </c>
      <c r="H104" s="175">
        <v>3.46</v>
      </c>
      <c r="I104" s="175">
        <v>791</v>
      </c>
      <c r="J104" s="175"/>
    </row>
    <row r="105" spans="1:10" x14ac:dyDescent="0.3">
      <c r="A105" s="175" t="s">
        <v>788</v>
      </c>
      <c r="B105" s="176">
        <v>45181</v>
      </c>
      <c r="C105" s="175" t="s">
        <v>872</v>
      </c>
      <c r="D105" s="175" t="s">
        <v>189</v>
      </c>
      <c r="E105" s="175">
        <v>26.5</v>
      </c>
      <c r="F105" s="175">
        <v>25.6</v>
      </c>
      <c r="G105" s="175">
        <v>5.4</v>
      </c>
      <c r="H105" s="175">
        <v>3.43</v>
      </c>
      <c r="I105" s="175">
        <v>1206</v>
      </c>
      <c r="J105" s="175"/>
    </row>
    <row r="106" spans="1:10" x14ac:dyDescent="0.3">
      <c r="A106" s="175" t="s">
        <v>804</v>
      </c>
      <c r="B106" s="176">
        <v>45181</v>
      </c>
      <c r="C106" s="175" t="s">
        <v>815</v>
      </c>
      <c r="D106" s="175" t="s">
        <v>91</v>
      </c>
      <c r="E106" s="175">
        <v>25.5</v>
      </c>
      <c r="F106" s="175">
        <v>24.6</v>
      </c>
      <c r="G106" s="198">
        <v>6</v>
      </c>
      <c r="H106" s="175">
        <v>3.54</v>
      </c>
      <c r="I106" s="175">
        <v>1962</v>
      </c>
      <c r="J106" s="175"/>
    </row>
    <row r="107" spans="1:10" x14ac:dyDescent="0.3">
      <c r="A107" s="210"/>
      <c r="B107" s="210"/>
      <c r="C107" s="210"/>
      <c r="D107" s="210"/>
      <c r="E107" s="210"/>
      <c r="F107" s="210"/>
      <c r="G107" s="210"/>
      <c r="H107" s="210"/>
      <c r="I107" s="210"/>
      <c r="J107" s="210"/>
    </row>
    <row r="108" spans="1:10" x14ac:dyDescent="0.3">
      <c r="A108" s="175" t="s">
        <v>762</v>
      </c>
      <c r="B108" s="176">
        <v>45182</v>
      </c>
      <c r="C108" s="175" t="s">
        <v>873</v>
      </c>
      <c r="D108" s="175" t="s">
        <v>584</v>
      </c>
      <c r="E108" s="175">
        <v>23.2</v>
      </c>
      <c r="F108" s="175">
        <v>22.4</v>
      </c>
      <c r="G108" s="175">
        <v>7.2</v>
      </c>
      <c r="H108" s="175">
        <v>3.32</v>
      </c>
      <c r="I108" s="175">
        <v>1691</v>
      </c>
      <c r="J108" s="175" t="s">
        <v>794</v>
      </c>
    </row>
    <row r="109" spans="1:10" x14ac:dyDescent="0.3">
      <c r="A109" s="175" t="s">
        <v>764</v>
      </c>
      <c r="B109" s="176">
        <v>45182</v>
      </c>
      <c r="C109" s="175" t="s">
        <v>874</v>
      </c>
      <c r="D109" s="175" t="s">
        <v>376</v>
      </c>
      <c r="E109" s="175">
        <v>25.6</v>
      </c>
      <c r="F109" s="175">
        <v>24.3</v>
      </c>
      <c r="G109" s="175">
        <v>6.2</v>
      </c>
      <c r="H109" s="175">
        <v>3.54</v>
      </c>
      <c r="I109" s="175">
        <v>1187</v>
      </c>
      <c r="J109" s="175" t="s">
        <v>875</v>
      </c>
    </row>
    <row r="110" spans="1:10" x14ac:dyDescent="0.3">
      <c r="A110" s="175" t="s">
        <v>769</v>
      </c>
      <c r="B110" s="176">
        <v>45182</v>
      </c>
      <c r="C110" s="175" t="s">
        <v>779</v>
      </c>
      <c r="D110" s="175" t="s">
        <v>91</v>
      </c>
      <c r="E110" s="175">
        <v>23.1</v>
      </c>
      <c r="F110" s="175">
        <v>22.3</v>
      </c>
      <c r="G110" s="175">
        <v>7.8</v>
      </c>
      <c r="H110" s="175">
        <v>3.51</v>
      </c>
      <c r="I110" s="175">
        <v>2899</v>
      </c>
      <c r="J110" s="175" t="s">
        <v>876</v>
      </c>
    </row>
    <row r="111" spans="1:10" x14ac:dyDescent="0.3">
      <c r="A111" s="175" t="s">
        <v>786</v>
      </c>
      <c r="B111" s="176">
        <v>45182</v>
      </c>
      <c r="C111" s="175" t="s">
        <v>877</v>
      </c>
      <c r="D111" s="175" t="s">
        <v>878</v>
      </c>
      <c r="E111" s="175">
        <v>24.4</v>
      </c>
      <c r="F111" s="175">
        <v>23.4</v>
      </c>
      <c r="G111" s="175">
        <v>6.6</v>
      </c>
      <c r="H111" s="269">
        <v>3.4</v>
      </c>
      <c r="I111" s="175">
        <v>1669</v>
      </c>
      <c r="J111" s="175"/>
    </row>
    <row r="112" spans="1:10" x14ac:dyDescent="0.3">
      <c r="A112" s="175" t="s">
        <v>788</v>
      </c>
      <c r="B112" s="176">
        <v>45182</v>
      </c>
      <c r="C112" s="175" t="s">
        <v>879</v>
      </c>
      <c r="D112" s="175" t="s">
        <v>675</v>
      </c>
      <c r="E112" s="198">
        <v>23</v>
      </c>
      <c r="F112" s="175">
        <v>22.1</v>
      </c>
      <c r="G112" s="175">
        <v>6.6</v>
      </c>
      <c r="H112" s="175">
        <v>3.53</v>
      </c>
      <c r="I112" s="175">
        <v>1235</v>
      </c>
      <c r="J112" s="175"/>
    </row>
    <row r="113" spans="1:10" x14ac:dyDescent="0.3">
      <c r="A113" s="175" t="s">
        <v>804</v>
      </c>
      <c r="B113" s="176">
        <v>45182</v>
      </c>
      <c r="C113" s="175" t="s">
        <v>880</v>
      </c>
      <c r="D113" s="175" t="s">
        <v>533</v>
      </c>
      <c r="E113" s="175">
        <v>25.3</v>
      </c>
      <c r="F113" s="175">
        <v>24.5</v>
      </c>
      <c r="G113" s="175">
        <v>6.8</v>
      </c>
      <c r="H113" s="175">
        <v>3.42</v>
      </c>
      <c r="I113" s="175">
        <v>1732</v>
      </c>
      <c r="J113" s="175"/>
    </row>
    <row r="114" spans="1:10" x14ac:dyDescent="0.3">
      <c r="A114" s="210"/>
      <c r="B114" s="210"/>
      <c r="C114" s="210"/>
      <c r="D114" s="210"/>
      <c r="E114" s="210"/>
      <c r="F114" s="210"/>
      <c r="G114" s="210"/>
      <c r="H114" s="210"/>
      <c r="I114" s="210"/>
      <c r="J114" s="210"/>
    </row>
    <row r="115" spans="1:10" x14ac:dyDescent="0.3">
      <c r="A115" s="175" t="s">
        <v>762</v>
      </c>
      <c r="B115" s="176">
        <v>45183</v>
      </c>
      <c r="C115" s="175" t="s">
        <v>881</v>
      </c>
      <c r="D115" s="175" t="s">
        <v>675</v>
      </c>
      <c r="E115" s="175">
        <v>25.2</v>
      </c>
      <c r="F115" s="175">
        <v>24.6</v>
      </c>
      <c r="G115" s="175">
        <v>5.6</v>
      </c>
      <c r="H115" s="175">
        <v>3.61</v>
      </c>
      <c r="I115" s="175">
        <v>1767</v>
      </c>
      <c r="J115" s="175" t="s">
        <v>882</v>
      </c>
    </row>
    <row r="116" spans="1:10" x14ac:dyDescent="0.3">
      <c r="A116" s="175" t="s">
        <v>764</v>
      </c>
      <c r="B116" s="176">
        <v>45183</v>
      </c>
      <c r="C116" s="175" t="s">
        <v>790</v>
      </c>
      <c r="D116" s="175" t="s">
        <v>91</v>
      </c>
      <c r="E116" s="175">
        <v>24.5</v>
      </c>
      <c r="F116" s="198">
        <v>24</v>
      </c>
      <c r="G116" s="175">
        <v>6.4</v>
      </c>
      <c r="H116" s="175">
        <v>3.52</v>
      </c>
      <c r="I116" s="175">
        <v>2590</v>
      </c>
      <c r="J116" s="175" t="s">
        <v>883</v>
      </c>
    </row>
    <row r="117" spans="1:10" x14ac:dyDescent="0.3">
      <c r="A117" s="175" t="s">
        <v>769</v>
      </c>
      <c r="B117" s="176">
        <v>45183</v>
      </c>
      <c r="C117" s="175" t="s">
        <v>884</v>
      </c>
      <c r="D117" s="175" t="s">
        <v>852</v>
      </c>
      <c r="E117" s="198">
        <v>20</v>
      </c>
      <c r="F117" s="175">
        <v>19.399999999999999</v>
      </c>
      <c r="G117" s="175">
        <v>8.4</v>
      </c>
      <c r="H117" s="175">
        <v>3.43</v>
      </c>
      <c r="I117" s="175">
        <v>2629</v>
      </c>
      <c r="J117" s="175" t="s">
        <v>885</v>
      </c>
    </row>
    <row r="118" spans="1:10" x14ac:dyDescent="0.3">
      <c r="A118" s="175" t="s">
        <v>786</v>
      </c>
      <c r="B118" s="176">
        <v>45183</v>
      </c>
      <c r="C118" s="175" t="s">
        <v>884</v>
      </c>
      <c r="D118" s="175" t="s">
        <v>852</v>
      </c>
      <c r="E118" s="198">
        <v>19</v>
      </c>
      <c r="F118" s="175">
        <v>18.3</v>
      </c>
      <c r="G118" s="198">
        <v>8</v>
      </c>
      <c r="H118" s="175">
        <v>3.38</v>
      </c>
      <c r="I118" s="175">
        <v>2490</v>
      </c>
      <c r="J118" s="175" t="s">
        <v>886</v>
      </c>
    </row>
    <row r="119" spans="1:10" x14ac:dyDescent="0.3">
      <c r="A119" s="210"/>
      <c r="B119" s="210"/>
      <c r="C119" s="210"/>
      <c r="D119" s="210"/>
      <c r="E119" s="210"/>
      <c r="F119" s="210"/>
      <c r="G119" s="210"/>
      <c r="H119" s="210"/>
      <c r="I119" s="210"/>
      <c r="J119" s="210"/>
    </row>
    <row r="120" spans="1:10" x14ac:dyDescent="0.3">
      <c r="A120" s="175" t="s">
        <v>762</v>
      </c>
      <c r="B120" s="176">
        <v>45184</v>
      </c>
      <c r="C120" s="175" t="s">
        <v>887</v>
      </c>
      <c r="D120" s="175" t="s">
        <v>431</v>
      </c>
      <c r="E120" s="175">
        <v>22.4</v>
      </c>
      <c r="F120" s="175">
        <v>21.7</v>
      </c>
      <c r="G120" s="175">
        <v>7.8</v>
      </c>
      <c r="H120" s="175">
        <v>3.26</v>
      </c>
      <c r="I120" s="175">
        <v>617</v>
      </c>
      <c r="J120" s="175"/>
    </row>
    <row r="121" spans="1:10" x14ac:dyDescent="0.3">
      <c r="A121" s="175" t="s">
        <v>764</v>
      </c>
      <c r="B121" s="176">
        <v>45184</v>
      </c>
      <c r="C121" s="175" t="s">
        <v>792</v>
      </c>
      <c r="D121" s="175" t="s">
        <v>91</v>
      </c>
      <c r="E121" s="175">
        <v>25.1</v>
      </c>
      <c r="F121" s="175">
        <v>24.6</v>
      </c>
      <c r="G121" s="198">
        <v>6</v>
      </c>
      <c r="H121" s="175">
        <v>3.56</v>
      </c>
      <c r="I121" s="175">
        <v>2060</v>
      </c>
      <c r="J121" s="175" t="s">
        <v>888</v>
      </c>
    </row>
    <row r="122" spans="1:10" x14ac:dyDescent="0.3">
      <c r="A122" s="175" t="s">
        <v>769</v>
      </c>
      <c r="B122" s="176">
        <v>45184</v>
      </c>
      <c r="C122" s="175" t="s">
        <v>889</v>
      </c>
      <c r="D122" s="175" t="s">
        <v>51</v>
      </c>
      <c r="E122" s="175">
        <v>21.8</v>
      </c>
      <c r="F122" s="175">
        <v>21.2</v>
      </c>
      <c r="G122" s="175">
        <v>6.4</v>
      </c>
      <c r="H122" s="175">
        <v>3.23</v>
      </c>
      <c r="I122" s="175">
        <v>1827</v>
      </c>
      <c r="J122" s="175"/>
    </row>
    <row r="123" spans="1:10" x14ac:dyDescent="0.3">
      <c r="A123" s="175" t="s">
        <v>786</v>
      </c>
      <c r="B123" s="176">
        <v>45184</v>
      </c>
      <c r="C123" s="175" t="s">
        <v>890</v>
      </c>
      <c r="D123" s="175" t="s">
        <v>51</v>
      </c>
      <c r="E123" s="175">
        <v>19.399999999999999</v>
      </c>
      <c r="F123" s="175">
        <v>18.8</v>
      </c>
      <c r="G123" s="175">
        <v>7.4</v>
      </c>
      <c r="H123" s="175">
        <v>3.21</v>
      </c>
      <c r="I123" s="175">
        <v>2087</v>
      </c>
      <c r="J123" s="175"/>
    </row>
    <row r="124" spans="1:10" x14ac:dyDescent="0.3">
      <c r="A124" s="175" t="s">
        <v>788</v>
      </c>
      <c r="B124" s="176">
        <v>45184</v>
      </c>
      <c r="C124" s="175" t="s">
        <v>891</v>
      </c>
      <c r="D124" s="175" t="s">
        <v>51</v>
      </c>
      <c r="E124" s="175">
        <v>20.100000000000001</v>
      </c>
      <c r="F124" s="175">
        <v>19.5</v>
      </c>
      <c r="G124" s="175">
        <v>8.1999999999999993</v>
      </c>
      <c r="H124" s="175">
        <v>3.24</v>
      </c>
      <c r="I124" s="175">
        <v>2977</v>
      </c>
      <c r="J124" s="175"/>
    </row>
    <row r="125" spans="1:10" x14ac:dyDescent="0.3">
      <c r="A125" s="175" t="s">
        <v>804</v>
      </c>
      <c r="B125" s="176">
        <v>45184</v>
      </c>
      <c r="C125" s="175" t="s">
        <v>892</v>
      </c>
      <c r="D125" s="175" t="s">
        <v>91</v>
      </c>
      <c r="E125" s="175">
        <v>21.6</v>
      </c>
      <c r="F125" s="175">
        <v>20.9</v>
      </c>
      <c r="G125" s="175">
        <v>6.4</v>
      </c>
      <c r="H125" s="175">
        <v>3.52</v>
      </c>
      <c r="I125" s="175">
        <v>2200</v>
      </c>
      <c r="J125" s="175"/>
    </row>
    <row r="126" spans="1:10" x14ac:dyDescent="0.3">
      <c r="A126" s="175" t="s">
        <v>893</v>
      </c>
      <c r="B126" s="176">
        <v>45184</v>
      </c>
      <c r="C126" s="175" t="s">
        <v>779</v>
      </c>
      <c r="D126" s="175" t="s">
        <v>91</v>
      </c>
      <c r="E126" s="175">
        <v>24.1</v>
      </c>
      <c r="F126" s="175">
        <v>23.3</v>
      </c>
      <c r="G126" s="175">
        <v>7.8</v>
      </c>
      <c r="H126" s="175">
        <v>3.51</v>
      </c>
      <c r="I126" s="175">
        <v>2702</v>
      </c>
      <c r="J126" s="175"/>
    </row>
    <row r="127" spans="1:10" x14ac:dyDescent="0.3">
      <c r="A127" s="210"/>
      <c r="B127" s="210"/>
      <c r="C127" s="210"/>
      <c r="D127" s="210"/>
      <c r="E127" s="210"/>
      <c r="F127" s="210"/>
      <c r="G127" s="210"/>
      <c r="H127" s="210"/>
      <c r="I127" s="210"/>
      <c r="J127" s="210"/>
    </row>
    <row r="128" spans="1:10" x14ac:dyDescent="0.3">
      <c r="A128" s="175" t="s">
        <v>762</v>
      </c>
      <c r="B128" s="176">
        <v>45185</v>
      </c>
      <c r="C128" s="175" t="s">
        <v>894</v>
      </c>
      <c r="D128" s="175" t="s">
        <v>85</v>
      </c>
      <c r="E128" s="175">
        <v>25.5</v>
      </c>
      <c r="F128" s="175">
        <v>24.6</v>
      </c>
      <c r="G128" s="198">
        <v>5</v>
      </c>
      <c r="H128" s="269">
        <v>3.6</v>
      </c>
      <c r="I128" s="175">
        <v>1054</v>
      </c>
      <c r="J128" s="175" t="s">
        <v>895</v>
      </c>
    </row>
    <row r="129" spans="1:10" x14ac:dyDescent="0.3">
      <c r="A129" s="175" t="s">
        <v>764</v>
      </c>
      <c r="B129" s="176">
        <v>45185</v>
      </c>
      <c r="C129" s="175" t="s">
        <v>894</v>
      </c>
      <c r="D129" s="175" t="s">
        <v>533</v>
      </c>
      <c r="E129" s="175">
        <v>25.4</v>
      </c>
      <c r="F129" s="175">
        <v>24.5</v>
      </c>
      <c r="G129" s="175">
        <v>5.8</v>
      </c>
      <c r="H129" s="175">
        <v>3.57</v>
      </c>
      <c r="I129" s="175">
        <v>1452</v>
      </c>
      <c r="J129" s="175" t="s">
        <v>896</v>
      </c>
    </row>
    <row r="130" spans="1:10" x14ac:dyDescent="0.3">
      <c r="A130" s="175" t="s">
        <v>769</v>
      </c>
      <c r="B130" s="176">
        <v>45185</v>
      </c>
      <c r="C130" s="175" t="s">
        <v>894</v>
      </c>
      <c r="D130" s="175" t="s">
        <v>376</v>
      </c>
      <c r="E130" s="175">
        <v>26.3</v>
      </c>
      <c r="F130" s="175">
        <v>25.4</v>
      </c>
      <c r="G130" s="175">
        <v>4.2</v>
      </c>
      <c r="H130" s="175">
        <v>3.64</v>
      </c>
      <c r="I130" s="175">
        <v>758</v>
      </c>
      <c r="J130" s="175" t="s">
        <v>861</v>
      </c>
    </row>
    <row r="131" spans="1:10" x14ac:dyDescent="0.3">
      <c r="A131" s="175" t="s">
        <v>786</v>
      </c>
      <c r="B131" s="176">
        <v>45185</v>
      </c>
      <c r="C131" s="175" t="s">
        <v>894</v>
      </c>
      <c r="D131" s="175" t="s">
        <v>878</v>
      </c>
      <c r="E131" s="175">
        <v>25.6</v>
      </c>
      <c r="F131" s="175">
        <v>24.8</v>
      </c>
      <c r="G131" s="198">
        <v>7</v>
      </c>
      <c r="H131" s="175">
        <v>3.48</v>
      </c>
      <c r="I131" s="175">
        <v>2268</v>
      </c>
      <c r="J131" s="175" t="s">
        <v>897</v>
      </c>
    </row>
    <row r="132" spans="1:10" x14ac:dyDescent="0.3">
      <c r="A132" s="175" t="s">
        <v>788</v>
      </c>
      <c r="B132" s="176">
        <v>45185</v>
      </c>
      <c r="C132" s="175" t="s">
        <v>898</v>
      </c>
      <c r="D132" s="175" t="s">
        <v>91</v>
      </c>
      <c r="E132" s="175">
        <v>24.2</v>
      </c>
      <c r="F132" s="175">
        <v>23.5</v>
      </c>
      <c r="G132" s="175">
        <v>6.8</v>
      </c>
      <c r="H132" s="175">
        <v>3.56</v>
      </c>
      <c r="I132" s="175">
        <v>2617</v>
      </c>
      <c r="J132" s="175" t="s">
        <v>899</v>
      </c>
    </row>
    <row r="133" spans="1:10" x14ac:dyDescent="0.3">
      <c r="A133" s="210"/>
      <c r="B133" s="210"/>
      <c r="C133" s="210"/>
      <c r="D133" s="210"/>
      <c r="E133" s="210"/>
      <c r="F133" s="210"/>
      <c r="G133" s="210"/>
      <c r="H133" s="210"/>
      <c r="I133" s="210"/>
      <c r="J133" s="210"/>
    </row>
    <row r="134" spans="1:10" x14ac:dyDescent="0.3">
      <c r="A134" s="175" t="s">
        <v>762</v>
      </c>
      <c r="B134" s="176">
        <v>45187</v>
      </c>
      <c r="C134" s="175" t="s">
        <v>900</v>
      </c>
      <c r="D134" s="175" t="s">
        <v>376</v>
      </c>
      <c r="E134" s="175">
        <v>23.7</v>
      </c>
      <c r="F134" s="175">
        <v>22.9</v>
      </c>
      <c r="G134" s="175">
        <v>5.4</v>
      </c>
      <c r="H134" s="175">
        <v>3.54</v>
      </c>
      <c r="I134" s="175">
        <v>1609</v>
      </c>
      <c r="J134" s="175" t="s">
        <v>794</v>
      </c>
    </row>
    <row r="135" spans="1:10" x14ac:dyDescent="0.3">
      <c r="A135" s="175" t="s">
        <v>764</v>
      </c>
      <c r="B135" s="176">
        <v>45187</v>
      </c>
      <c r="C135" s="175" t="s">
        <v>901</v>
      </c>
      <c r="D135" s="175" t="s">
        <v>376</v>
      </c>
      <c r="E135" s="175">
        <v>26.2</v>
      </c>
      <c r="F135" s="175">
        <v>25.2</v>
      </c>
      <c r="G135" s="175">
        <v>4.4000000000000004</v>
      </c>
      <c r="H135" s="175">
        <v>3.69</v>
      </c>
      <c r="I135" s="175">
        <v>1430</v>
      </c>
      <c r="J135" s="175"/>
    </row>
    <row r="136" spans="1:10" x14ac:dyDescent="0.3">
      <c r="A136" s="175" t="s">
        <v>769</v>
      </c>
      <c r="B136" s="176">
        <v>45187</v>
      </c>
      <c r="C136" s="175" t="s">
        <v>879</v>
      </c>
      <c r="D136" s="175" t="s">
        <v>370</v>
      </c>
      <c r="E136" s="175">
        <v>22.8</v>
      </c>
      <c r="F136" s="175">
        <v>22.1</v>
      </c>
      <c r="G136" s="175">
        <v>5.8</v>
      </c>
      <c r="H136" s="175">
        <v>3.38</v>
      </c>
      <c r="I136" s="175">
        <v>974</v>
      </c>
      <c r="J136" s="175"/>
    </row>
    <row r="137" spans="1:10" x14ac:dyDescent="0.3">
      <c r="A137" s="175" t="s">
        <v>786</v>
      </c>
      <c r="B137" s="176">
        <v>45187</v>
      </c>
      <c r="C137" s="175" t="s">
        <v>902</v>
      </c>
      <c r="D137" s="175" t="s">
        <v>42</v>
      </c>
      <c r="E137" s="198">
        <v>24</v>
      </c>
      <c r="F137" s="175">
        <v>23.1</v>
      </c>
      <c r="G137" s="175">
        <v>8.4</v>
      </c>
      <c r="H137" s="175">
        <v>3.33</v>
      </c>
      <c r="I137" s="175">
        <v>3103</v>
      </c>
      <c r="J137" s="175"/>
    </row>
    <row r="138" spans="1:10" x14ac:dyDescent="0.3">
      <c r="A138" s="175" t="s">
        <v>788</v>
      </c>
      <c r="B138" s="176">
        <v>45187</v>
      </c>
      <c r="C138" s="175" t="s">
        <v>903</v>
      </c>
      <c r="D138" s="175" t="s">
        <v>91</v>
      </c>
      <c r="E138" s="175">
        <v>23.6</v>
      </c>
      <c r="F138" s="175">
        <v>22.6</v>
      </c>
      <c r="G138" s="175">
        <v>7.2</v>
      </c>
      <c r="H138" s="175">
        <v>3.49</v>
      </c>
      <c r="I138" s="175">
        <v>2713</v>
      </c>
      <c r="J138" s="175"/>
    </row>
    <row r="139" spans="1:10" x14ac:dyDescent="0.3">
      <c r="A139" s="210"/>
      <c r="B139" s="210"/>
      <c r="C139" s="210"/>
      <c r="D139" s="210"/>
      <c r="E139" s="210"/>
      <c r="F139" s="210"/>
      <c r="G139" s="210"/>
      <c r="H139" s="210"/>
      <c r="I139" s="210"/>
      <c r="J139" s="210"/>
    </row>
    <row r="140" spans="1:10" x14ac:dyDescent="0.3">
      <c r="A140" s="175" t="s">
        <v>762</v>
      </c>
      <c r="B140" s="176">
        <v>45188</v>
      </c>
      <c r="C140" s="175" t="s">
        <v>808</v>
      </c>
      <c r="D140" s="175" t="s">
        <v>19</v>
      </c>
      <c r="E140" s="175">
        <v>21.2</v>
      </c>
      <c r="F140" s="175">
        <v>20.7</v>
      </c>
      <c r="G140" s="175">
        <v>9.4</v>
      </c>
      <c r="H140" s="175">
        <v>3.12</v>
      </c>
      <c r="I140" s="175">
        <v>3353</v>
      </c>
      <c r="J140" s="175"/>
    </row>
    <row r="141" spans="1:10" x14ac:dyDescent="0.3">
      <c r="A141" s="175" t="s">
        <v>764</v>
      </c>
      <c r="B141" s="176">
        <v>45188</v>
      </c>
      <c r="C141" s="175" t="s">
        <v>904</v>
      </c>
      <c r="D141" s="175" t="s">
        <v>878</v>
      </c>
      <c r="E141" s="175">
        <v>24.4</v>
      </c>
      <c r="F141" s="175">
        <v>23.7</v>
      </c>
      <c r="G141" s="175">
        <v>6.4</v>
      </c>
      <c r="H141" s="175">
        <v>3.31</v>
      </c>
      <c r="I141" s="175">
        <v>1170</v>
      </c>
      <c r="J141" s="175" t="s">
        <v>905</v>
      </c>
    </row>
    <row r="142" spans="1:10" x14ac:dyDescent="0.3">
      <c r="A142" s="210" t="s">
        <v>906</v>
      </c>
      <c r="B142" s="210"/>
      <c r="C142" s="210"/>
      <c r="D142" s="210"/>
      <c r="E142" s="210"/>
      <c r="F142" s="210"/>
      <c r="G142" s="210"/>
      <c r="H142" s="210"/>
      <c r="I142" s="210"/>
      <c r="J142" s="210"/>
    </row>
    <row r="143" spans="1:10" x14ac:dyDescent="0.3">
      <c r="A143" s="175" t="s">
        <v>762</v>
      </c>
      <c r="B143" s="176">
        <v>45189</v>
      </c>
      <c r="C143" s="175" t="s">
        <v>879</v>
      </c>
      <c r="D143" s="175" t="s">
        <v>675</v>
      </c>
      <c r="E143" s="175">
        <v>23.9</v>
      </c>
      <c r="F143" s="175">
        <v>23.1</v>
      </c>
      <c r="G143" s="198">
        <v>6</v>
      </c>
      <c r="H143" s="175">
        <v>3.62</v>
      </c>
      <c r="I143" s="175">
        <v>1303</v>
      </c>
      <c r="J143" s="175"/>
    </row>
    <row r="144" spans="1:10" x14ac:dyDescent="0.3">
      <c r="A144" s="175" t="s">
        <v>764</v>
      </c>
      <c r="B144" s="176">
        <v>45189</v>
      </c>
      <c r="C144" s="175" t="s">
        <v>907</v>
      </c>
      <c r="D144" s="175" t="s">
        <v>91</v>
      </c>
      <c r="E144" s="175">
        <v>24.1</v>
      </c>
      <c r="F144" s="175">
        <v>23.1</v>
      </c>
      <c r="G144" s="175">
        <v>7.4</v>
      </c>
      <c r="H144" s="175">
        <v>3.57</v>
      </c>
      <c r="I144" s="175">
        <v>2865</v>
      </c>
      <c r="J144" s="175"/>
    </row>
    <row r="145" spans="1:10" x14ac:dyDescent="0.3">
      <c r="A145" s="210"/>
      <c r="B145" s="210"/>
      <c r="C145" s="210"/>
      <c r="D145" s="210"/>
      <c r="E145" s="210"/>
      <c r="F145" s="210"/>
      <c r="G145" s="210"/>
      <c r="H145" s="210"/>
      <c r="I145" s="210"/>
      <c r="J145" s="210"/>
    </row>
    <row r="146" spans="1:10" x14ac:dyDescent="0.3">
      <c r="A146" s="175" t="s">
        <v>762</v>
      </c>
      <c r="B146" s="176">
        <v>45191</v>
      </c>
      <c r="C146" s="175" t="s">
        <v>908</v>
      </c>
      <c r="D146" s="175" t="s">
        <v>878</v>
      </c>
      <c r="E146" s="175">
        <v>24.8</v>
      </c>
      <c r="F146" s="175">
        <v>24.3</v>
      </c>
      <c r="G146" s="175">
        <v>7.6</v>
      </c>
      <c r="H146" s="175">
        <v>3.46</v>
      </c>
      <c r="I146" s="175">
        <v>2893</v>
      </c>
      <c r="J146" s="175" t="s">
        <v>909</v>
      </c>
    </row>
    <row r="147" spans="1:10" x14ac:dyDescent="0.3">
      <c r="A147" s="175" t="s">
        <v>764</v>
      </c>
      <c r="B147" s="176">
        <v>45191</v>
      </c>
      <c r="C147" s="175" t="s">
        <v>904</v>
      </c>
      <c r="D147" s="175" t="s">
        <v>878</v>
      </c>
      <c r="E147" s="175">
        <v>23.3</v>
      </c>
      <c r="F147" s="175">
        <v>22.7</v>
      </c>
      <c r="G147" s="175">
        <v>6.4</v>
      </c>
      <c r="H147" s="175">
        <v>3.25</v>
      </c>
      <c r="I147" s="175">
        <v>1012</v>
      </c>
      <c r="J147" s="175" t="s">
        <v>910</v>
      </c>
    </row>
    <row r="148" spans="1:10" x14ac:dyDescent="0.3">
      <c r="A148" s="210"/>
      <c r="B148" s="210"/>
      <c r="C148" s="210"/>
      <c r="D148" s="210"/>
      <c r="E148" s="210"/>
      <c r="F148" s="210"/>
      <c r="G148" s="210"/>
      <c r="H148" s="210"/>
      <c r="I148" s="210"/>
      <c r="J148" s="210"/>
    </row>
    <row r="149" spans="1:10" x14ac:dyDescent="0.3">
      <c r="A149" s="175" t="s">
        <v>762</v>
      </c>
      <c r="B149" s="176">
        <v>45192</v>
      </c>
      <c r="C149" s="175" t="s">
        <v>911</v>
      </c>
      <c r="D149" s="175" t="s">
        <v>563</v>
      </c>
      <c r="E149" s="175">
        <v>22.3</v>
      </c>
      <c r="F149" s="175">
        <v>21.5</v>
      </c>
      <c r="G149" s="175">
        <v>7.4</v>
      </c>
      <c r="H149" s="175">
        <v>3.44</v>
      </c>
      <c r="I149" s="175">
        <v>2479</v>
      </c>
      <c r="J149" s="175"/>
    </row>
    <row r="150" spans="1:10" x14ac:dyDescent="0.3">
      <c r="A150" s="210"/>
      <c r="B150" s="210"/>
      <c r="C150" s="210"/>
      <c r="D150" s="210"/>
      <c r="E150" s="210"/>
      <c r="F150" s="210"/>
      <c r="G150" s="210"/>
      <c r="H150" s="210"/>
      <c r="I150" s="210"/>
      <c r="J150" s="210"/>
    </row>
    <row r="151" spans="1:10" x14ac:dyDescent="0.3">
      <c r="A151" s="175" t="s">
        <v>762</v>
      </c>
      <c r="B151" s="176">
        <v>45194</v>
      </c>
      <c r="C151" s="175" t="s">
        <v>912</v>
      </c>
      <c r="D151" s="175" t="s">
        <v>91</v>
      </c>
      <c r="E151" s="175">
        <v>22.4</v>
      </c>
      <c r="F151" s="175">
        <v>21.9</v>
      </c>
      <c r="G151" s="198">
        <v>7</v>
      </c>
      <c r="H151" s="175">
        <v>3.36</v>
      </c>
      <c r="I151" s="175">
        <v>1401</v>
      </c>
      <c r="J151" s="175"/>
    </row>
    <row r="152" spans="1:10" x14ac:dyDescent="0.3">
      <c r="A152" s="175" t="s">
        <v>764</v>
      </c>
      <c r="B152" s="176">
        <v>45194</v>
      </c>
      <c r="C152" s="175" t="s">
        <v>879</v>
      </c>
      <c r="D152" s="175" t="s">
        <v>913</v>
      </c>
      <c r="E152" s="175">
        <v>24.6</v>
      </c>
      <c r="F152" s="175">
        <v>24.1</v>
      </c>
      <c r="G152" s="198">
        <v>7</v>
      </c>
      <c r="H152" s="175">
        <v>3.52</v>
      </c>
      <c r="I152" s="175">
        <v>918</v>
      </c>
      <c r="J152" s="175"/>
    </row>
    <row r="153" spans="1:10" x14ac:dyDescent="0.3">
      <c r="A153" s="175" t="s">
        <v>769</v>
      </c>
      <c r="B153" s="176">
        <v>45194</v>
      </c>
      <c r="C153" s="175" t="s">
        <v>879</v>
      </c>
      <c r="D153" s="175" t="s">
        <v>675</v>
      </c>
      <c r="E153" s="175">
        <v>25.1</v>
      </c>
      <c r="F153" s="175">
        <v>24.3</v>
      </c>
      <c r="G153" s="175">
        <v>7.2</v>
      </c>
      <c r="H153" s="175">
        <v>3.67</v>
      </c>
      <c r="I153" s="175">
        <v>1137</v>
      </c>
      <c r="J153" s="175"/>
    </row>
    <row r="154" spans="1:10" x14ac:dyDescent="0.3">
      <c r="A154" s="175" t="s">
        <v>786</v>
      </c>
      <c r="B154" s="176">
        <v>45194</v>
      </c>
      <c r="C154" s="175" t="s">
        <v>914</v>
      </c>
      <c r="D154" s="175" t="s">
        <v>878</v>
      </c>
      <c r="E154" s="175">
        <v>25.3</v>
      </c>
      <c r="F154" s="175">
        <v>24.6</v>
      </c>
      <c r="G154" s="198">
        <v>8</v>
      </c>
      <c r="H154" s="175">
        <v>3.51</v>
      </c>
      <c r="I154" s="175">
        <v>2117</v>
      </c>
      <c r="J154" s="175" t="s">
        <v>915</v>
      </c>
    </row>
    <row r="155" spans="1:10" x14ac:dyDescent="0.3">
      <c r="A155" s="175" t="s">
        <v>788</v>
      </c>
      <c r="B155" s="176">
        <v>45194</v>
      </c>
      <c r="C155" s="175" t="s">
        <v>916</v>
      </c>
      <c r="D155" s="175" t="s">
        <v>878</v>
      </c>
      <c r="E155" s="175">
        <v>25.5</v>
      </c>
      <c r="F155" s="175">
        <v>24.6</v>
      </c>
      <c r="G155" s="175">
        <v>6.4</v>
      </c>
      <c r="H155" s="175">
        <v>3.74</v>
      </c>
      <c r="I155" s="175">
        <v>1675</v>
      </c>
      <c r="J155" s="175" t="s">
        <v>796</v>
      </c>
    </row>
    <row r="156" spans="1:10" x14ac:dyDescent="0.3">
      <c r="A156" s="175" t="s">
        <v>917</v>
      </c>
      <c r="B156" s="176">
        <v>45194</v>
      </c>
      <c r="C156" s="175" t="s">
        <v>916</v>
      </c>
      <c r="D156" s="175" t="s">
        <v>878</v>
      </c>
      <c r="E156" s="175">
        <v>23.1</v>
      </c>
      <c r="F156" s="175">
        <v>22.2</v>
      </c>
      <c r="G156" s="175">
        <v>6.8</v>
      </c>
      <c r="H156" s="175">
        <v>3.49</v>
      </c>
      <c r="I156" s="175">
        <v>1760</v>
      </c>
      <c r="J156" s="175" t="s">
        <v>918</v>
      </c>
    </row>
    <row r="157" spans="1:10" x14ac:dyDescent="0.3">
      <c r="A157" s="210"/>
      <c r="B157" s="210"/>
      <c r="C157" s="210"/>
      <c r="D157" s="210"/>
      <c r="E157" s="210"/>
      <c r="F157" s="210"/>
      <c r="G157" s="210"/>
      <c r="H157" s="210"/>
      <c r="I157" s="210"/>
      <c r="J157" s="210"/>
    </row>
    <row r="158" spans="1:10" x14ac:dyDescent="0.3">
      <c r="A158" s="175" t="s">
        <v>762</v>
      </c>
      <c r="B158" s="176">
        <v>45195</v>
      </c>
      <c r="C158" s="175" t="s">
        <v>919</v>
      </c>
      <c r="D158" s="175" t="s">
        <v>189</v>
      </c>
      <c r="E158" s="198">
        <v>23</v>
      </c>
      <c r="F158" s="175">
        <v>22.3</v>
      </c>
      <c r="G158" s="175">
        <v>6.2</v>
      </c>
      <c r="H158" s="175">
        <v>3.46</v>
      </c>
      <c r="I158" s="175">
        <v>1831</v>
      </c>
      <c r="J158" s="175" t="s">
        <v>918</v>
      </c>
    </row>
    <row r="159" spans="1:10" x14ac:dyDescent="0.3">
      <c r="A159" s="175" t="s">
        <v>764</v>
      </c>
      <c r="B159" s="176">
        <v>45195</v>
      </c>
      <c r="C159" s="175" t="s">
        <v>919</v>
      </c>
      <c r="D159" s="175" t="s">
        <v>189</v>
      </c>
      <c r="E159" s="175">
        <v>23.6</v>
      </c>
      <c r="F159" s="175">
        <v>22.8</v>
      </c>
      <c r="G159" s="175">
        <v>5.8</v>
      </c>
      <c r="H159" s="175">
        <v>3.48</v>
      </c>
      <c r="I159" s="175">
        <v>1681</v>
      </c>
      <c r="J159" s="175" t="s">
        <v>796</v>
      </c>
    </row>
    <row r="160" spans="1:10" x14ac:dyDescent="0.3">
      <c r="A160" s="175" t="s">
        <v>769</v>
      </c>
      <c r="B160" s="176">
        <v>45195</v>
      </c>
      <c r="C160" s="175" t="s">
        <v>711</v>
      </c>
      <c r="D160" s="175" t="s">
        <v>878</v>
      </c>
      <c r="E160" s="175">
        <v>26.1</v>
      </c>
      <c r="F160" s="175">
        <v>25.4</v>
      </c>
      <c r="G160" s="198">
        <v>5</v>
      </c>
      <c r="H160" s="175">
        <v>3.31</v>
      </c>
      <c r="I160" s="175">
        <v>998</v>
      </c>
      <c r="J160" s="175"/>
    </row>
    <row r="161" spans="1:10" x14ac:dyDescent="0.3">
      <c r="A161" s="175" t="s">
        <v>786</v>
      </c>
      <c r="B161" s="176">
        <v>45195</v>
      </c>
      <c r="C161" s="175" t="s">
        <v>914</v>
      </c>
      <c r="D161" s="175" t="s">
        <v>920</v>
      </c>
      <c r="E161" s="175">
        <v>23.9</v>
      </c>
      <c r="F161" s="175">
        <v>23.3</v>
      </c>
      <c r="G161" s="175">
        <v>7.8</v>
      </c>
      <c r="H161" s="175">
        <v>3.35</v>
      </c>
      <c r="I161" s="175">
        <v>2242</v>
      </c>
      <c r="J161" s="175"/>
    </row>
    <row r="162" spans="1:10" x14ac:dyDescent="0.3">
      <c r="A162" s="175" t="s">
        <v>788</v>
      </c>
      <c r="B162" s="176">
        <v>45195</v>
      </c>
      <c r="C162" s="175" t="s">
        <v>921</v>
      </c>
      <c r="D162" s="175" t="s">
        <v>852</v>
      </c>
      <c r="E162" s="175">
        <v>22.4</v>
      </c>
      <c r="F162" s="175">
        <v>21.6</v>
      </c>
      <c r="G162" s="175">
        <v>6.6</v>
      </c>
      <c r="H162" s="175">
        <v>3.34</v>
      </c>
      <c r="I162" s="175">
        <v>2074</v>
      </c>
      <c r="J162" s="175"/>
    </row>
    <row r="163" spans="1:10" x14ac:dyDescent="0.3">
      <c r="A163" s="210"/>
      <c r="B163" s="210"/>
      <c r="C163" s="210"/>
      <c r="D163" s="210"/>
      <c r="E163" s="210"/>
      <c r="F163" s="210"/>
      <c r="G163" s="210"/>
      <c r="H163" s="210"/>
      <c r="I163" s="210"/>
      <c r="J163" s="210"/>
    </row>
    <row r="164" spans="1:10" x14ac:dyDescent="0.3">
      <c r="A164" s="175" t="s">
        <v>762</v>
      </c>
      <c r="B164" s="176">
        <v>45196</v>
      </c>
      <c r="C164" s="175" t="s">
        <v>922</v>
      </c>
      <c r="D164" s="175" t="s">
        <v>533</v>
      </c>
      <c r="E164" s="175">
        <v>24.7</v>
      </c>
      <c r="F164" s="175">
        <v>24.1</v>
      </c>
      <c r="G164" s="175">
        <v>4.8</v>
      </c>
      <c r="H164" s="175">
        <v>3.58</v>
      </c>
      <c r="I164" s="175">
        <v>937</v>
      </c>
      <c r="J164" s="175" t="s">
        <v>923</v>
      </c>
    </row>
    <row r="165" spans="1:10" x14ac:dyDescent="0.3">
      <c r="A165" s="175" t="s">
        <v>764</v>
      </c>
      <c r="B165" s="176">
        <v>45196</v>
      </c>
      <c r="C165" s="175" t="s">
        <v>870</v>
      </c>
      <c r="D165" s="175" t="s">
        <v>189</v>
      </c>
      <c r="E165" s="175">
        <v>24.6</v>
      </c>
      <c r="F165" s="175">
        <v>23.9</v>
      </c>
      <c r="G165" s="175">
        <v>5.8</v>
      </c>
      <c r="H165" s="175">
        <v>3.5</v>
      </c>
      <c r="I165">
        <v>1306</v>
      </c>
      <c r="J165" s="175" t="s">
        <v>924</v>
      </c>
    </row>
    <row r="166" spans="1:10" x14ac:dyDescent="0.3">
      <c r="A166" s="175" t="s">
        <v>769</v>
      </c>
      <c r="B166" s="176">
        <v>45196</v>
      </c>
      <c r="C166" s="175" t="s">
        <v>925</v>
      </c>
      <c r="D166" s="175" t="s">
        <v>878</v>
      </c>
      <c r="E166" s="175">
        <v>23.2</v>
      </c>
      <c r="F166" s="175">
        <v>22.3</v>
      </c>
      <c r="G166" s="175">
        <v>6.2</v>
      </c>
      <c r="H166" s="175">
        <v>3.45</v>
      </c>
      <c r="I166" s="175">
        <v>1778</v>
      </c>
      <c r="J166" s="175" t="s">
        <v>926</v>
      </c>
    </row>
    <row r="167" spans="1:10" x14ac:dyDescent="0.3">
      <c r="A167" s="175" t="s">
        <v>786</v>
      </c>
      <c r="B167" s="176">
        <v>45196</v>
      </c>
      <c r="C167" s="175" t="s">
        <v>925</v>
      </c>
      <c r="D167" s="175" t="s">
        <v>878</v>
      </c>
      <c r="E167" s="175">
        <v>23.7</v>
      </c>
      <c r="F167" s="175">
        <v>22.7</v>
      </c>
      <c r="G167" s="175">
        <v>5.8</v>
      </c>
      <c r="H167" s="175">
        <v>3.45</v>
      </c>
      <c r="I167" s="175">
        <v>1177</v>
      </c>
      <c r="J167" s="175" t="s">
        <v>927</v>
      </c>
    </row>
    <row r="168" spans="1:10" x14ac:dyDescent="0.3">
      <c r="A168" s="210"/>
      <c r="B168" s="210"/>
      <c r="C168" s="210"/>
      <c r="D168" s="210"/>
      <c r="E168" s="210"/>
      <c r="F168" s="210"/>
      <c r="G168" s="210"/>
      <c r="H168" s="210"/>
      <c r="I168" s="210"/>
      <c r="J168" s="210"/>
    </row>
    <row r="169" spans="1:10" x14ac:dyDescent="0.3">
      <c r="A169" s="175" t="s">
        <v>762</v>
      </c>
      <c r="B169" s="176">
        <v>45197</v>
      </c>
      <c r="C169" s="175" t="s">
        <v>928</v>
      </c>
      <c r="D169" s="175" t="s">
        <v>85</v>
      </c>
      <c r="E169" s="175">
        <v>25.2</v>
      </c>
      <c r="F169" s="175">
        <v>24.6</v>
      </c>
      <c r="G169" s="175">
        <v>4.4000000000000004</v>
      </c>
      <c r="H169" s="175">
        <v>3.63</v>
      </c>
      <c r="I169" s="175">
        <v>744</v>
      </c>
      <c r="J169" s="175"/>
    </row>
    <row r="170" spans="1:10" x14ac:dyDescent="0.3">
      <c r="A170" s="175" t="s">
        <v>764</v>
      </c>
      <c r="B170" s="176">
        <v>45197</v>
      </c>
      <c r="C170" s="175" t="s">
        <v>929</v>
      </c>
      <c r="D170" s="175" t="s">
        <v>533</v>
      </c>
      <c r="E170" s="175">
        <v>25.6</v>
      </c>
      <c r="F170" s="175">
        <v>24.8</v>
      </c>
      <c r="G170" s="175">
        <v>6.2</v>
      </c>
      <c r="H170" s="175">
        <v>3.59</v>
      </c>
      <c r="I170" s="175">
        <v>1190</v>
      </c>
      <c r="J170" s="175" t="s">
        <v>796</v>
      </c>
    </row>
    <row r="171" spans="1:10" x14ac:dyDescent="0.3">
      <c r="A171" s="175" t="s">
        <v>769</v>
      </c>
      <c r="B171" s="176">
        <v>45197</v>
      </c>
      <c r="C171" s="175" t="s">
        <v>930</v>
      </c>
      <c r="D171" s="175" t="s">
        <v>878</v>
      </c>
      <c r="E171" s="175">
        <v>21.3</v>
      </c>
      <c r="F171" s="175">
        <v>20.6</v>
      </c>
      <c r="G171" s="175">
        <v>6.4</v>
      </c>
      <c r="H171" s="175">
        <v>3.31</v>
      </c>
      <c r="I171" s="175">
        <v>1415</v>
      </c>
      <c r="J171" s="175"/>
    </row>
    <row r="172" spans="1:10" x14ac:dyDescent="0.3">
      <c r="A172" s="175" t="s">
        <v>786</v>
      </c>
      <c r="B172" s="176">
        <v>45197</v>
      </c>
      <c r="C172" s="175" t="s">
        <v>931</v>
      </c>
      <c r="D172" s="175" t="s">
        <v>878</v>
      </c>
      <c r="E172" s="175">
        <v>24.7</v>
      </c>
      <c r="F172" s="175">
        <v>24.2</v>
      </c>
      <c r="G172" s="175">
        <v>5.6</v>
      </c>
      <c r="H172" s="175">
        <v>3.59</v>
      </c>
      <c r="I172" s="175">
        <v>1856</v>
      </c>
      <c r="J172" s="175"/>
    </row>
    <row r="173" spans="1:10" x14ac:dyDescent="0.3">
      <c r="A173" s="175" t="s">
        <v>788</v>
      </c>
      <c r="B173" s="176">
        <v>45197</v>
      </c>
      <c r="C173" s="175" t="s">
        <v>932</v>
      </c>
      <c r="D173" s="175" t="s">
        <v>533</v>
      </c>
      <c r="E173" s="175">
        <v>25.9</v>
      </c>
      <c r="F173" s="175">
        <v>24.9</v>
      </c>
      <c r="G173" s="175">
        <v>6.4</v>
      </c>
      <c r="H173" s="175">
        <v>3.62</v>
      </c>
      <c r="I173" s="175">
        <v>1616</v>
      </c>
      <c r="J173" s="175" t="s">
        <v>933</v>
      </c>
    </row>
    <row r="174" spans="1:10" x14ac:dyDescent="0.3">
      <c r="A174" s="175" t="s">
        <v>804</v>
      </c>
      <c r="B174" s="176">
        <v>45197</v>
      </c>
      <c r="C174" s="175" t="s">
        <v>810</v>
      </c>
      <c r="D174" s="175" t="s">
        <v>533</v>
      </c>
      <c r="E174" s="175">
        <v>25.4</v>
      </c>
      <c r="F174" s="175">
        <v>24.5</v>
      </c>
      <c r="G174" s="175">
        <v>6.8</v>
      </c>
      <c r="H174" s="175">
        <v>3.55</v>
      </c>
      <c r="I174" s="175">
        <v>1615</v>
      </c>
      <c r="J174" s="175" t="s">
        <v>934</v>
      </c>
    </row>
    <row r="175" spans="1:10" x14ac:dyDescent="0.3">
      <c r="A175" s="175" t="s">
        <v>893</v>
      </c>
      <c r="B175" s="176">
        <v>45197</v>
      </c>
      <c r="C175" s="175" t="s">
        <v>935</v>
      </c>
      <c r="D175" s="175" t="s">
        <v>878</v>
      </c>
      <c r="E175" s="175">
        <v>26.9</v>
      </c>
      <c r="F175" s="198">
        <v>26</v>
      </c>
      <c r="G175" s="198">
        <v>7</v>
      </c>
      <c r="H175" s="175">
        <v>3.32</v>
      </c>
      <c r="I175" s="175">
        <v>1149</v>
      </c>
      <c r="J175" s="175"/>
    </row>
    <row r="176" spans="1:10" x14ac:dyDescent="0.3">
      <c r="A176" s="210"/>
      <c r="B176" s="210"/>
      <c r="C176" s="210"/>
      <c r="D176" s="210"/>
      <c r="E176" s="210"/>
      <c r="F176" s="210"/>
      <c r="G176" s="210"/>
      <c r="H176" s="210"/>
      <c r="I176" s="210"/>
      <c r="J176" s="210"/>
    </row>
    <row r="177" spans="1:10" x14ac:dyDescent="0.3">
      <c r="A177" s="175" t="s">
        <v>762</v>
      </c>
      <c r="B177" s="176">
        <v>45198</v>
      </c>
      <c r="C177" s="175" t="s">
        <v>867</v>
      </c>
      <c r="D177" s="175" t="s">
        <v>533</v>
      </c>
      <c r="E177" s="175">
        <v>24.5</v>
      </c>
      <c r="F177" s="175">
        <v>23.9</v>
      </c>
      <c r="G177" s="175">
        <v>5.4</v>
      </c>
      <c r="H177" s="175">
        <v>3.63</v>
      </c>
      <c r="I177" s="175">
        <v>1317</v>
      </c>
      <c r="J177" s="175" t="s">
        <v>936</v>
      </c>
    </row>
    <row r="178" spans="1:10" x14ac:dyDescent="0.3">
      <c r="A178" s="210"/>
      <c r="B178" s="210"/>
      <c r="C178" s="210"/>
      <c r="D178" s="210"/>
      <c r="E178" s="210"/>
      <c r="F178" s="210"/>
      <c r="G178" s="210"/>
      <c r="H178" s="210"/>
      <c r="I178" s="210"/>
      <c r="J178" s="210"/>
    </row>
    <row r="179" spans="1:10" x14ac:dyDescent="0.3">
      <c r="A179" s="175" t="s">
        <v>762</v>
      </c>
      <c r="B179" s="176">
        <v>45199</v>
      </c>
      <c r="C179" s="175" t="s">
        <v>902</v>
      </c>
      <c r="D179" s="175" t="s">
        <v>42</v>
      </c>
      <c r="E179" s="175">
        <v>26.1</v>
      </c>
      <c r="F179" s="175">
        <v>25.2</v>
      </c>
      <c r="G179" s="175">
        <v>7.6</v>
      </c>
      <c r="H179" s="175">
        <v>3.34</v>
      </c>
      <c r="I179" s="175">
        <v>2033</v>
      </c>
      <c r="J179" s="175"/>
    </row>
    <row r="180" spans="1:10" x14ac:dyDescent="0.3">
      <c r="A180" s="210"/>
      <c r="B180" s="210"/>
      <c r="C180" s="210"/>
      <c r="D180" s="210"/>
      <c r="E180" s="210"/>
      <c r="F180" s="210"/>
      <c r="G180" s="210"/>
      <c r="H180" s="210"/>
      <c r="I180" s="210"/>
      <c r="J180" s="210"/>
    </row>
    <row r="181" spans="1:10" x14ac:dyDescent="0.3">
      <c r="A181" s="175" t="s">
        <v>762</v>
      </c>
      <c r="B181" s="176">
        <v>45200</v>
      </c>
      <c r="C181" s="175" t="s">
        <v>937</v>
      </c>
      <c r="D181" s="175" t="s">
        <v>938</v>
      </c>
      <c r="E181" s="175">
        <v>25.3</v>
      </c>
      <c r="F181" s="175">
        <v>24.7</v>
      </c>
      <c r="G181" s="175">
        <v>6.2</v>
      </c>
      <c r="H181" s="175">
        <v>3.56</v>
      </c>
      <c r="I181" s="175">
        <v>1374</v>
      </c>
      <c r="J181" s="175"/>
    </row>
    <row r="182" spans="1:10" x14ac:dyDescent="0.3">
      <c r="A182" s="175" t="s">
        <v>764</v>
      </c>
      <c r="B182" s="176">
        <v>45200</v>
      </c>
      <c r="C182" s="175" t="s">
        <v>939</v>
      </c>
      <c r="D182" s="175" t="s">
        <v>189</v>
      </c>
      <c r="E182" s="175">
        <v>26.1</v>
      </c>
      <c r="F182" s="175">
        <v>25.1</v>
      </c>
      <c r="G182" s="175">
        <v>5.4</v>
      </c>
      <c r="H182" s="175">
        <v>3.52</v>
      </c>
      <c r="I182" s="175">
        <v>985</v>
      </c>
      <c r="J182" s="175" t="s">
        <v>940</v>
      </c>
    </row>
    <row r="183" spans="1:10" x14ac:dyDescent="0.3">
      <c r="A183" s="175" t="s">
        <v>769</v>
      </c>
      <c r="B183" s="176">
        <v>45200</v>
      </c>
      <c r="C183" s="175" t="s">
        <v>941</v>
      </c>
      <c r="D183" s="175" t="s">
        <v>189</v>
      </c>
      <c r="E183" s="175">
        <v>24.9</v>
      </c>
      <c r="F183" s="175">
        <v>23.9</v>
      </c>
      <c r="G183" s="175">
        <v>6.8</v>
      </c>
      <c r="H183" s="269">
        <v>3.4</v>
      </c>
      <c r="I183" s="175">
        <v>976</v>
      </c>
      <c r="J183" s="175" t="s">
        <v>940</v>
      </c>
    </row>
    <row r="184" spans="1:10" x14ac:dyDescent="0.3">
      <c r="A184" s="175" t="s">
        <v>786</v>
      </c>
      <c r="B184" s="176">
        <v>45200</v>
      </c>
      <c r="C184" s="175" t="s">
        <v>942</v>
      </c>
      <c r="D184" s="175" t="s">
        <v>189</v>
      </c>
      <c r="E184" s="198">
        <v>25</v>
      </c>
      <c r="F184" s="175">
        <v>24.1</v>
      </c>
      <c r="G184" s="175">
        <v>6.6</v>
      </c>
      <c r="H184" s="175">
        <v>3.45</v>
      </c>
      <c r="I184" s="175">
        <v>1449</v>
      </c>
      <c r="J184" s="175" t="s">
        <v>940</v>
      </c>
    </row>
    <row r="185" spans="1:10" x14ac:dyDescent="0.3">
      <c r="A185" s="210"/>
      <c r="B185" s="210"/>
      <c r="C185" s="210"/>
      <c r="D185" s="210"/>
      <c r="E185" s="210"/>
      <c r="F185" s="210"/>
      <c r="G185" s="210"/>
      <c r="H185" s="210"/>
      <c r="I185" s="210"/>
      <c r="J185" s="210"/>
    </row>
    <row r="186" spans="1:10" x14ac:dyDescent="0.3">
      <c r="A186" s="175" t="s">
        <v>762</v>
      </c>
      <c r="B186" s="176">
        <v>45201</v>
      </c>
      <c r="C186" s="175" t="s">
        <v>943</v>
      </c>
      <c r="D186" s="175" t="s">
        <v>376</v>
      </c>
      <c r="E186" s="175">
        <v>24.4</v>
      </c>
      <c r="F186" s="175">
        <v>23.7</v>
      </c>
      <c r="G186" s="198">
        <v>6</v>
      </c>
      <c r="H186" s="175">
        <v>3.57</v>
      </c>
      <c r="I186" s="175">
        <v>1165</v>
      </c>
      <c r="J186" s="175" t="s">
        <v>794</v>
      </c>
    </row>
    <row r="187" spans="1:10" x14ac:dyDescent="0.3">
      <c r="A187" s="175" t="s">
        <v>764</v>
      </c>
      <c r="B187" s="176">
        <v>45201</v>
      </c>
      <c r="C187" s="175" t="s">
        <v>944</v>
      </c>
      <c r="D187" s="175" t="s">
        <v>533</v>
      </c>
      <c r="E187" s="175">
        <v>23.6</v>
      </c>
      <c r="F187" s="175">
        <v>22.7</v>
      </c>
      <c r="G187" s="198">
        <v>7</v>
      </c>
      <c r="H187" s="175">
        <v>3.53</v>
      </c>
      <c r="I187" s="175">
        <v>954</v>
      </c>
      <c r="J187" s="175" t="s">
        <v>794</v>
      </c>
    </row>
    <row r="188" spans="1:10" x14ac:dyDescent="0.3">
      <c r="A188" s="175" t="s">
        <v>769</v>
      </c>
      <c r="B188" s="176">
        <v>45201</v>
      </c>
      <c r="C188" s="175" t="s">
        <v>944</v>
      </c>
      <c r="D188" s="175" t="s">
        <v>533</v>
      </c>
      <c r="E188" s="175">
        <v>24.9</v>
      </c>
      <c r="F188" s="175">
        <v>24.2</v>
      </c>
      <c r="G188" s="198">
        <v>5.4</v>
      </c>
      <c r="H188" s="269">
        <v>3.7</v>
      </c>
      <c r="I188" s="175">
        <v>1399</v>
      </c>
      <c r="J188" s="175" t="s">
        <v>796</v>
      </c>
    </row>
    <row r="189" spans="1:10" x14ac:dyDescent="0.3">
      <c r="A189" s="210"/>
      <c r="B189" s="210"/>
      <c r="C189" s="210"/>
      <c r="D189" s="210"/>
      <c r="E189" s="210"/>
      <c r="F189" s="210"/>
      <c r="G189" s="210"/>
      <c r="H189" s="210"/>
      <c r="I189" s="210"/>
      <c r="J189" s="210"/>
    </row>
    <row r="190" spans="1:10" x14ac:dyDescent="0.3">
      <c r="A190" s="175" t="s">
        <v>762</v>
      </c>
      <c r="B190" s="176">
        <v>45202</v>
      </c>
      <c r="C190" s="175" t="s">
        <v>912</v>
      </c>
      <c r="D190" s="175" t="s">
        <v>91</v>
      </c>
      <c r="E190" s="175">
        <v>23.4</v>
      </c>
      <c r="F190" s="175">
        <v>22.9</v>
      </c>
      <c r="G190" s="175">
        <v>6.4</v>
      </c>
      <c r="H190" s="175">
        <v>3.34</v>
      </c>
      <c r="I190" s="175">
        <v>1231</v>
      </c>
      <c r="J190" s="175" t="s">
        <v>945</v>
      </c>
    </row>
    <row r="191" spans="1:10" x14ac:dyDescent="0.3">
      <c r="A191" s="175" t="s">
        <v>764</v>
      </c>
      <c r="B191" s="176">
        <v>45202</v>
      </c>
      <c r="C191" s="175" t="s">
        <v>810</v>
      </c>
      <c r="D191" s="175" t="s">
        <v>563</v>
      </c>
      <c r="E191" s="175">
        <v>24.2</v>
      </c>
      <c r="F191" s="175">
        <v>23.5</v>
      </c>
      <c r="G191" s="175">
        <v>6.8</v>
      </c>
      <c r="H191" s="175">
        <v>3.47</v>
      </c>
      <c r="I191" s="175">
        <v>3308</v>
      </c>
      <c r="J191" s="175" t="s">
        <v>899</v>
      </c>
    </row>
    <row r="192" spans="1:10" x14ac:dyDescent="0.3">
      <c r="A192" s="175" t="s">
        <v>769</v>
      </c>
      <c r="B192" s="176">
        <v>45202</v>
      </c>
      <c r="C192" s="175" t="s">
        <v>810</v>
      </c>
      <c r="D192" s="175" t="s">
        <v>645</v>
      </c>
      <c r="E192" s="175">
        <v>25.8</v>
      </c>
      <c r="F192" s="175">
        <v>25.3</v>
      </c>
      <c r="G192" s="175">
        <v>4.5999999999999996</v>
      </c>
      <c r="H192" s="175">
        <v>3.56</v>
      </c>
      <c r="I192" s="175">
        <v>1468</v>
      </c>
      <c r="J192" s="175" t="s">
        <v>946</v>
      </c>
    </row>
    <row r="193" spans="1:10" x14ac:dyDescent="0.3">
      <c r="A193" s="175" t="s">
        <v>786</v>
      </c>
      <c r="B193" s="176">
        <v>45202</v>
      </c>
      <c r="C193" s="175" t="s">
        <v>907</v>
      </c>
      <c r="D193" s="175" t="s">
        <v>878</v>
      </c>
      <c r="E193" s="175">
        <v>23.7</v>
      </c>
      <c r="F193" s="198">
        <v>23</v>
      </c>
      <c r="G193" s="198">
        <v>6</v>
      </c>
      <c r="H193" s="175">
        <v>3.54</v>
      </c>
      <c r="I193" s="175">
        <v>1935</v>
      </c>
      <c r="J193" s="175" t="s">
        <v>947</v>
      </c>
    </row>
    <row r="194" spans="1:10" x14ac:dyDescent="0.3">
      <c r="A194" s="175" t="s">
        <v>788</v>
      </c>
      <c r="B194" s="176">
        <v>45202</v>
      </c>
      <c r="C194" s="175" t="s">
        <v>870</v>
      </c>
      <c r="D194" s="175" t="s">
        <v>189</v>
      </c>
      <c r="E194" s="175">
        <v>26.7</v>
      </c>
      <c r="F194" s="175">
        <v>25.7</v>
      </c>
      <c r="G194" s="175">
        <v>6.2</v>
      </c>
      <c r="H194" s="175">
        <v>3.55</v>
      </c>
      <c r="I194" s="175">
        <v>1182</v>
      </c>
      <c r="J194" s="175" t="s">
        <v>948</v>
      </c>
    </row>
    <row r="195" spans="1:10" x14ac:dyDescent="0.3">
      <c r="A195" s="175" t="s">
        <v>804</v>
      </c>
      <c r="B195" s="176">
        <v>45202</v>
      </c>
      <c r="C195" s="175" t="s">
        <v>949</v>
      </c>
      <c r="D195" s="175" t="s">
        <v>376</v>
      </c>
      <c r="E195" s="175">
        <v>25.2</v>
      </c>
      <c r="F195" s="175">
        <v>24.3</v>
      </c>
      <c r="G195" s="175">
        <v>5.2</v>
      </c>
      <c r="H195" s="175">
        <v>3.66</v>
      </c>
      <c r="I195" s="175">
        <v>1096</v>
      </c>
      <c r="J195" s="175"/>
    </row>
    <row r="196" spans="1:10" x14ac:dyDescent="0.3">
      <c r="A196" s="175" t="s">
        <v>893</v>
      </c>
      <c r="B196" s="176">
        <v>45202</v>
      </c>
      <c r="C196" s="175" t="s">
        <v>874</v>
      </c>
      <c r="D196" s="175" t="s">
        <v>640</v>
      </c>
      <c r="E196" s="175">
        <v>26.3</v>
      </c>
      <c r="F196" s="175">
        <v>25.4</v>
      </c>
      <c r="G196" s="175">
        <v>6.6</v>
      </c>
      <c r="H196" s="175">
        <v>3.43</v>
      </c>
      <c r="I196" s="175">
        <v>1422</v>
      </c>
      <c r="J196" s="175"/>
    </row>
    <row r="197" spans="1:10" x14ac:dyDescent="0.3">
      <c r="A197" s="210"/>
      <c r="B197" s="210"/>
      <c r="C197" s="210"/>
      <c r="D197" s="210"/>
      <c r="E197" s="210"/>
      <c r="F197" s="210"/>
      <c r="G197" s="210"/>
      <c r="H197" s="210"/>
      <c r="I197" s="210"/>
      <c r="J197" s="210"/>
    </row>
    <row r="198" spans="1:10" x14ac:dyDescent="0.3">
      <c r="A198" s="175" t="s">
        <v>762</v>
      </c>
      <c r="B198" s="176">
        <v>45203</v>
      </c>
      <c r="C198" s="175" t="s">
        <v>950</v>
      </c>
      <c r="D198" s="175" t="s">
        <v>189</v>
      </c>
      <c r="E198" s="175">
        <v>24.8</v>
      </c>
      <c r="F198" s="175">
        <v>24.7</v>
      </c>
      <c r="G198" s="175">
        <v>5.8</v>
      </c>
      <c r="H198" s="175">
        <v>3.56</v>
      </c>
      <c r="I198" s="175">
        <v>1231</v>
      </c>
      <c r="J198" s="175"/>
    </row>
    <row r="199" spans="1:10" x14ac:dyDescent="0.3">
      <c r="A199" s="210"/>
      <c r="B199" s="210"/>
      <c r="C199" s="210"/>
      <c r="D199" s="210"/>
      <c r="E199" s="210"/>
      <c r="F199" s="210"/>
      <c r="G199" s="210"/>
      <c r="H199" s="210"/>
      <c r="I199" s="210"/>
      <c r="J199" s="210"/>
    </row>
    <row r="200" spans="1:10" x14ac:dyDescent="0.3">
      <c r="A200" s="175" t="s">
        <v>762</v>
      </c>
      <c r="B200" s="176">
        <v>45204</v>
      </c>
      <c r="C200" s="175" t="s">
        <v>951</v>
      </c>
      <c r="D200" s="175" t="s">
        <v>189</v>
      </c>
      <c r="E200" s="175">
        <v>25.1</v>
      </c>
      <c r="F200" s="175">
        <v>24.3</v>
      </c>
      <c r="G200" s="198">
        <v>6</v>
      </c>
      <c r="H200" s="175">
        <v>3.66</v>
      </c>
      <c r="I200" s="175">
        <v>1845</v>
      </c>
      <c r="J200" s="175" t="s">
        <v>952</v>
      </c>
    </row>
    <row r="201" spans="1:10" x14ac:dyDescent="0.3">
      <c r="A201" s="175" t="s">
        <v>764</v>
      </c>
      <c r="B201" s="176">
        <v>45204</v>
      </c>
      <c r="C201" s="175" t="s">
        <v>908</v>
      </c>
      <c r="D201" s="175" t="s">
        <v>189</v>
      </c>
      <c r="E201" s="175">
        <v>24.5</v>
      </c>
      <c r="F201" s="175">
        <v>23.8</v>
      </c>
      <c r="G201" s="198">
        <v>7</v>
      </c>
      <c r="H201" s="175">
        <v>3.52</v>
      </c>
      <c r="I201" s="175">
        <v>2188</v>
      </c>
      <c r="J201" s="175" t="s">
        <v>945</v>
      </c>
    </row>
    <row r="202" spans="1:10" x14ac:dyDescent="0.3">
      <c r="A202" s="175" t="s">
        <v>769</v>
      </c>
      <c r="B202" s="176">
        <v>45204</v>
      </c>
      <c r="C202" s="175" t="s">
        <v>870</v>
      </c>
      <c r="D202" s="175" t="s">
        <v>189</v>
      </c>
      <c r="E202" s="175">
        <v>23.8</v>
      </c>
      <c r="F202" s="175">
        <v>22.7</v>
      </c>
      <c r="G202" s="175">
        <v>7.4</v>
      </c>
      <c r="H202" s="175">
        <v>3.42</v>
      </c>
      <c r="I202" s="175">
        <v>1447</v>
      </c>
      <c r="J202" s="175" t="s">
        <v>953</v>
      </c>
    </row>
    <row r="203" spans="1:10" x14ac:dyDescent="0.3">
      <c r="A203" s="175" t="s">
        <v>786</v>
      </c>
      <c r="B203" s="176">
        <v>45204</v>
      </c>
      <c r="C203" s="175" t="s">
        <v>870</v>
      </c>
      <c r="D203" s="175" t="s">
        <v>189</v>
      </c>
      <c r="E203" s="175">
        <v>24.3</v>
      </c>
      <c r="F203" s="175">
        <v>23.3</v>
      </c>
      <c r="G203" s="175">
        <v>6.8</v>
      </c>
      <c r="H203" s="175">
        <v>3.52</v>
      </c>
      <c r="I203" s="175">
        <v>1712</v>
      </c>
      <c r="J203" s="175" t="s">
        <v>954</v>
      </c>
    </row>
    <row r="204" spans="1:10" x14ac:dyDescent="0.3">
      <c r="A204" s="175" t="s">
        <v>788</v>
      </c>
      <c r="B204" s="176">
        <v>45204</v>
      </c>
      <c r="C204" s="175" t="s">
        <v>925</v>
      </c>
      <c r="D204" s="175" t="s">
        <v>878</v>
      </c>
      <c r="E204" s="175">
        <v>25.2</v>
      </c>
      <c r="F204" s="175">
        <v>24.2</v>
      </c>
      <c r="G204" s="175">
        <v>7.2</v>
      </c>
      <c r="H204" s="175">
        <v>3.55</v>
      </c>
      <c r="I204" s="175">
        <v>1463</v>
      </c>
      <c r="J204" s="175" t="s">
        <v>955</v>
      </c>
    </row>
    <row r="205" spans="1:10" x14ac:dyDescent="0.3">
      <c r="A205" s="210"/>
      <c r="B205" s="210"/>
      <c r="C205" s="210"/>
      <c r="D205" s="210"/>
      <c r="E205" s="210"/>
      <c r="F205" s="210"/>
      <c r="G205" s="210"/>
      <c r="H205" s="210"/>
      <c r="I205" s="210"/>
      <c r="J205" s="210"/>
    </row>
    <row r="206" spans="1:10" x14ac:dyDescent="0.3">
      <c r="A206" s="175" t="s">
        <v>762</v>
      </c>
      <c r="B206" s="176">
        <v>45205</v>
      </c>
      <c r="C206" s="175" t="s">
        <v>956</v>
      </c>
      <c r="D206" s="175" t="s">
        <v>957</v>
      </c>
      <c r="E206" s="175">
        <v>21.1</v>
      </c>
      <c r="F206" s="175">
        <v>20.2</v>
      </c>
      <c r="G206" s="175">
        <v>7.6</v>
      </c>
      <c r="H206" s="175">
        <v>3.23</v>
      </c>
      <c r="I206" s="175">
        <v>1520</v>
      </c>
      <c r="J206" s="175" t="s">
        <v>958</v>
      </c>
    </row>
    <row r="207" spans="1:10" x14ac:dyDescent="0.3">
      <c r="A207" s="175" t="s">
        <v>764</v>
      </c>
      <c r="B207" s="176">
        <v>45205</v>
      </c>
      <c r="C207" s="175" t="s">
        <v>956</v>
      </c>
      <c r="D207" s="175" t="s">
        <v>957</v>
      </c>
      <c r="E207" s="198">
        <v>19</v>
      </c>
      <c r="F207" s="175">
        <v>18.399999999999999</v>
      </c>
      <c r="G207" s="175">
        <v>8.1999999999999993</v>
      </c>
      <c r="H207" s="175">
        <v>3.12</v>
      </c>
      <c r="I207" s="175">
        <v>1861</v>
      </c>
      <c r="J207" s="175" t="s">
        <v>796</v>
      </c>
    </row>
    <row r="208" spans="1:10" x14ac:dyDescent="0.3">
      <c r="A208" s="175" t="s">
        <v>769</v>
      </c>
      <c r="B208" s="176">
        <v>45205</v>
      </c>
      <c r="C208" s="175" t="s">
        <v>908</v>
      </c>
      <c r="D208" s="175" t="s">
        <v>189</v>
      </c>
      <c r="E208" s="175">
        <v>24.9</v>
      </c>
      <c r="F208" s="175">
        <v>24.1</v>
      </c>
      <c r="G208" s="175">
        <v>7.2</v>
      </c>
      <c r="H208" s="175">
        <v>3.52</v>
      </c>
      <c r="I208" s="175">
        <v>1985</v>
      </c>
      <c r="J208" s="175"/>
    </row>
    <row r="209" spans="1:10" x14ac:dyDescent="0.3">
      <c r="A209" s="175" t="s">
        <v>786</v>
      </c>
      <c r="B209" s="176">
        <v>45205</v>
      </c>
      <c r="C209" s="175" t="s">
        <v>949</v>
      </c>
      <c r="D209" s="175" t="s">
        <v>350</v>
      </c>
      <c r="E209" s="175">
        <v>23.4</v>
      </c>
      <c r="F209" s="175">
        <v>22.5</v>
      </c>
      <c r="G209" s="175">
        <v>4.2</v>
      </c>
      <c r="H209" s="175">
        <v>3.72</v>
      </c>
      <c r="I209" s="175">
        <v>1025</v>
      </c>
      <c r="J209" s="175"/>
    </row>
    <row r="210" spans="1:10" x14ac:dyDescent="0.3">
      <c r="A210" s="175" t="s">
        <v>788</v>
      </c>
      <c r="B210" s="176">
        <v>45205</v>
      </c>
      <c r="C210" s="175" t="s">
        <v>944</v>
      </c>
      <c r="D210" s="175" t="s">
        <v>533</v>
      </c>
      <c r="E210" s="198">
        <v>25</v>
      </c>
      <c r="F210" s="198">
        <v>24</v>
      </c>
      <c r="G210" s="175">
        <v>5.6</v>
      </c>
      <c r="H210" s="175">
        <v>3.63</v>
      </c>
      <c r="I210" s="175">
        <v>1108</v>
      </c>
      <c r="J210" s="175" t="s">
        <v>959</v>
      </c>
    </row>
    <row r="211" spans="1:10" x14ac:dyDescent="0.3">
      <c r="A211" s="175" t="s">
        <v>804</v>
      </c>
      <c r="B211" s="176">
        <v>45205</v>
      </c>
      <c r="C211" s="175" t="s">
        <v>960</v>
      </c>
      <c r="D211" s="175" t="s">
        <v>533</v>
      </c>
      <c r="E211" s="175">
        <v>24.8</v>
      </c>
      <c r="F211" s="175">
        <v>23.8</v>
      </c>
      <c r="G211" s="175">
        <v>5.4</v>
      </c>
      <c r="H211" s="175">
        <v>3.65</v>
      </c>
      <c r="I211" s="175">
        <v>1023</v>
      </c>
      <c r="J211" s="175" t="s">
        <v>961</v>
      </c>
    </row>
    <row r="212" spans="1:10" x14ac:dyDescent="0.3">
      <c r="A212" s="175" t="s">
        <v>893</v>
      </c>
      <c r="B212" s="176">
        <v>45205</v>
      </c>
      <c r="C212" s="175" t="s">
        <v>962</v>
      </c>
      <c r="D212" s="175" t="s">
        <v>878</v>
      </c>
      <c r="E212" s="175">
        <v>24.6</v>
      </c>
      <c r="F212" s="175">
        <v>23.5</v>
      </c>
      <c r="G212" s="175">
        <v>6.6</v>
      </c>
      <c r="H212" s="175">
        <v>3.6</v>
      </c>
      <c r="I212" s="175">
        <v>1534</v>
      </c>
      <c r="J212" s="175" t="s">
        <v>963</v>
      </c>
    </row>
    <row r="213" spans="1:10" x14ac:dyDescent="0.3">
      <c r="A213" s="210"/>
      <c r="B213" s="210"/>
      <c r="C213" s="210"/>
      <c r="D213" s="210"/>
      <c r="E213" s="210"/>
      <c r="F213" s="210"/>
      <c r="G213" s="210"/>
      <c r="H213" s="210"/>
      <c r="I213" s="210"/>
      <c r="J213" s="210"/>
    </row>
    <row r="214" spans="1:10" x14ac:dyDescent="0.3">
      <c r="A214" s="175" t="s">
        <v>762</v>
      </c>
      <c r="B214" s="176">
        <v>45206</v>
      </c>
      <c r="C214" s="175" t="s">
        <v>964</v>
      </c>
      <c r="D214" s="175" t="s">
        <v>189</v>
      </c>
      <c r="E214" s="175">
        <v>24.6</v>
      </c>
      <c r="F214" s="175">
        <v>23.7</v>
      </c>
      <c r="G214" s="175"/>
      <c r="H214" s="175"/>
      <c r="I214" s="175">
        <v>2244</v>
      </c>
      <c r="J214" s="175" t="s">
        <v>796</v>
      </c>
    </row>
    <row r="215" spans="1:10" x14ac:dyDescent="0.3">
      <c r="A215" s="175" t="s">
        <v>764</v>
      </c>
      <c r="B215" s="176">
        <v>45206</v>
      </c>
      <c r="C215" s="175" t="s">
        <v>965</v>
      </c>
      <c r="D215" s="175" t="s">
        <v>189</v>
      </c>
      <c r="E215" s="175">
        <v>24.2</v>
      </c>
      <c r="F215" s="175">
        <v>25.2</v>
      </c>
      <c r="G215" s="175"/>
      <c r="H215" s="175"/>
      <c r="I215" s="175">
        <v>2012</v>
      </c>
      <c r="J215" s="175" t="s">
        <v>794</v>
      </c>
    </row>
    <row r="216" spans="1:10" x14ac:dyDescent="0.3">
      <c r="A216" s="175" t="s">
        <v>769</v>
      </c>
      <c r="B216" s="176">
        <v>45206</v>
      </c>
      <c r="C216" s="175" t="s">
        <v>870</v>
      </c>
      <c r="D216" s="175" t="s">
        <v>189</v>
      </c>
      <c r="E216" s="175">
        <v>23.3</v>
      </c>
      <c r="F216" s="175">
        <v>24.3</v>
      </c>
      <c r="G216" s="175"/>
      <c r="H216" s="175"/>
      <c r="I216" s="175">
        <v>1784</v>
      </c>
      <c r="J216" s="175" t="s">
        <v>966</v>
      </c>
    </row>
    <row r="217" spans="1:10" x14ac:dyDescent="0.3">
      <c r="A217" s="175" t="s">
        <v>786</v>
      </c>
      <c r="B217" s="411">
        <v>45206</v>
      </c>
      <c r="C217" s="175" t="s">
        <v>870</v>
      </c>
      <c r="D217" s="175" t="s">
        <v>189</v>
      </c>
      <c r="E217" s="175">
        <v>24.8</v>
      </c>
      <c r="F217" s="175">
        <v>23.8</v>
      </c>
      <c r="G217" s="175"/>
      <c r="H217" s="175"/>
      <c r="I217" s="175">
        <v>1199</v>
      </c>
      <c r="J217" s="175" t="s">
        <v>967</v>
      </c>
    </row>
    <row r="218" spans="1:10" x14ac:dyDescent="0.3">
      <c r="A218" s="175" t="s">
        <v>788</v>
      </c>
      <c r="B218" s="176">
        <v>45206</v>
      </c>
      <c r="C218" s="175" t="s">
        <v>968</v>
      </c>
      <c r="D218" s="175" t="s">
        <v>852</v>
      </c>
      <c r="E218" s="175">
        <v>25.8</v>
      </c>
      <c r="F218" s="175">
        <v>24.6</v>
      </c>
      <c r="G218" s="175"/>
      <c r="H218" s="175"/>
      <c r="I218" s="175">
        <v>2627</v>
      </c>
      <c r="J218" s="175" t="s">
        <v>969</v>
      </c>
    </row>
    <row r="219" spans="1:10" x14ac:dyDescent="0.3">
      <c r="A219" s="175" t="s">
        <v>804</v>
      </c>
      <c r="B219" s="176">
        <v>45206</v>
      </c>
      <c r="C219" s="175" t="s">
        <v>829</v>
      </c>
      <c r="D219" s="175" t="s">
        <v>878</v>
      </c>
      <c r="E219" s="175">
        <v>23.2</v>
      </c>
      <c r="F219" s="175">
        <v>22.4</v>
      </c>
      <c r="G219" s="175"/>
      <c r="H219" s="175"/>
      <c r="I219" s="175">
        <v>2240</v>
      </c>
      <c r="J219" s="175" t="s">
        <v>970</v>
      </c>
    </row>
    <row r="220" spans="1:10" x14ac:dyDescent="0.3">
      <c r="A220" s="210"/>
      <c r="B220" s="210"/>
      <c r="C220" s="210"/>
      <c r="D220" s="210"/>
      <c r="E220" s="210"/>
      <c r="F220" s="210"/>
      <c r="G220" s="210"/>
      <c r="H220" s="210"/>
      <c r="I220" s="210"/>
      <c r="J220" s="210"/>
    </row>
    <row r="221" spans="1:10" x14ac:dyDescent="0.3">
      <c r="A221" s="175" t="s">
        <v>762</v>
      </c>
      <c r="B221" s="176">
        <v>45207</v>
      </c>
      <c r="C221" s="175" t="s">
        <v>971</v>
      </c>
      <c r="D221" s="175" t="s">
        <v>972</v>
      </c>
      <c r="E221" s="175">
        <v>25.9</v>
      </c>
      <c r="F221" s="175">
        <v>25.3</v>
      </c>
      <c r="G221" s="175">
        <v>5.6</v>
      </c>
      <c r="H221" s="175">
        <v>3.61</v>
      </c>
      <c r="I221" s="175">
        <v>2162</v>
      </c>
      <c r="J221" s="175" t="s">
        <v>973</v>
      </c>
    </row>
    <row r="222" spans="1:10" x14ac:dyDescent="0.3">
      <c r="A222" s="210"/>
      <c r="B222" s="210"/>
      <c r="C222" s="210"/>
      <c r="D222" s="210"/>
      <c r="E222" s="210"/>
      <c r="F222" s="210"/>
      <c r="G222" s="210"/>
      <c r="H222" s="210"/>
      <c r="I222" s="210"/>
      <c r="J222" s="210"/>
    </row>
    <row r="223" spans="1:10" x14ac:dyDescent="0.3">
      <c r="A223" s="175" t="s">
        <v>762</v>
      </c>
      <c r="B223" s="413">
        <v>45208</v>
      </c>
      <c r="C223" s="175" t="s">
        <v>974</v>
      </c>
      <c r="D223" s="175" t="s">
        <v>189</v>
      </c>
      <c r="E223" s="175">
        <v>24.1</v>
      </c>
      <c r="F223" s="175">
        <v>23.1</v>
      </c>
      <c r="G223" s="198">
        <v>6</v>
      </c>
      <c r="H223" s="175">
        <v>3.57</v>
      </c>
      <c r="I223" s="175">
        <v>1399</v>
      </c>
      <c r="J223" s="175" t="s">
        <v>909</v>
      </c>
    </row>
    <row r="224" spans="1:10" x14ac:dyDescent="0.3">
      <c r="A224" s="175" t="s">
        <v>764</v>
      </c>
      <c r="B224" s="413">
        <v>45208</v>
      </c>
      <c r="C224" s="175" t="s">
        <v>975</v>
      </c>
      <c r="D224" s="175" t="s">
        <v>189</v>
      </c>
      <c r="E224" s="175">
        <v>26.3</v>
      </c>
      <c r="F224" s="175">
        <v>25.2</v>
      </c>
      <c r="G224" s="175">
        <v>6.2</v>
      </c>
      <c r="H224" s="175">
        <v>3.58</v>
      </c>
      <c r="I224" s="175">
        <v>1196</v>
      </c>
      <c r="J224" s="175" t="s">
        <v>796</v>
      </c>
    </row>
    <row r="225" spans="1:10" x14ac:dyDescent="0.3">
      <c r="A225" s="175" t="s">
        <v>769</v>
      </c>
      <c r="B225" s="413">
        <v>45208</v>
      </c>
      <c r="C225" s="175" t="s">
        <v>975</v>
      </c>
      <c r="D225" s="175" t="s">
        <v>189</v>
      </c>
      <c r="E225" s="175">
        <v>24.8</v>
      </c>
      <c r="F225" s="175">
        <v>23.6</v>
      </c>
      <c r="G225" s="175">
        <v>7.2</v>
      </c>
      <c r="H225" s="175">
        <v>3.51</v>
      </c>
      <c r="I225" s="175">
        <v>1468</v>
      </c>
      <c r="J225" s="175" t="s">
        <v>794</v>
      </c>
    </row>
    <row r="226" spans="1:10" x14ac:dyDescent="0.3">
      <c r="A226" s="175" t="s">
        <v>786</v>
      </c>
      <c r="B226" s="413">
        <v>45208</v>
      </c>
      <c r="C226" s="175" t="s">
        <v>815</v>
      </c>
      <c r="D226" s="175" t="s">
        <v>189</v>
      </c>
      <c r="E226" s="198">
        <v>22</v>
      </c>
      <c r="F226" s="175">
        <v>20.7</v>
      </c>
      <c r="G226" s="175">
        <v>7.8</v>
      </c>
      <c r="H226" s="175">
        <v>3.45</v>
      </c>
      <c r="I226" s="175">
        <v>2256</v>
      </c>
      <c r="J226" s="175"/>
    </row>
    <row r="227" spans="1:10" x14ac:dyDescent="0.3">
      <c r="A227" s="175" t="s">
        <v>788</v>
      </c>
      <c r="B227" s="176">
        <v>45208</v>
      </c>
      <c r="C227" s="175" t="s">
        <v>810</v>
      </c>
      <c r="D227" s="175" t="s">
        <v>563</v>
      </c>
      <c r="E227" s="175">
        <v>25.1</v>
      </c>
      <c r="F227" s="175">
        <v>24.3</v>
      </c>
      <c r="G227" s="198">
        <v>7</v>
      </c>
      <c r="H227" s="175">
        <v>3.54</v>
      </c>
      <c r="I227" s="175">
        <v>2706</v>
      </c>
      <c r="J227" s="175"/>
    </row>
    <row r="228" spans="1:10" x14ac:dyDescent="0.3">
      <c r="A228" s="210"/>
      <c r="B228" s="210"/>
      <c r="C228" s="210"/>
      <c r="D228" s="210"/>
      <c r="E228" s="210"/>
      <c r="F228" s="210"/>
      <c r="G228" s="210"/>
      <c r="H228" s="210"/>
      <c r="I228" s="210"/>
      <c r="J228" s="210"/>
    </row>
    <row r="229" spans="1:10" x14ac:dyDescent="0.3">
      <c r="A229" s="175" t="s">
        <v>762</v>
      </c>
      <c r="B229" s="176">
        <v>45209</v>
      </c>
      <c r="C229" s="175" t="s">
        <v>976</v>
      </c>
      <c r="D229" s="175" t="s">
        <v>189</v>
      </c>
      <c r="E229" s="175">
        <v>25.5</v>
      </c>
      <c r="F229" s="175">
        <v>24.7</v>
      </c>
      <c r="G229" s="175">
        <v>6.6</v>
      </c>
      <c r="H229" s="269">
        <v>3.6</v>
      </c>
      <c r="I229" s="175">
        <v>1988</v>
      </c>
      <c r="J229" s="175" t="s">
        <v>796</v>
      </c>
    </row>
    <row r="230" spans="1:10" x14ac:dyDescent="0.3">
      <c r="A230" s="175" t="s">
        <v>977</v>
      </c>
      <c r="B230" s="176">
        <v>45209</v>
      </c>
      <c r="C230" s="175" t="s">
        <v>978</v>
      </c>
      <c r="D230" s="175" t="s">
        <v>640</v>
      </c>
      <c r="E230" s="175">
        <v>29.3</v>
      </c>
      <c r="F230" s="175">
        <v>28.4</v>
      </c>
      <c r="G230" s="198">
        <v>8</v>
      </c>
      <c r="H230" s="175">
        <v>3.44</v>
      </c>
      <c r="I230" s="175">
        <v>1478</v>
      </c>
      <c r="J230" s="175" t="s">
        <v>979</v>
      </c>
    </row>
    <row r="231" spans="1:10" x14ac:dyDescent="0.3">
      <c r="A231" s="175" t="s">
        <v>980</v>
      </c>
      <c r="B231" s="176">
        <v>45209</v>
      </c>
      <c r="C231" s="175" t="s">
        <v>981</v>
      </c>
      <c r="D231" s="175" t="s">
        <v>982</v>
      </c>
      <c r="E231" s="175">
        <v>23.1</v>
      </c>
      <c r="F231" s="175">
        <v>22.2</v>
      </c>
      <c r="G231" s="175">
        <v>6.8</v>
      </c>
      <c r="H231" s="175">
        <v>3.41</v>
      </c>
      <c r="I231" s="175">
        <v>1479</v>
      </c>
      <c r="J231" s="175" t="s">
        <v>983</v>
      </c>
    </row>
    <row r="232" spans="1:10" x14ac:dyDescent="0.3">
      <c r="A232" s="210"/>
      <c r="B232" s="210"/>
      <c r="C232" s="210"/>
      <c r="D232" s="210"/>
      <c r="E232" s="210"/>
      <c r="F232" s="210"/>
      <c r="G232" s="210"/>
      <c r="H232" s="210"/>
      <c r="I232" s="210"/>
      <c r="J232" s="210"/>
    </row>
    <row r="233" spans="1:10" x14ac:dyDescent="0.3">
      <c r="A233" s="175" t="s">
        <v>762</v>
      </c>
      <c r="B233" s="176">
        <v>45210</v>
      </c>
      <c r="C233" s="175" t="s">
        <v>984</v>
      </c>
      <c r="D233" s="175" t="s">
        <v>878</v>
      </c>
      <c r="E233" s="175">
        <v>24.8</v>
      </c>
      <c r="F233" s="175">
        <v>24.1</v>
      </c>
      <c r="G233" s="175">
        <v>5.6</v>
      </c>
      <c r="H233" s="175">
        <v>3.69</v>
      </c>
      <c r="I233" s="175">
        <v>1887</v>
      </c>
      <c r="J233" s="175" t="s">
        <v>985</v>
      </c>
    </row>
    <row r="234" spans="1:10" x14ac:dyDescent="0.3">
      <c r="A234" s="175" t="s">
        <v>764</v>
      </c>
      <c r="B234" s="176">
        <v>45210</v>
      </c>
      <c r="C234" s="175" t="s">
        <v>986</v>
      </c>
      <c r="D234" s="175" t="s">
        <v>350</v>
      </c>
      <c r="E234" s="175">
        <v>23.6</v>
      </c>
      <c r="F234" s="198">
        <v>23</v>
      </c>
      <c r="G234" s="198">
        <v>4</v>
      </c>
      <c r="H234" s="175">
        <v>3.74</v>
      </c>
      <c r="I234" s="175">
        <v>972</v>
      </c>
      <c r="J234" s="175"/>
    </row>
    <row r="235" spans="1:10" x14ac:dyDescent="0.3">
      <c r="A235" s="175" t="s">
        <v>769</v>
      </c>
      <c r="B235" s="176">
        <v>45210</v>
      </c>
      <c r="C235" s="175" t="s">
        <v>987</v>
      </c>
      <c r="D235" s="175" t="s">
        <v>189</v>
      </c>
      <c r="E235" s="198">
        <v>25</v>
      </c>
      <c r="F235" s="175">
        <v>24.1</v>
      </c>
      <c r="G235" s="175">
        <v>6.6</v>
      </c>
      <c r="H235" s="175">
        <v>3.56</v>
      </c>
      <c r="I235" s="175">
        <v>1792</v>
      </c>
      <c r="J235" s="175" t="s">
        <v>946</v>
      </c>
    </row>
    <row r="236" spans="1:10" x14ac:dyDescent="0.3">
      <c r="A236" s="175" t="s">
        <v>786</v>
      </c>
      <c r="B236" s="176">
        <v>45210</v>
      </c>
      <c r="C236" s="175" t="s">
        <v>808</v>
      </c>
      <c r="D236" s="175" t="s">
        <v>563</v>
      </c>
      <c r="E236" s="175">
        <v>24.4</v>
      </c>
      <c r="F236" s="175">
        <v>23.7</v>
      </c>
      <c r="G236" s="175">
        <v>5.8</v>
      </c>
      <c r="H236" s="175">
        <v>3.58</v>
      </c>
      <c r="I236" s="175">
        <v>2057</v>
      </c>
      <c r="J236" s="175" t="s">
        <v>946</v>
      </c>
    </row>
    <row r="237" spans="1:10" x14ac:dyDescent="0.3">
      <c r="A237" s="175" t="s">
        <v>788</v>
      </c>
      <c r="B237" s="176">
        <v>45210</v>
      </c>
      <c r="C237" s="175" t="s">
        <v>988</v>
      </c>
      <c r="D237" s="175" t="s">
        <v>982</v>
      </c>
      <c r="E237" s="175">
        <v>24</v>
      </c>
      <c r="F237" s="175">
        <v>24.3</v>
      </c>
      <c r="G237" s="175">
        <v>6.2</v>
      </c>
      <c r="H237" s="175">
        <v>3.53</v>
      </c>
      <c r="I237" s="175">
        <v>15.73</v>
      </c>
      <c r="J237" s="175" t="s">
        <v>989</v>
      </c>
    </row>
    <row r="238" spans="1:10" x14ac:dyDescent="0.3">
      <c r="A238" s="210"/>
      <c r="B238" s="210"/>
      <c r="C238" s="210"/>
      <c r="D238" s="210"/>
      <c r="E238" s="210"/>
      <c r="F238" s="210"/>
      <c r="G238" s="210"/>
      <c r="H238" s="210"/>
      <c r="I238" s="210"/>
      <c r="J238" s="210"/>
    </row>
    <row r="239" spans="1:10" x14ac:dyDescent="0.3">
      <c r="A239" s="175" t="s">
        <v>762</v>
      </c>
      <c r="B239" s="176">
        <v>45211</v>
      </c>
      <c r="C239" s="175" t="s">
        <v>814</v>
      </c>
      <c r="D239" s="175" t="s">
        <v>189</v>
      </c>
      <c r="E239" s="175">
        <v>24.4</v>
      </c>
      <c r="F239" s="175">
        <v>23.4</v>
      </c>
      <c r="G239" s="175">
        <v>5.8</v>
      </c>
      <c r="H239" s="175">
        <v>3.85</v>
      </c>
      <c r="I239" s="175">
        <v>2570</v>
      </c>
      <c r="J239" s="175" t="s">
        <v>796</v>
      </c>
    </row>
    <row r="240" spans="1:10" x14ac:dyDescent="0.3">
      <c r="A240" s="175" t="s">
        <v>764</v>
      </c>
      <c r="B240" s="176">
        <v>45211</v>
      </c>
      <c r="C240" s="175" t="s">
        <v>870</v>
      </c>
      <c r="D240" s="175" t="s">
        <v>189</v>
      </c>
      <c r="E240" s="175">
        <v>24.7</v>
      </c>
      <c r="F240" s="175">
        <v>23.7</v>
      </c>
      <c r="G240" s="175">
        <v>7.2</v>
      </c>
      <c r="H240" s="269">
        <v>3.5</v>
      </c>
      <c r="I240" s="175">
        <v>1345</v>
      </c>
      <c r="J240" s="175" t="s">
        <v>966</v>
      </c>
    </row>
    <row r="241" spans="1:10" x14ac:dyDescent="0.3">
      <c r="A241" s="175" t="s">
        <v>769</v>
      </c>
      <c r="B241" s="176">
        <v>45211</v>
      </c>
      <c r="C241" s="176" t="s">
        <v>870</v>
      </c>
      <c r="D241" s="175" t="s">
        <v>189</v>
      </c>
      <c r="E241" s="175">
        <v>25.3</v>
      </c>
      <c r="F241" s="175">
        <v>24.1</v>
      </c>
      <c r="G241" s="198">
        <v>8</v>
      </c>
      <c r="H241" s="175">
        <v>3.43</v>
      </c>
      <c r="I241" s="175">
        <v>1070</v>
      </c>
      <c r="J241" s="175" t="s">
        <v>953</v>
      </c>
    </row>
    <row r="242" spans="1:10" x14ac:dyDescent="0.3">
      <c r="A242" s="175" t="s">
        <v>786</v>
      </c>
      <c r="B242" s="176">
        <v>45211</v>
      </c>
      <c r="C242" s="175" t="s">
        <v>870</v>
      </c>
      <c r="D242" s="175" t="s">
        <v>189</v>
      </c>
      <c r="E242" s="175">
        <v>25.9</v>
      </c>
      <c r="F242" s="198">
        <v>25</v>
      </c>
      <c r="G242" s="175">
        <v>7.4</v>
      </c>
      <c r="H242" s="175">
        <v>3.44</v>
      </c>
      <c r="I242" s="175">
        <v>1261</v>
      </c>
      <c r="J242" s="175" t="s">
        <v>967</v>
      </c>
    </row>
    <row r="243" spans="1:10" x14ac:dyDescent="0.3">
      <c r="A243" s="175" t="s">
        <v>788</v>
      </c>
      <c r="B243" s="176">
        <v>45211</v>
      </c>
      <c r="C243" s="175" t="s">
        <v>990</v>
      </c>
      <c r="D243" s="175" t="s">
        <v>350</v>
      </c>
      <c r="E243" s="175">
        <v>23.7</v>
      </c>
      <c r="F243" s="198">
        <v>23</v>
      </c>
      <c r="G243" s="175">
        <v>4.5999999999999996</v>
      </c>
      <c r="H243" s="269">
        <v>3.6</v>
      </c>
      <c r="I243" s="175">
        <v>1263</v>
      </c>
      <c r="J243" s="175" t="s">
        <v>798</v>
      </c>
    </row>
    <row r="244" spans="1:10" x14ac:dyDescent="0.3">
      <c r="A244" s="175" t="s">
        <v>804</v>
      </c>
      <c r="B244" s="176">
        <v>45211</v>
      </c>
      <c r="C244" s="175" t="s">
        <v>922</v>
      </c>
      <c r="D244" s="175" t="s">
        <v>189</v>
      </c>
      <c r="E244" s="175">
        <v>24.6</v>
      </c>
      <c r="F244" s="175">
        <v>23.7</v>
      </c>
      <c r="G244" s="175">
        <v>5.6</v>
      </c>
      <c r="H244" s="175">
        <v>3.66</v>
      </c>
      <c r="I244" s="175">
        <v>1624</v>
      </c>
      <c r="J244" s="175" t="s">
        <v>991</v>
      </c>
    </row>
    <row r="245" spans="1:10" x14ac:dyDescent="0.3">
      <c r="A245" s="175" t="s">
        <v>893</v>
      </c>
      <c r="B245" s="176">
        <v>45211</v>
      </c>
      <c r="C245" s="175" t="s">
        <v>944</v>
      </c>
      <c r="D245" s="175" t="s">
        <v>533</v>
      </c>
      <c r="E245" s="175">
        <v>25.6</v>
      </c>
      <c r="F245" s="175">
        <v>24.4</v>
      </c>
      <c r="G245" s="175">
        <v>5.6</v>
      </c>
      <c r="H245" s="175">
        <v>3.74</v>
      </c>
      <c r="I245" s="175">
        <v>1262</v>
      </c>
      <c r="J245" s="175" t="s">
        <v>992</v>
      </c>
    </row>
    <row r="246" spans="1:10" x14ac:dyDescent="0.3">
      <c r="A246" s="210"/>
      <c r="B246" s="210"/>
      <c r="C246" s="210"/>
      <c r="D246" s="210"/>
      <c r="E246" s="210"/>
      <c r="F246" s="210"/>
      <c r="G246" s="210"/>
      <c r="H246" s="210"/>
      <c r="I246" s="210"/>
      <c r="J246" s="210"/>
    </row>
    <row r="247" spans="1:10" x14ac:dyDescent="0.3">
      <c r="A247" s="176" t="s">
        <v>762</v>
      </c>
      <c r="B247" s="176">
        <v>45212</v>
      </c>
      <c r="C247" s="175" t="s">
        <v>993</v>
      </c>
      <c r="D247" s="175" t="s">
        <v>189</v>
      </c>
      <c r="E247" s="175">
        <v>25.6</v>
      </c>
      <c r="F247" s="175">
        <v>24.6</v>
      </c>
      <c r="G247" s="198">
        <v>6</v>
      </c>
      <c r="H247" s="175">
        <v>3.57</v>
      </c>
      <c r="I247" s="175">
        <v>1283</v>
      </c>
      <c r="J247" s="175"/>
    </row>
    <row r="248" spans="1:10" x14ac:dyDescent="0.3">
      <c r="A248" s="175" t="s">
        <v>764</v>
      </c>
      <c r="B248" s="176">
        <v>45212</v>
      </c>
      <c r="C248" s="175" t="s">
        <v>925</v>
      </c>
      <c r="D248" s="175" t="s">
        <v>42</v>
      </c>
      <c r="E248" s="175">
        <v>25.8</v>
      </c>
      <c r="F248" s="175">
        <v>25.1</v>
      </c>
      <c r="G248" s="175">
        <v>9.4</v>
      </c>
      <c r="H248" s="175">
        <v>3.36</v>
      </c>
      <c r="I248" s="175">
        <v>2140</v>
      </c>
      <c r="J248" s="175" t="s">
        <v>794</v>
      </c>
    </row>
    <row r="249" spans="1:10" x14ac:dyDescent="0.3">
      <c r="A249" s="175" t="s">
        <v>769</v>
      </c>
      <c r="B249" s="176">
        <v>45212</v>
      </c>
      <c r="C249" s="175" t="s">
        <v>994</v>
      </c>
      <c r="D249" s="175" t="s">
        <v>189</v>
      </c>
      <c r="E249" s="175">
        <v>25.7</v>
      </c>
      <c r="F249" s="175">
        <v>24.7</v>
      </c>
      <c r="G249" s="198">
        <v>7</v>
      </c>
      <c r="H249" s="175">
        <v>3.52</v>
      </c>
      <c r="I249" s="175">
        <v>1759</v>
      </c>
      <c r="J249" s="175" t="s">
        <v>909</v>
      </c>
    </row>
    <row r="250" spans="1:10" x14ac:dyDescent="0.3">
      <c r="A250" s="175" t="s">
        <v>786</v>
      </c>
      <c r="B250" s="176">
        <v>45212</v>
      </c>
      <c r="C250" s="175" t="s">
        <v>995</v>
      </c>
      <c r="D250" s="175" t="s">
        <v>189</v>
      </c>
      <c r="E250" s="175">
        <v>22.9</v>
      </c>
      <c r="F250" s="175">
        <v>21.5</v>
      </c>
      <c r="G250" s="175">
        <v>6.6</v>
      </c>
      <c r="H250" s="175">
        <v>3.61</v>
      </c>
      <c r="I250" s="175">
        <v>2384</v>
      </c>
      <c r="J250" s="175" t="s">
        <v>899</v>
      </c>
    </row>
    <row r="251" spans="1:10" x14ac:dyDescent="0.3">
      <c r="A251" s="210"/>
      <c r="B251" s="210"/>
      <c r="C251" s="210"/>
      <c r="D251" s="210"/>
      <c r="E251" s="210"/>
      <c r="F251" s="210"/>
      <c r="G251" s="210"/>
      <c r="H251" s="210"/>
      <c r="I251" s="210"/>
      <c r="J251" s="210"/>
    </row>
    <row r="252" spans="1:10" x14ac:dyDescent="0.3">
      <c r="A252" s="175" t="s">
        <v>762</v>
      </c>
      <c r="B252" s="176">
        <v>45213</v>
      </c>
      <c r="C252" s="175" t="s">
        <v>996</v>
      </c>
      <c r="D252" s="175" t="s">
        <v>189</v>
      </c>
      <c r="E252" s="175">
        <v>24.9</v>
      </c>
      <c r="F252" s="198">
        <v>24</v>
      </c>
      <c r="G252" s="175">
        <v>6.2</v>
      </c>
      <c r="H252" s="175">
        <v>3.58</v>
      </c>
      <c r="I252" s="175">
        <v>1774</v>
      </c>
      <c r="J252" s="175"/>
    </row>
    <row r="253" spans="1:10" x14ac:dyDescent="0.3">
      <c r="A253" s="175" t="s">
        <v>764</v>
      </c>
      <c r="B253" s="176">
        <v>45213</v>
      </c>
      <c r="C253" s="175" t="s">
        <v>997</v>
      </c>
      <c r="D253" s="175" t="s">
        <v>189</v>
      </c>
      <c r="E253" s="175">
        <v>25.4</v>
      </c>
      <c r="F253" s="175">
        <v>24.6</v>
      </c>
      <c r="G253" s="175">
        <v>6.4</v>
      </c>
      <c r="H253" s="175">
        <v>3.59</v>
      </c>
      <c r="I253" s="175">
        <v>1411</v>
      </c>
      <c r="J253" s="175" t="s">
        <v>796</v>
      </c>
    </row>
    <row r="254" spans="1:10" x14ac:dyDescent="0.3">
      <c r="A254" s="210"/>
      <c r="B254" s="210"/>
      <c r="C254" s="210"/>
      <c r="D254" s="210"/>
      <c r="E254" s="210"/>
      <c r="F254" s="210"/>
      <c r="G254" s="210"/>
      <c r="H254" s="210"/>
      <c r="I254" s="210"/>
      <c r="J254" s="210"/>
    </row>
    <row r="255" spans="1:10" x14ac:dyDescent="0.3">
      <c r="A255" s="175" t="s">
        <v>762</v>
      </c>
      <c r="B255" s="176">
        <v>45215</v>
      </c>
      <c r="C255" s="175" t="s">
        <v>998</v>
      </c>
      <c r="D255" s="175" t="s">
        <v>189</v>
      </c>
      <c r="E255" s="175">
        <v>25.7</v>
      </c>
      <c r="F255" s="175">
        <v>24.8</v>
      </c>
      <c r="G255" s="175">
        <v>6.4</v>
      </c>
      <c r="H255" s="175">
        <v>3.64</v>
      </c>
      <c r="I255" s="175">
        <v>1624</v>
      </c>
      <c r="J255" s="175" t="s">
        <v>909</v>
      </c>
    </row>
    <row r="256" spans="1:10" x14ac:dyDescent="0.3">
      <c r="A256" s="175" t="s">
        <v>764</v>
      </c>
      <c r="B256" s="176">
        <v>45215</v>
      </c>
      <c r="C256" s="175" t="s">
        <v>808</v>
      </c>
      <c r="D256" s="175" t="s">
        <v>19</v>
      </c>
      <c r="E256" s="175">
        <v>25.1</v>
      </c>
      <c r="F256" s="175">
        <v>24.6</v>
      </c>
      <c r="G256" s="198">
        <v>7.4</v>
      </c>
      <c r="H256" s="175">
        <v>3.32</v>
      </c>
      <c r="I256" s="175">
        <v>2009</v>
      </c>
      <c r="J256" s="175" t="s">
        <v>979</v>
      </c>
    </row>
    <row r="257" spans="1:10" x14ac:dyDescent="0.3">
      <c r="A257" s="175" t="s">
        <v>769</v>
      </c>
      <c r="B257" s="176">
        <v>45215</v>
      </c>
      <c r="C257" s="175" t="s">
        <v>999</v>
      </c>
      <c r="D257" s="175" t="s">
        <v>878</v>
      </c>
      <c r="E257" s="175">
        <v>21.1</v>
      </c>
      <c r="F257" s="175">
        <v>20.3</v>
      </c>
      <c r="G257" s="198">
        <v>6.2</v>
      </c>
      <c r="H257" s="175">
        <v>3.51</v>
      </c>
      <c r="I257" s="175">
        <v>1282</v>
      </c>
      <c r="J257" s="175" t="s">
        <v>1000</v>
      </c>
    </row>
    <row r="258" spans="1:10" x14ac:dyDescent="0.3">
      <c r="A258" s="175" t="s">
        <v>786</v>
      </c>
      <c r="B258" s="176">
        <v>45215</v>
      </c>
      <c r="C258" s="175" t="s">
        <v>999</v>
      </c>
      <c r="D258" s="175" t="s">
        <v>189</v>
      </c>
      <c r="E258" s="175">
        <v>24.8</v>
      </c>
      <c r="F258" s="198">
        <v>24</v>
      </c>
      <c r="G258" s="198">
        <v>6</v>
      </c>
      <c r="H258" s="269">
        <v>3.61</v>
      </c>
      <c r="I258" s="175">
        <v>1251</v>
      </c>
      <c r="J258" s="175" t="s">
        <v>909</v>
      </c>
    </row>
    <row r="259" spans="1:10" x14ac:dyDescent="0.3">
      <c r="A259" s="175" t="s">
        <v>788</v>
      </c>
      <c r="B259" s="176">
        <v>45215</v>
      </c>
      <c r="C259" s="175" t="s">
        <v>916</v>
      </c>
      <c r="D259" s="175" t="s">
        <v>189</v>
      </c>
      <c r="E259" s="198">
        <v>26</v>
      </c>
      <c r="F259" s="175">
        <v>25.1</v>
      </c>
      <c r="G259" s="198">
        <v>6.2</v>
      </c>
      <c r="H259" s="175">
        <v>3.65</v>
      </c>
      <c r="I259" s="175">
        <v>1323</v>
      </c>
      <c r="J259" s="175" t="s">
        <v>838</v>
      </c>
    </row>
    <row r="260" spans="1:10" x14ac:dyDescent="0.3">
      <c r="A260" s="175"/>
      <c r="B260" s="176">
        <v>45215</v>
      </c>
      <c r="C260" s="175" t="s">
        <v>1001</v>
      </c>
      <c r="D260" s="175" t="s">
        <v>189</v>
      </c>
      <c r="E260" s="175">
        <v>26.6</v>
      </c>
      <c r="F260" s="175">
        <v>25.6</v>
      </c>
      <c r="G260" s="175">
        <v>6.4</v>
      </c>
      <c r="H260" s="175">
        <v>3.66</v>
      </c>
      <c r="I260" s="175">
        <v>1371</v>
      </c>
      <c r="J260" s="175" t="s">
        <v>796</v>
      </c>
    </row>
    <row r="261" spans="1:10" x14ac:dyDescent="0.3">
      <c r="A261" s="175"/>
      <c r="B261" s="176">
        <v>45215</v>
      </c>
      <c r="C261" s="175" t="s">
        <v>1002</v>
      </c>
      <c r="D261" s="175" t="s">
        <v>189</v>
      </c>
      <c r="E261" s="175">
        <v>26.5</v>
      </c>
      <c r="F261" s="175">
        <v>25.5</v>
      </c>
      <c r="G261" s="175">
        <v>6.8</v>
      </c>
      <c r="H261" s="175">
        <v>3.62</v>
      </c>
      <c r="I261" s="175">
        <v>1330</v>
      </c>
      <c r="J261" s="175" t="s">
        <v>794</v>
      </c>
    </row>
    <row r="262" spans="1:10" x14ac:dyDescent="0.3">
      <c r="A262" s="210"/>
      <c r="B262" s="210"/>
      <c r="C262" s="210"/>
      <c r="D262" s="210"/>
      <c r="E262" s="210"/>
      <c r="F262" s="210"/>
      <c r="G262" s="210"/>
      <c r="H262" s="210"/>
      <c r="I262" s="210"/>
      <c r="J262" s="210"/>
    </row>
    <row r="263" spans="1:10" x14ac:dyDescent="0.3">
      <c r="A263" s="175" t="s">
        <v>762</v>
      </c>
      <c r="B263" s="176">
        <v>45216</v>
      </c>
      <c r="C263" s="175" t="s">
        <v>808</v>
      </c>
      <c r="D263" s="175" t="s">
        <v>563</v>
      </c>
      <c r="E263" s="175">
        <v>24.4</v>
      </c>
      <c r="F263" s="175">
        <v>23.6</v>
      </c>
      <c r="G263" s="175">
        <v>5.2</v>
      </c>
      <c r="H263" s="269">
        <v>3.6</v>
      </c>
      <c r="I263" s="175">
        <v>1756</v>
      </c>
      <c r="J263" s="175"/>
    </row>
    <row r="264" spans="1:10" x14ac:dyDescent="0.3">
      <c r="A264" s="175" t="s">
        <v>764</v>
      </c>
      <c r="B264" s="176">
        <v>45216</v>
      </c>
      <c r="C264" s="175" t="s">
        <v>965</v>
      </c>
      <c r="D264" s="175" t="s">
        <v>189</v>
      </c>
      <c r="E264" s="198">
        <v>26</v>
      </c>
      <c r="F264" s="175">
        <v>25.8</v>
      </c>
      <c r="G264" s="175">
        <v>6.8</v>
      </c>
      <c r="H264" s="269">
        <v>3.6</v>
      </c>
      <c r="I264" s="175">
        <v>1801</v>
      </c>
      <c r="J264" s="175" t="s">
        <v>1003</v>
      </c>
    </row>
    <row r="265" spans="1:10" x14ac:dyDescent="0.3">
      <c r="A265" s="210"/>
      <c r="B265" s="210"/>
      <c r="C265" s="210"/>
      <c r="D265" s="210"/>
      <c r="E265" s="210"/>
      <c r="F265" s="210"/>
      <c r="G265" s="210"/>
      <c r="H265" s="210"/>
      <c r="I265" s="210"/>
      <c r="J265" s="210"/>
    </row>
    <row r="266" spans="1:10" x14ac:dyDescent="0.3">
      <c r="A266" s="175" t="s">
        <v>762</v>
      </c>
      <c r="B266" s="176">
        <v>45217</v>
      </c>
      <c r="C266" s="175" t="s">
        <v>965</v>
      </c>
      <c r="D266" s="175" t="s">
        <v>189</v>
      </c>
      <c r="E266" s="175">
        <v>25.4</v>
      </c>
      <c r="F266" s="175">
        <v>24.4</v>
      </c>
      <c r="G266" s="175">
        <v>5.8</v>
      </c>
      <c r="H266" s="175">
        <v>3.65</v>
      </c>
      <c r="I266" s="175">
        <v>2029</v>
      </c>
      <c r="J266" s="175" t="s">
        <v>796</v>
      </c>
    </row>
    <row r="267" spans="1:10" x14ac:dyDescent="0.3">
      <c r="A267" s="175" t="s">
        <v>977</v>
      </c>
      <c r="B267" s="176">
        <v>45217</v>
      </c>
      <c r="C267" s="175" t="s">
        <v>867</v>
      </c>
      <c r="D267" s="175" t="s">
        <v>189</v>
      </c>
      <c r="E267" s="175">
        <v>25.3</v>
      </c>
      <c r="F267" s="175">
        <v>24.1</v>
      </c>
      <c r="G267" s="175">
        <v>7.8</v>
      </c>
      <c r="H267" s="175">
        <v>3.59</v>
      </c>
      <c r="I267" s="175">
        <v>2361</v>
      </c>
      <c r="J267" s="175" t="s">
        <v>1004</v>
      </c>
    </row>
    <row r="268" spans="1:10" x14ac:dyDescent="0.3">
      <c r="A268" s="210"/>
      <c r="B268" s="210"/>
      <c r="C268" s="210"/>
      <c r="D268" s="210"/>
      <c r="E268" s="210"/>
      <c r="F268" s="210"/>
      <c r="G268" s="210"/>
      <c r="H268" s="210"/>
      <c r="I268" s="210"/>
      <c r="J268" s="175"/>
    </row>
    <row r="269" spans="1:10" x14ac:dyDescent="0.3">
      <c r="A269" s="175" t="s">
        <v>762</v>
      </c>
      <c r="B269" s="176">
        <v>45218</v>
      </c>
      <c r="C269" s="175" t="s">
        <v>996</v>
      </c>
      <c r="D269" s="175" t="s">
        <v>189</v>
      </c>
      <c r="E269" s="175">
        <v>25.3</v>
      </c>
      <c r="F269" s="175">
        <v>24.8</v>
      </c>
      <c r="G269" s="198">
        <v>6</v>
      </c>
      <c r="H269" s="175">
        <v>3.62</v>
      </c>
      <c r="I269" s="175">
        <v>2046</v>
      </c>
      <c r="J269" s="175"/>
    </row>
    <row r="270" spans="1:10" x14ac:dyDescent="0.3">
      <c r="A270" s="175" t="s">
        <v>764</v>
      </c>
      <c r="B270" s="176">
        <v>45218</v>
      </c>
      <c r="C270" s="175" t="s">
        <v>999</v>
      </c>
      <c r="D270" s="175" t="s">
        <v>878</v>
      </c>
      <c r="E270" s="175">
        <v>22.4</v>
      </c>
      <c r="F270" s="175">
        <v>21.4</v>
      </c>
      <c r="G270" s="175">
        <v>5.4</v>
      </c>
      <c r="H270" s="175">
        <v>3.56</v>
      </c>
      <c r="I270" s="175">
        <v>1444</v>
      </c>
      <c r="J270" s="175" t="s">
        <v>1005</v>
      </c>
    </row>
    <row r="271" spans="1:10" x14ac:dyDescent="0.3">
      <c r="A271" s="175" t="s">
        <v>769</v>
      </c>
      <c r="B271" s="176">
        <v>45218</v>
      </c>
      <c r="C271" s="175" t="s">
        <v>922</v>
      </c>
      <c r="D271" s="175" t="s">
        <v>189</v>
      </c>
      <c r="E271" s="175">
        <v>25.5</v>
      </c>
      <c r="F271" s="175">
        <v>24.5</v>
      </c>
      <c r="G271" s="175">
        <v>5.4</v>
      </c>
      <c r="H271" s="175">
        <v>3.63</v>
      </c>
      <c r="I271" s="175">
        <v>1385</v>
      </c>
      <c r="J271" s="175" t="s">
        <v>909</v>
      </c>
    </row>
    <row r="272" spans="1:10" x14ac:dyDescent="0.3">
      <c r="A272" s="210"/>
      <c r="B272" s="210"/>
      <c r="C272" s="210"/>
      <c r="D272" s="210"/>
      <c r="E272" s="210"/>
      <c r="F272" s="210"/>
      <c r="G272" s="210"/>
      <c r="H272" s="210"/>
      <c r="I272" s="210"/>
      <c r="J272" s="175"/>
    </row>
    <row r="273" spans="1:11" x14ac:dyDescent="0.3">
      <c r="A273" s="175" t="s">
        <v>762</v>
      </c>
      <c r="B273" s="176">
        <v>45219</v>
      </c>
      <c r="C273" s="175" t="s">
        <v>999</v>
      </c>
      <c r="D273" s="175" t="s">
        <v>189</v>
      </c>
      <c r="E273" s="175">
        <v>22.6</v>
      </c>
      <c r="F273" s="175">
        <v>21.8</v>
      </c>
      <c r="G273" s="198">
        <v>7</v>
      </c>
      <c r="H273" s="175">
        <v>3.71</v>
      </c>
      <c r="I273" s="175">
        <v>2821</v>
      </c>
      <c r="J273" s="175" t="s">
        <v>1006</v>
      </c>
    </row>
    <row r="274" spans="1:11" x14ac:dyDescent="0.3">
      <c r="A274" s="175" t="s">
        <v>764</v>
      </c>
      <c r="B274" s="176">
        <v>45219</v>
      </c>
      <c r="C274" s="175" t="s">
        <v>815</v>
      </c>
      <c r="D274" s="175" t="s">
        <v>189</v>
      </c>
      <c r="E274" s="175">
        <v>24.8</v>
      </c>
      <c r="F274" s="175">
        <v>24.2</v>
      </c>
      <c r="G274" s="175">
        <v>6.8</v>
      </c>
      <c r="H274" s="175">
        <v>3.53</v>
      </c>
      <c r="I274" s="175">
        <v>1387</v>
      </c>
      <c r="J274" s="175" t="s">
        <v>1007</v>
      </c>
    </row>
    <row r="275" spans="1:11" x14ac:dyDescent="0.3">
      <c r="A275" s="175" t="s">
        <v>769</v>
      </c>
      <c r="B275" s="411">
        <v>45219</v>
      </c>
      <c r="C275" s="175" t="s">
        <v>975</v>
      </c>
      <c r="D275" s="175" t="s">
        <v>189</v>
      </c>
      <c r="E275" s="198">
        <v>27</v>
      </c>
      <c r="F275" s="198">
        <v>26</v>
      </c>
      <c r="G275" s="198">
        <v>7</v>
      </c>
      <c r="H275" s="175">
        <v>3.59</v>
      </c>
      <c r="I275" s="175">
        <v>1410</v>
      </c>
      <c r="J275" s="175" t="s">
        <v>794</v>
      </c>
    </row>
    <row r="276" spans="1:11" x14ac:dyDescent="0.3">
      <c r="A276" s="210"/>
      <c r="B276" s="210"/>
      <c r="C276" s="210"/>
      <c r="D276" s="210"/>
      <c r="E276" s="210"/>
      <c r="F276" s="210"/>
      <c r="G276" s="210"/>
      <c r="H276" s="210"/>
      <c r="I276" s="210"/>
      <c r="J276" s="210"/>
    </row>
    <row r="277" spans="1:11" x14ac:dyDescent="0.3">
      <c r="A277" s="175" t="s">
        <v>762</v>
      </c>
      <c r="B277" s="176">
        <v>45222</v>
      </c>
      <c r="C277" s="175" t="s">
        <v>999</v>
      </c>
      <c r="D277" s="175" t="s">
        <v>189</v>
      </c>
      <c r="E277" s="175">
        <v>25.4</v>
      </c>
      <c r="F277" s="175">
        <v>24.4</v>
      </c>
      <c r="G277" s="175">
        <v>6.8</v>
      </c>
      <c r="H277" s="175">
        <v>3.65</v>
      </c>
      <c r="I277" s="175">
        <v>1269</v>
      </c>
      <c r="J277" s="175" t="s">
        <v>1008</v>
      </c>
    </row>
    <row r="278" spans="1:11" x14ac:dyDescent="0.3">
      <c r="A278" s="175" t="s">
        <v>764</v>
      </c>
      <c r="B278" s="176">
        <v>45222</v>
      </c>
      <c r="C278" s="175" t="s">
        <v>808</v>
      </c>
      <c r="D278" s="175" t="s">
        <v>189</v>
      </c>
      <c r="E278" s="175">
        <v>24.3</v>
      </c>
      <c r="F278" s="175">
        <v>23.2</v>
      </c>
      <c r="G278" s="175">
        <v>6.6</v>
      </c>
      <c r="H278" s="269">
        <v>3.6</v>
      </c>
      <c r="I278" s="175">
        <v>1115</v>
      </c>
      <c r="J278" s="175" t="s">
        <v>882</v>
      </c>
    </row>
    <row r="279" spans="1:11" x14ac:dyDescent="0.3">
      <c r="A279" s="210"/>
      <c r="B279" s="210"/>
      <c r="C279" s="210"/>
      <c r="D279" s="210"/>
      <c r="E279" s="210"/>
      <c r="F279" s="210"/>
      <c r="G279" s="210"/>
      <c r="H279" s="210"/>
      <c r="I279" s="210"/>
      <c r="J279" s="210"/>
    </row>
    <row r="280" spans="1:11" x14ac:dyDescent="0.3">
      <c r="A280" s="175" t="s">
        <v>762</v>
      </c>
      <c r="B280" s="176">
        <v>45223</v>
      </c>
      <c r="C280" s="175" t="s">
        <v>996</v>
      </c>
      <c r="D280" s="175" t="s">
        <v>189</v>
      </c>
      <c r="E280" s="175">
        <v>25.6</v>
      </c>
      <c r="F280" s="175">
        <v>24.6</v>
      </c>
      <c r="G280" s="175">
        <v>6.6</v>
      </c>
      <c r="H280" s="175">
        <v>3.64</v>
      </c>
      <c r="I280" s="175">
        <v>1739</v>
      </c>
      <c r="J280" s="175" t="s">
        <v>1009</v>
      </c>
    </row>
    <row r="281" spans="1:11" x14ac:dyDescent="0.3">
      <c r="A281" s="175" t="s">
        <v>764</v>
      </c>
      <c r="B281" s="411">
        <v>45223</v>
      </c>
      <c r="C281" s="175" t="s">
        <v>815</v>
      </c>
      <c r="D281" s="175" t="s">
        <v>189</v>
      </c>
      <c r="E281" s="175">
        <v>25.1</v>
      </c>
      <c r="F281" s="175">
        <v>24.1</v>
      </c>
      <c r="G281" s="175">
        <v>6.4</v>
      </c>
      <c r="H281" s="175">
        <v>3.56</v>
      </c>
      <c r="I281" s="175">
        <v>1082</v>
      </c>
      <c r="J281" s="175"/>
    </row>
    <row r="282" spans="1:11" x14ac:dyDescent="0.3">
      <c r="A282" s="210"/>
      <c r="B282" s="210"/>
      <c r="C282" s="210"/>
      <c r="D282" s="210"/>
      <c r="E282" s="210"/>
      <c r="F282" s="210"/>
      <c r="G282" s="210"/>
      <c r="H282" s="210"/>
      <c r="I282" s="210"/>
      <c r="J282" s="210"/>
    </row>
    <row r="283" spans="1:11" x14ac:dyDescent="0.3">
      <c r="A283" s="175" t="s">
        <v>762</v>
      </c>
      <c r="B283" s="176">
        <v>45224</v>
      </c>
      <c r="C283" s="175" t="s">
        <v>808</v>
      </c>
      <c r="D283" s="175" t="s">
        <v>189</v>
      </c>
      <c r="E283" s="175">
        <v>24.1</v>
      </c>
      <c r="F283" s="175">
        <v>23.1</v>
      </c>
      <c r="G283" s="175">
        <v>6.4</v>
      </c>
      <c r="H283" s="175">
        <v>3.57</v>
      </c>
      <c r="I283" s="175">
        <v>1035</v>
      </c>
      <c r="J283" s="175" t="s">
        <v>899</v>
      </c>
    </row>
    <row r="284" spans="1:11" x14ac:dyDescent="0.3">
      <c r="A284" s="210"/>
      <c r="B284" s="210"/>
      <c r="C284" s="210"/>
      <c r="D284" s="210"/>
      <c r="E284" s="210"/>
      <c r="F284" s="210"/>
      <c r="G284" s="210"/>
      <c r="H284" s="210"/>
      <c r="I284" s="210"/>
      <c r="J284" s="210"/>
    </row>
    <row r="285" spans="1:11" x14ac:dyDescent="0.3">
      <c r="A285" s="175" t="s">
        <v>762</v>
      </c>
      <c r="B285" s="176">
        <v>45227</v>
      </c>
      <c r="C285" s="175" t="s">
        <v>1010</v>
      </c>
      <c r="D285" s="175" t="s">
        <v>563</v>
      </c>
      <c r="E285" s="175">
        <v>24.8</v>
      </c>
      <c r="F285" s="175">
        <v>24.3</v>
      </c>
      <c r="G285" s="175">
        <v>4.7</v>
      </c>
      <c r="H285" s="175">
        <v>3.73</v>
      </c>
      <c r="I285" s="175">
        <v>2244</v>
      </c>
      <c r="J285" s="175" t="s">
        <v>1011</v>
      </c>
    </row>
    <row r="286" spans="1:11" x14ac:dyDescent="0.3">
      <c r="A286" s="175" t="s">
        <v>764</v>
      </c>
      <c r="B286" s="176">
        <v>45227</v>
      </c>
      <c r="C286" s="175" t="s">
        <v>1012</v>
      </c>
      <c r="D286" s="175" t="s">
        <v>563</v>
      </c>
      <c r="E286" s="175">
        <v>27.2</v>
      </c>
      <c r="F286" s="175">
        <v>26.4</v>
      </c>
      <c r="G286" s="175">
        <v>5.2</v>
      </c>
      <c r="H286" s="175">
        <v>3.68</v>
      </c>
      <c r="I286" s="175">
        <v>2468</v>
      </c>
      <c r="J286" s="175" t="s">
        <v>1013</v>
      </c>
    </row>
    <row r="287" spans="1:11" x14ac:dyDescent="0.3">
      <c r="A287" s="175" t="s">
        <v>769</v>
      </c>
      <c r="B287" s="176">
        <v>45227</v>
      </c>
      <c r="C287" s="175" t="s">
        <v>1012</v>
      </c>
      <c r="D287" s="175" t="s">
        <v>563</v>
      </c>
      <c r="E287" s="175">
        <v>23.7</v>
      </c>
      <c r="F287" s="175">
        <v>23.1</v>
      </c>
      <c r="G287" s="175">
        <v>5.0999999999999996</v>
      </c>
      <c r="H287" s="175">
        <v>3.68</v>
      </c>
      <c r="I287" s="175">
        <v>2511</v>
      </c>
      <c r="J287" s="175" t="s">
        <v>1014</v>
      </c>
      <c r="K287" s="431"/>
    </row>
    <row r="288" spans="1:11" x14ac:dyDescent="0.3">
      <c r="A288" s="210"/>
      <c r="B288" s="210"/>
      <c r="C288" s="210"/>
      <c r="D288" s="210"/>
      <c r="E288" s="210"/>
      <c r="F288" s="210"/>
      <c r="G288" s="210"/>
      <c r="H288" s="210"/>
      <c r="I288" s="210"/>
      <c r="J288" s="210"/>
      <c r="K288" s="431"/>
    </row>
    <row r="289" spans="1:11" x14ac:dyDescent="0.3">
      <c r="A289" s="175" t="s">
        <v>762</v>
      </c>
      <c r="B289" s="176">
        <v>45229</v>
      </c>
      <c r="C289" s="175" t="s">
        <v>867</v>
      </c>
      <c r="D289" s="175" t="s">
        <v>350</v>
      </c>
      <c r="E289" s="175">
        <v>24.8</v>
      </c>
      <c r="F289" s="175">
        <v>24.2</v>
      </c>
      <c r="G289" s="198">
        <v>4</v>
      </c>
      <c r="H289" s="175">
        <v>3.73</v>
      </c>
      <c r="I289" s="175">
        <v>1560</v>
      </c>
      <c r="J289" s="175" t="s">
        <v>1015</v>
      </c>
      <c r="K289" s="431"/>
    </row>
    <row r="290" spans="1:11" x14ac:dyDescent="0.3">
      <c r="A290" s="175" t="s">
        <v>764</v>
      </c>
      <c r="B290" s="176">
        <v>45229</v>
      </c>
      <c r="C290" s="175" t="s">
        <v>867</v>
      </c>
      <c r="D290" s="175" t="s">
        <v>350</v>
      </c>
      <c r="E290" s="175">
        <v>25.6</v>
      </c>
      <c r="F290" s="175">
        <v>24.7</v>
      </c>
      <c r="G290" s="175">
        <v>4.4000000000000004</v>
      </c>
      <c r="H290" s="175">
        <v>3.82</v>
      </c>
      <c r="I290" s="175">
        <v>1923</v>
      </c>
      <c r="J290" s="175" t="s">
        <v>1016</v>
      </c>
    </row>
    <row r="291" spans="1:11" x14ac:dyDescent="0.3">
      <c r="A291" s="210"/>
      <c r="B291" s="210"/>
      <c r="C291" s="210"/>
      <c r="D291" s="210"/>
      <c r="E291" s="210"/>
      <c r="F291" s="210"/>
      <c r="G291" s="210"/>
      <c r="H291" s="210"/>
      <c r="I291" s="210"/>
      <c r="J291" s="210"/>
    </row>
    <row r="292" spans="1:11" x14ac:dyDescent="0.3">
      <c r="A292" s="175" t="s">
        <v>762</v>
      </c>
      <c r="B292" s="176">
        <v>45230</v>
      </c>
      <c r="C292" s="175" t="s">
        <v>1017</v>
      </c>
      <c r="D292" s="175" t="s">
        <v>350</v>
      </c>
      <c r="E292" s="175">
        <v>24.4</v>
      </c>
      <c r="F292" s="175">
        <v>23.8</v>
      </c>
      <c r="G292" s="175">
        <v>4.8</v>
      </c>
      <c r="H292" s="175">
        <v>3.94</v>
      </c>
      <c r="I292" s="175">
        <v>83</v>
      </c>
      <c r="J292" s="175" t="s">
        <v>1018</v>
      </c>
    </row>
    <row r="293" spans="1:11" x14ac:dyDescent="0.3">
      <c r="A293" s="175" t="s">
        <v>764</v>
      </c>
      <c r="B293" s="176">
        <v>45230</v>
      </c>
      <c r="C293" s="175" t="s">
        <v>1017</v>
      </c>
      <c r="D293" s="175" t="s">
        <v>350</v>
      </c>
      <c r="E293" s="175">
        <v>25.1</v>
      </c>
      <c r="F293" s="175">
        <v>24.5</v>
      </c>
      <c r="G293" s="175">
        <v>4.5999999999999996</v>
      </c>
      <c r="H293" s="175">
        <v>4.0599999999999996</v>
      </c>
      <c r="I293" s="175">
        <v>602</v>
      </c>
      <c r="J293" s="175" t="s">
        <v>1016</v>
      </c>
    </row>
    <row r="294" spans="1:11" x14ac:dyDescent="0.3">
      <c r="A294" s="175" t="s">
        <v>769</v>
      </c>
      <c r="B294" s="176">
        <v>45230</v>
      </c>
      <c r="C294" s="175" t="s">
        <v>867</v>
      </c>
      <c r="D294" s="175" t="s">
        <v>350</v>
      </c>
      <c r="E294" s="175">
        <v>24.6</v>
      </c>
      <c r="F294" s="175">
        <v>23.9</v>
      </c>
      <c r="G294" s="175">
        <v>4.2</v>
      </c>
      <c r="H294" s="175">
        <v>3.88</v>
      </c>
      <c r="I294" s="175">
        <v>1409</v>
      </c>
      <c r="J294" s="175" t="s">
        <v>1019</v>
      </c>
    </row>
    <row r="295" spans="1:11" x14ac:dyDescent="0.3">
      <c r="A295" s="175" t="s">
        <v>786</v>
      </c>
      <c r="B295" s="176">
        <v>45230</v>
      </c>
      <c r="C295" s="175" t="s">
        <v>867</v>
      </c>
      <c r="D295" s="175" t="s">
        <v>350</v>
      </c>
      <c r="E295" s="175">
        <v>23.6</v>
      </c>
      <c r="F295" s="175">
        <v>22.9</v>
      </c>
      <c r="G295" s="175">
        <v>4.8</v>
      </c>
      <c r="H295" s="175">
        <v>3.73</v>
      </c>
      <c r="I295" s="175">
        <v>1751</v>
      </c>
      <c r="J295" s="175" t="s">
        <v>1020</v>
      </c>
    </row>
    <row r="296" spans="1:11" x14ac:dyDescent="0.3">
      <c r="A296" s="210"/>
      <c r="B296" s="210"/>
      <c r="C296" s="210"/>
      <c r="D296" s="210"/>
      <c r="E296" s="210"/>
      <c r="F296" s="210"/>
      <c r="G296" s="210"/>
      <c r="H296" s="210"/>
      <c r="I296" s="210"/>
      <c r="J296" s="210"/>
    </row>
    <row r="297" spans="1:11" x14ac:dyDescent="0.3">
      <c r="A297" s="175" t="s">
        <v>762</v>
      </c>
      <c r="B297" s="176">
        <v>45231</v>
      </c>
      <c r="C297" s="175" t="s">
        <v>1017</v>
      </c>
      <c r="D297" s="175" t="s">
        <v>350</v>
      </c>
      <c r="E297" s="175">
        <v>24.2</v>
      </c>
      <c r="F297" s="175">
        <v>23.6</v>
      </c>
      <c r="G297" s="175">
        <v>4.4000000000000004</v>
      </c>
      <c r="H297" s="175">
        <v>3.86</v>
      </c>
      <c r="I297" s="175">
        <v>1441</v>
      </c>
      <c r="J297" s="175" t="s">
        <v>1019</v>
      </c>
    </row>
    <row r="298" spans="1:11" x14ac:dyDescent="0.3">
      <c r="A298" s="175" t="s">
        <v>764</v>
      </c>
      <c r="B298" s="176">
        <v>45231</v>
      </c>
      <c r="C298" s="175" t="s">
        <v>1017</v>
      </c>
      <c r="D298" s="175" t="s">
        <v>350</v>
      </c>
      <c r="E298" s="175">
        <v>23.3</v>
      </c>
      <c r="F298" s="175">
        <v>22.5</v>
      </c>
      <c r="G298" s="175">
        <v>5.2</v>
      </c>
      <c r="H298" s="175">
        <v>3.77</v>
      </c>
      <c r="I298" s="175">
        <v>1231</v>
      </c>
      <c r="J298" s="175" t="s">
        <v>1020</v>
      </c>
    </row>
    <row r="299" spans="1:11" x14ac:dyDescent="0.3">
      <c r="A299" s="210"/>
      <c r="B299" s="210"/>
      <c r="C299" s="210"/>
      <c r="D299" s="210"/>
      <c r="E299" s="210"/>
      <c r="F299" s="210"/>
      <c r="G299" s="210"/>
      <c r="H299" s="210"/>
      <c r="I299" s="210"/>
      <c r="J299" s="210"/>
    </row>
    <row r="300" spans="1:11" x14ac:dyDescent="0.3">
      <c r="A300" s="175" t="s">
        <v>762</v>
      </c>
      <c r="B300" s="176">
        <v>45237</v>
      </c>
      <c r="C300" s="175" t="s">
        <v>1021</v>
      </c>
      <c r="D300" s="175" t="s">
        <v>878</v>
      </c>
      <c r="E300" s="175">
        <v>24.5</v>
      </c>
      <c r="F300" s="175">
        <v>23.6</v>
      </c>
      <c r="G300" s="175">
        <v>5.6</v>
      </c>
      <c r="H300" s="175">
        <v>3.67</v>
      </c>
      <c r="I300" s="175">
        <v>1621</v>
      </c>
      <c r="J300" s="175"/>
    </row>
    <row r="301" spans="1:11" x14ac:dyDescent="0.3">
      <c r="A301" s="175" t="s">
        <v>764</v>
      </c>
      <c r="B301" s="176">
        <v>45237</v>
      </c>
      <c r="C301" s="175" t="s">
        <v>1021</v>
      </c>
      <c r="D301" s="175" t="s">
        <v>878</v>
      </c>
      <c r="E301" s="175">
        <v>24.7</v>
      </c>
      <c r="F301" s="175">
        <v>23.7</v>
      </c>
      <c r="G301" s="175">
        <v>5.2</v>
      </c>
      <c r="H301" s="175">
        <v>3.62</v>
      </c>
      <c r="I301" s="175">
        <v>1371</v>
      </c>
      <c r="J301" s="175"/>
    </row>
    <row r="302" spans="1:11" x14ac:dyDescent="0.3">
      <c r="A302" s="175"/>
      <c r="B302" s="175"/>
      <c r="C302" s="175"/>
      <c r="D302" s="175"/>
      <c r="E302" s="175"/>
      <c r="F302" s="175"/>
      <c r="G302" s="175"/>
      <c r="H302" s="175"/>
      <c r="I302" s="175"/>
      <c r="J302" s="175"/>
    </row>
    <row r="303" spans="1:11" x14ac:dyDescent="0.3">
      <c r="A303" s="175"/>
      <c r="B303" s="175"/>
      <c r="C303" s="175"/>
      <c r="D303" s="175"/>
      <c r="E303" s="175"/>
      <c r="F303" s="175"/>
      <c r="G303" s="175"/>
      <c r="H303" s="175"/>
      <c r="I303" s="175"/>
      <c r="J303" s="175"/>
    </row>
    <row r="304" spans="1:11" x14ac:dyDescent="0.3">
      <c r="A304" s="175"/>
      <c r="B304" s="175"/>
      <c r="C304" s="175"/>
      <c r="D304" s="175"/>
      <c r="E304" s="175"/>
      <c r="F304" s="175"/>
      <c r="G304" s="175"/>
      <c r="H304" s="175"/>
      <c r="I304" s="175"/>
      <c r="J304" s="175"/>
    </row>
    <row r="305" spans="1:10" x14ac:dyDescent="0.3">
      <c r="A305" s="175"/>
      <c r="B305" s="175"/>
      <c r="C305" s="175"/>
      <c r="D305" s="175"/>
      <c r="E305" s="175"/>
      <c r="F305" s="175"/>
      <c r="G305" s="175"/>
      <c r="H305" s="175"/>
      <c r="I305" s="175"/>
      <c r="J305" s="175"/>
    </row>
    <row r="306" spans="1:10" x14ac:dyDescent="0.3">
      <c r="A306" s="175"/>
      <c r="B306" s="175"/>
      <c r="C306" s="175"/>
      <c r="D306" s="175"/>
      <c r="E306" s="175"/>
      <c r="F306" s="175"/>
      <c r="G306" s="175"/>
      <c r="H306" s="175"/>
      <c r="I306" s="175"/>
      <c r="J306" s="175"/>
    </row>
    <row r="307" spans="1:10" x14ac:dyDescent="0.3">
      <c r="A307" s="175"/>
      <c r="B307" s="175"/>
      <c r="C307" s="175"/>
      <c r="D307" s="175"/>
      <c r="E307" s="175"/>
      <c r="F307" s="175"/>
      <c r="G307" s="175"/>
      <c r="H307" s="175"/>
      <c r="I307" s="175"/>
      <c r="J307" s="175"/>
    </row>
    <row r="308" spans="1:10" x14ac:dyDescent="0.3">
      <c r="A308" s="175"/>
      <c r="B308" s="175"/>
      <c r="C308" s="175"/>
      <c r="D308" s="175"/>
      <c r="E308" s="175"/>
      <c r="F308" s="175"/>
      <c r="G308" s="175"/>
      <c r="H308" s="175"/>
      <c r="I308" s="175"/>
      <c r="J308" s="175"/>
    </row>
    <row r="309" spans="1:10" x14ac:dyDescent="0.3">
      <c r="A309" s="175"/>
      <c r="B309" s="175"/>
      <c r="C309" s="175"/>
      <c r="D309" s="175"/>
      <c r="E309" s="175"/>
      <c r="F309" s="175"/>
      <c r="G309" s="175"/>
      <c r="H309" s="175"/>
      <c r="I309" s="175"/>
      <c r="J309" s="175"/>
    </row>
    <row r="310" spans="1:10" x14ac:dyDescent="0.3">
      <c r="A310" s="175"/>
      <c r="B310" s="175"/>
      <c r="C310" s="175"/>
      <c r="D310" s="175"/>
      <c r="E310" s="175"/>
      <c r="F310" s="175"/>
      <c r="G310" s="175"/>
      <c r="H310" s="175"/>
      <c r="I310" s="175"/>
      <c r="J310" s="175"/>
    </row>
    <row r="311" spans="1:10" x14ac:dyDescent="0.3">
      <c r="A311" s="175"/>
      <c r="B311" s="175"/>
      <c r="C311" s="175"/>
      <c r="D311" s="175"/>
      <c r="E311" s="175"/>
      <c r="F311" s="175"/>
      <c r="G311" s="175"/>
      <c r="H311" s="175"/>
      <c r="I311" s="175"/>
      <c r="J311" s="175"/>
    </row>
    <row r="312" spans="1:10" x14ac:dyDescent="0.3">
      <c r="A312" s="175"/>
      <c r="B312" s="175"/>
      <c r="C312" s="175"/>
      <c r="D312" s="175"/>
      <c r="E312" s="175"/>
      <c r="F312" s="175"/>
      <c r="G312" s="175"/>
      <c r="H312" s="175"/>
      <c r="I312" s="175"/>
      <c r="J312" s="175"/>
    </row>
    <row r="313" spans="1:10" x14ac:dyDescent="0.3">
      <c r="A313" s="175"/>
      <c r="B313" s="175"/>
      <c r="C313" s="175"/>
      <c r="D313" s="175"/>
      <c r="E313" s="175"/>
      <c r="F313" s="175"/>
      <c r="G313" s="175"/>
      <c r="H313" s="175"/>
      <c r="I313" s="175"/>
      <c r="J313" s="175"/>
    </row>
    <row r="314" spans="1:10" x14ac:dyDescent="0.3">
      <c r="A314" s="175"/>
      <c r="B314" s="175"/>
      <c r="C314" s="175"/>
      <c r="D314" s="175"/>
      <c r="E314" s="175"/>
      <c r="F314" s="175"/>
      <c r="G314" s="175"/>
      <c r="H314" s="175"/>
      <c r="I314" s="175"/>
      <c r="J314" s="175"/>
    </row>
    <row r="315" spans="1:10" x14ac:dyDescent="0.3">
      <c r="A315" s="175"/>
      <c r="B315" s="175"/>
      <c r="C315" s="175"/>
      <c r="D315" s="175"/>
      <c r="E315" s="175"/>
      <c r="F315" s="175"/>
      <c r="G315" s="175"/>
      <c r="H315" s="175"/>
      <c r="I315" s="175"/>
      <c r="J315" s="175"/>
    </row>
    <row r="316" spans="1:10" x14ac:dyDescent="0.3">
      <c r="A316" s="175"/>
      <c r="B316" s="175"/>
      <c r="C316" s="175"/>
      <c r="D316" s="175"/>
      <c r="E316" s="175"/>
      <c r="F316" s="175"/>
      <c r="G316" s="175"/>
      <c r="H316" s="175"/>
      <c r="I316" s="175"/>
      <c r="J316" s="175"/>
    </row>
    <row r="317" spans="1:10" x14ac:dyDescent="0.3">
      <c r="A317" s="175"/>
      <c r="B317" s="175"/>
      <c r="C317" s="175"/>
      <c r="D317" s="175"/>
      <c r="E317" s="175"/>
      <c r="F317" s="175"/>
      <c r="G317" s="175"/>
      <c r="H317" s="175"/>
      <c r="I317" s="175"/>
      <c r="J317" s="175"/>
    </row>
    <row r="318" spans="1:10" x14ac:dyDescent="0.3">
      <c r="A318" s="175"/>
      <c r="B318" s="175"/>
      <c r="C318" s="175"/>
      <c r="D318" s="175"/>
      <c r="E318" s="175"/>
      <c r="F318" s="175"/>
      <c r="G318" s="175"/>
      <c r="H318" s="175"/>
      <c r="I318" s="175"/>
      <c r="J318" s="175"/>
    </row>
    <row r="319" spans="1:10" x14ac:dyDescent="0.3">
      <c r="A319" s="175"/>
      <c r="B319" s="175"/>
      <c r="C319" s="175"/>
      <c r="D319" s="175"/>
      <c r="E319" s="175"/>
      <c r="F319" s="175"/>
      <c r="G319" s="175"/>
      <c r="H319" s="175"/>
      <c r="I319" s="175"/>
      <c r="J319" s="175"/>
    </row>
    <row r="320" spans="1:10" x14ac:dyDescent="0.3">
      <c r="A320" s="175"/>
      <c r="B320" s="175"/>
      <c r="C320" s="175"/>
      <c r="D320" s="175"/>
      <c r="E320" s="175"/>
      <c r="F320" s="175"/>
      <c r="G320" s="175"/>
      <c r="H320" s="175"/>
      <c r="I320" s="175"/>
      <c r="J320" s="175"/>
    </row>
    <row r="321" spans="1:10" x14ac:dyDescent="0.3">
      <c r="A321" s="175"/>
      <c r="B321" s="175"/>
      <c r="C321" s="175"/>
      <c r="D321" s="175"/>
      <c r="E321" s="175"/>
      <c r="F321" s="175"/>
      <c r="G321" s="175"/>
      <c r="H321" s="175"/>
      <c r="I321" s="175"/>
      <c r="J321" s="175"/>
    </row>
    <row r="322" spans="1:10" x14ac:dyDescent="0.3">
      <c r="A322" s="175"/>
      <c r="B322" s="175"/>
      <c r="C322" s="175"/>
      <c r="D322" s="175"/>
      <c r="E322" s="175"/>
      <c r="F322" s="175"/>
      <c r="G322" s="175"/>
      <c r="H322" s="175"/>
      <c r="I322" s="175"/>
      <c r="J322" s="175"/>
    </row>
    <row r="323" spans="1:10" x14ac:dyDescent="0.3">
      <c r="A323" s="175"/>
      <c r="B323" s="175"/>
      <c r="C323" s="175"/>
      <c r="D323" s="175"/>
      <c r="E323" s="175"/>
      <c r="F323" s="175"/>
      <c r="G323" s="175"/>
      <c r="H323" s="175"/>
      <c r="I323" s="175"/>
      <c r="J323" s="175"/>
    </row>
    <row r="324" spans="1:10" x14ac:dyDescent="0.3">
      <c r="A324" s="175"/>
      <c r="B324" s="175"/>
      <c r="C324" s="175"/>
      <c r="D324" s="175"/>
      <c r="E324" s="175"/>
      <c r="F324" s="175"/>
      <c r="G324" s="175"/>
      <c r="H324" s="175"/>
      <c r="I324" s="175"/>
      <c r="J324" s="175"/>
    </row>
    <row r="325" spans="1:10" x14ac:dyDescent="0.3">
      <c r="A325" s="175"/>
      <c r="B325" s="175"/>
      <c r="C325" s="175"/>
      <c r="D325" s="175"/>
      <c r="E325" s="175"/>
      <c r="F325" s="175"/>
      <c r="G325" s="175"/>
      <c r="H325" s="175"/>
      <c r="I325" s="175"/>
      <c r="J325" s="175"/>
    </row>
    <row r="326" spans="1:10" x14ac:dyDescent="0.3">
      <c r="A326" s="175"/>
      <c r="B326" s="175"/>
      <c r="C326" s="175"/>
      <c r="D326" s="175"/>
      <c r="E326" s="175"/>
      <c r="F326" s="175"/>
      <c r="G326" s="175"/>
      <c r="H326" s="175"/>
      <c r="I326" s="175"/>
      <c r="J326" s="175"/>
    </row>
    <row r="327" spans="1:10" x14ac:dyDescent="0.3">
      <c r="A327" s="175"/>
      <c r="B327" s="175"/>
      <c r="C327" s="175"/>
      <c r="D327" s="175"/>
      <c r="E327" s="175"/>
      <c r="F327" s="175"/>
      <c r="G327" s="175"/>
      <c r="H327" s="175"/>
      <c r="I327" s="175"/>
      <c r="J327" s="175"/>
    </row>
    <row r="328" spans="1:10" x14ac:dyDescent="0.3">
      <c r="A328" s="175"/>
      <c r="B328" s="175"/>
      <c r="C328" s="175"/>
      <c r="D328" s="175"/>
      <c r="E328" s="175"/>
      <c r="F328" s="175"/>
      <c r="G328" s="175"/>
      <c r="H328" s="175"/>
      <c r="I328" s="175"/>
      <c r="J328" s="175"/>
    </row>
    <row r="329" spans="1:10" x14ac:dyDescent="0.3">
      <c r="A329" s="175"/>
      <c r="B329" s="175"/>
      <c r="C329" s="175"/>
      <c r="D329" s="175"/>
      <c r="E329" s="175"/>
      <c r="F329" s="175"/>
      <c r="G329" s="175"/>
      <c r="H329" s="175"/>
      <c r="I329" s="175"/>
      <c r="J329" s="175"/>
    </row>
    <row r="330" spans="1:10" x14ac:dyDescent="0.3">
      <c r="A330" s="175"/>
      <c r="B330" s="175"/>
      <c r="C330" s="175"/>
      <c r="D330" s="175"/>
      <c r="E330" s="175"/>
      <c r="F330" s="175"/>
      <c r="G330" s="175"/>
      <c r="H330" s="175"/>
      <c r="I330" s="175"/>
      <c r="J330" s="175"/>
    </row>
    <row r="331" spans="1:10" x14ac:dyDescent="0.3">
      <c r="A331" s="175"/>
      <c r="B331" s="175"/>
      <c r="C331" s="175"/>
      <c r="D331" s="175"/>
      <c r="E331" s="175"/>
      <c r="F331" s="175"/>
      <c r="G331" s="175"/>
      <c r="H331" s="175"/>
      <c r="I331" s="175"/>
      <c r="J331" s="175"/>
    </row>
    <row r="332" spans="1:10" x14ac:dyDescent="0.3">
      <c r="A332" s="175"/>
      <c r="B332" s="175"/>
      <c r="C332" s="175"/>
      <c r="D332" s="175"/>
      <c r="E332" s="175"/>
      <c r="F332" s="175"/>
      <c r="G332" s="175"/>
      <c r="H332" s="175"/>
      <c r="I332" s="175"/>
      <c r="J332" s="175"/>
    </row>
    <row r="333" spans="1:10" x14ac:dyDescent="0.3">
      <c r="A333" s="175"/>
      <c r="B333" s="175"/>
      <c r="C333" s="175"/>
      <c r="D333" s="175"/>
      <c r="E333" s="175"/>
      <c r="F333" s="175"/>
      <c r="G333" s="175"/>
      <c r="H333" s="175"/>
      <c r="I333" s="175"/>
      <c r="J333" s="175"/>
    </row>
    <row r="334" spans="1:10" x14ac:dyDescent="0.3">
      <c r="A334" s="175"/>
      <c r="B334" s="175"/>
      <c r="C334" s="175"/>
      <c r="D334" s="175"/>
      <c r="E334" s="175"/>
      <c r="F334" s="175"/>
      <c r="G334" s="175"/>
      <c r="H334" s="175"/>
      <c r="I334" s="175"/>
      <c r="J334" s="175"/>
    </row>
    <row r="335" spans="1:10" x14ac:dyDescent="0.3">
      <c r="A335" s="175"/>
      <c r="B335" s="175"/>
      <c r="C335" s="175"/>
      <c r="D335" s="175"/>
      <c r="E335" s="175"/>
      <c r="F335" s="175"/>
      <c r="G335" s="175"/>
      <c r="H335" s="175"/>
      <c r="I335" s="175"/>
      <c r="J335" s="175"/>
    </row>
    <row r="336" spans="1:10" x14ac:dyDescent="0.3">
      <c r="A336" s="175"/>
      <c r="B336" s="175"/>
      <c r="C336" s="175"/>
      <c r="D336" s="175"/>
      <c r="E336" s="175"/>
      <c r="F336" s="175"/>
      <c r="G336" s="175"/>
      <c r="H336" s="175"/>
      <c r="I336" s="175"/>
      <c r="J336" s="175"/>
    </row>
    <row r="337" spans="1:10" x14ac:dyDescent="0.3">
      <c r="A337" s="175"/>
      <c r="B337" s="175"/>
      <c r="C337" s="175"/>
      <c r="D337" s="175"/>
      <c r="E337" s="175"/>
      <c r="F337" s="175"/>
      <c r="G337" s="175"/>
      <c r="H337" s="175"/>
      <c r="I337" s="175"/>
      <c r="J337" s="175"/>
    </row>
    <row r="338" spans="1:10" x14ac:dyDescent="0.3">
      <c r="A338" s="175"/>
      <c r="B338" s="175"/>
      <c r="C338" s="175"/>
      <c r="D338" s="175"/>
      <c r="E338" s="175"/>
      <c r="F338" s="175"/>
      <c r="G338" s="175"/>
      <c r="H338" s="175"/>
      <c r="I338" s="175"/>
      <c r="J338" s="175"/>
    </row>
    <row r="339" spans="1:10" x14ac:dyDescent="0.3">
      <c r="A339" s="175"/>
      <c r="B339" s="175"/>
      <c r="C339" s="175"/>
      <c r="D339" s="175"/>
      <c r="E339" s="175"/>
      <c r="F339" s="175"/>
      <c r="G339" s="175"/>
      <c r="H339" s="175"/>
      <c r="I339" s="175"/>
      <c r="J339" s="175"/>
    </row>
    <row r="340" spans="1:10" x14ac:dyDescent="0.3">
      <c r="A340" s="175"/>
      <c r="B340" s="175"/>
      <c r="C340" s="175"/>
      <c r="D340" s="175"/>
      <c r="E340" s="175"/>
      <c r="F340" s="175"/>
      <c r="G340" s="175"/>
      <c r="H340" s="175"/>
      <c r="I340" s="175"/>
      <c r="J340" s="175"/>
    </row>
    <row r="341" spans="1:10" x14ac:dyDescent="0.3">
      <c r="A341" s="175"/>
      <c r="B341" s="175"/>
      <c r="C341" s="175"/>
      <c r="D341" s="175"/>
      <c r="E341" s="175"/>
      <c r="F341" s="175"/>
      <c r="G341" s="175"/>
      <c r="H341" s="175"/>
      <c r="I341" s="175"/>
      <c r="J341" s="175"/>
    </row>
    <row r="342" spans="1:10" x14ac:dyDescent="0.3">
      <c r="A342" s="175"/>
      <c r="B342" s="175"/>
      <c r="C342" s="175"/>
      <c r="D342" s="175"/>
      <c r="E342" s="175"/>
      <c r="F342" s="175"/>
      <c r="G342" s="175"/>
      <c r="H342" s="175"/>
      <c r="I342" s="175"/>
      <c r="J342" s="175"/>
    </row>
    <row r="343" spans="1:10" x14ac:dyDescent="0.3">
      <c r="A343" s="175"/>
      <c r="B343" s="175"/>
      <c r="C343" s="175"/>
      <c r="D343" s="175"/>
      <c r="E343" s="175"/>
      <c r="F343" s="175"/>
      <c r="G343" s="175"/>
      <c r="H343" s="175"/>
      <c r="I343" s="175"/>
      <c r="J343" s="175"/>
    </row>
    <row r="344" spans="1:10" x14ac:dyDescent="0.3">
      <c r="A344" s="175"/>
      <c r="B344" s="175"/>
      <c r="C344" s="175"/>
      <c r="D344" s="175"/>
      <c r="E344" s="175"/>
      <c r="F344" s="175"/>
      <c r="G344" s="175"/>
      <c r="H344" s="175"/>
      <c r="I344" s="175"/>
      <c r="J344" s="175"/>
    </row>
    <row r="345" spans="1:10" x14ac:dyDescent="0.3">
      <c r="A345" s="175"/>
      <c r="B345" s="175"/>
      <c r="C345" s="175"/>
      <c r="D345" s="175"/>
      <c r="E345" s="175"/>
      <c r="F345" s="175"/>
      <c r="G345" s="175"/>
      <c r="H345" s="175"/>
      <c r="I345" s="175"/>
      <c r="J345" s="175"/>
    </row>
    <row r="346" spans="1:10" x14ac:dyDescent="0.3">
      <c r="A346" s="175"/>
      <c r="B346" s="175"/>
      <c r="C346" s="175"/>
      <c r="D346" s="175"/>
      <c r="E346" s="175"/>
      <c r="F346" s="175"/>
      <c r="G346" s="175"/>
      <c r="H346" s="175"/>
      <c r="I346" s="175"/>
      <c r="J346" s="175"/>
    </row>
    <row r="347" spans="1:10" x14ac:dyDescent="0.3">
      <c r="A347" s="175"/>
      <c r="B347" s="175"/>
      <c r="C347" s="175"/>
      <c r="D347" s="175"/>
      <c r="E347" s="175"/>
      <c r="F347" s="175"/>
      <c r="G347" s="175"/>
      <c r="H347" s="175"/>
      <c r="I347" s="175"/>
      <c r="J347" s="175"/>
    </row>
    <row r="348" spans="1:10" x14ac:dyDescent="0.3">
      <c r="A348" s="175"/>
      <c r="B348" s="175"/>
      <c r="C348" s="175"/>
      <c r="D348" s="175"/>
      <c r="E348" s="175"/>
      <c r="F348" s="175"/>
      <c r="G348" s="175"/>
      <c r="H348" s="175"/>
      <c r="I348" s="175"/>
      <c r="J348" s="175"/>
    </row>
    <row r="349" spans="1:10" x14ac:dyDescent="0.3">
      <c r="A349" s="175"/>
      <c r="B349" s="175"/>
      <c r="C349" s="175"/>
      <c r="D349" s="175"/>
      <c r="E349" s="175"/>
      <c r="F349" s="175"/>
      <c r="G349" s="175"/>
      <c r="H349" s="175"/>
      <c r="I349" s="175"/>
      <c r="J349" s="175"/>
    </row>
    <row r="350" spans="1:10" x14ac:dyDescent="0.3">
      <c r="A350" s="175"/>
      <c r="B350" s="175"/>
      <c r="C350" s="175"/>
      <c r="D350" s="175"/>
      <c r="E350" s="175"/>
      <c r="F350" s="175"/>
      <c r="G350" s="175"/>
      <c r="H350" s="175"/>
      <c r="I350" s="175"/>
      <c r="J350" s="175"/>
    </row>
    <row r="351" spans="1:10" x14ac:dyDescent="0.3">
      <c r="A351" s="175"/>
      <c r="B351" s="175"/>
      <c r="C351" s="175"/>
      <c r="D351" s="175"/>
      <c r="E351" s="175"/>
      <c r="F351" s="175"/>
      <c r="G351" s="175"/>
      <c r="H351" s="175"/>
      <c r="I351" s="175"/>
      <c r="J351" s="175"/>
    </row>
    <row r="352" spans="1:10" x14ac:dyDescent="0.3">
      <c r="A352" s="175"/>
      <c r="B352" s="175"/>
      <c r="C352" s="175"/>
      <c r="D352" s="175"/>
      <c r="E352" s="175"/>
      <c r="F352" s="175"/>
      <c r="G352" s="175"/>
      <c r="H352" s="175"/>
      <c r="I352" s="175"/>
      <c r="J352" s="175"/>
    </row>
    <row r="353" spans="1:10" x14ac:dyDescent="0.3">
      <c r="A353" s="175"/>
      <c r="B353" s="175"/>
      <c r="C353" s="175"/>
      <c r="D353" s="175"/>
      <c r="E353" s="175"/>
      <c r="F353" s="175"/>
      <c r="G353" s="175"/>
      <c r="H353" s="175"/>
      <c r="I353" s="175"/>
      <c r="J353" s="175"/>
    </row>
    <row r="354" spans="1:10" x14ac:dyDescent="0.3">
      <c r="A354" s="175"/>
      <c r="B354" s="175"/>
      <c r="C354" s="175"/>
      <c r="D354" s="175"/>
      <c r="E354" s="175"/>
      <c r="F354" s="175"/>
      <c r="G354" s="175"/>
      <c r="H354" s="175"/>
      <c r="I354" s="175"/>
      <c r="J354" s="175"/>
    </row>
    <row r="355" spans="1:10" x14ac:dyDescent="0.3">
      <c r="A355" s="175"/>
      <c r="B355" s="175"/>
      <c r="C355" s="175"/>
      <c r="D355" s="175"/>
      <c r="E355" s="175"/>
      <c r="F355" s="175"/>
      <c r="G355" s="175"/>
      <c r="H355" s="175"/>
      <c r="I355" s="175"/>
      <c r="J355" s="175"/>
    </row>
    <row r="356" spans="1:10" x14ac:dyDescent="0.3">
      <c r="A356" s="175"/>
      <c r="B356" s="175"/>
      <c r="C356" s="175"/>
      <c r="D356" s="175"/>
      <c r="E356" s="175"/>
      <c r="F356" s="175"/>
      <c r="G356" s="175"/>
      <c r="H356" s="175"/>
      <c r="I356" s="175"/>
      <c r="J356" s="175"/>
    </row>
    <row r="357" spans="1:10" x14ac:dyDescent="0.3">
      <c r="A357" s="175"/>
      <c r="B357" s="175"/>
      <c r="C357" s="175"/>
      <c r="D357" s="175"/>
      <c r="E357" s="175"/>
      <c r="F357" s="175"/>
      <c r="G357" s="175"/>
      <c r="H357" s="175"/>
      <c r="I357" s="175"/>
      <c r="J357" s="175"/>
    </row>
    <row r="358" spans="1:10" x14ac:dyDescent="0.3">
      <c r="A358" s="175"/>
      <c r="B358" s="175"/>
      <c r="C358" s="175"/>
      <c r="D358" s="175"/>
      <c r="E358" s="175"/>
      <c r="F358" s="175"/>
      <c r="G358" s="175"/>
      <c r="H358" s="175"/>
      <c r="I358" s="175"/>
      <c r="J358" s="175"/>
    </row>
    <row r="359" spans="1:10" x14ac:dyDescent="0.3">
      <c r="A359" s="175"/>
      <c r="B359" s="175"/>
      <c r="C359" s="175"/>
      <c r="D359" s="175"/>
      <c r="E359" s="175"/>
      <c r="F359" s="175"/>
      <c r="G359" s="175"/>
      <c r="H359" s="175"/>
      <c r="I359" s="175"/>
      <c r="J359" s="175"/>
    </row>
    <row r="360" spans="1:10" x14ac:dyDescent="0.3">
      <c r="A360" s="175"/>
      <c r="B360" s="175"/>
      <c r="C360" s="175"/>
      <c r="D360" s="175"/>
      <c r="E360" s="175"/>
      <c r="F360" s="175"/>
      <c r="G360" s="175"/>
      <c r="H360" s="175"/>
      <c r="I360" s="175"/>
      <c r="J360" s="175"/>
    </row>
    <row r="361" spans="1:10" x14ac:dyDescent="0.3">
      <c r="A361" s="175"/>
      <c r="B361" s="175"/>
      <c r="C361" s="175"/>
      <c r="D361" s="175"/>
      <c r="E361" s="175"/>
      <c r="F361" s="175"/>
      <c r="G361" s="175"/>
      <c r="H361" s="175"/>
      <c r="I361" s="175"/>
      <c r="J361" s="175"/>
    </row>
    <row r="362" spans="1:10" x14ac:dyDescent="0.3">
      <c r="A362" s="175"/>
      <c r="B362" s="175"/>
      <c r="C362" s="175"/>
      <c r="D362" s="175"/>
      <c r="E362" s="175"/>
      <c r="F362" s="175"/>
      <c r="G362" s="175"/>
      <c r="H362" s="175"/>
      <c r="I362" s="175"/>
      <c r="J362" s="175"/>
    </row>
    <row r="363" spans="1:10" x14ac:dyDescent="0.3">
      <c r="A363" s="175"/>
      <c r="B363" s="175"/>
      <c r="C363" s="175"/>
      <c r="D363" s="175"/>
      <c r="E363" s="175"/>
      <c r="F363" s="175"/>
      <c r="G363" s="175"/>
      <c r="H363" s="175"/>
      <c r="I363" s="175"/>
      <c r="J363" s="175"/>
    </row>
    <row r="364" spans="1:10" x14ac:dyDescent="0.3">
      <c r="A364" s="175"/>
      <c r="B364" s="175"/>
      <c r="C364" s="175"/>
      <c r="D364" s="175"/>
      <c r="E364" s="175"/>
      <c r="F364" s="175"/>
      <c r="G364" s="175"/>
      <c r="H364" s="175"/>
      <c r="I364" s="175"/>
      <c r="J364" s="175"/>
    </row>
    <row r="365" spans="1:10" x14ac:dyDescent="0.3">
      <c r="A365" s="175"/>
      <c r="B365" s="175"/>
      <c r="C365" s="175"/>
      <c r="D365" s="175"/>
      <c r="E365" s="175"/>
      <c r="F365" s="175"/>
      <c r="G365" s="175"/>
      <c r="H365" s="175"/>
      <c r="I365" s="175"/>
      <c r="J365" s="175"/>
    </row>
    <row r="366" spans="1:10" x14ac:dyDescent="0.3">
      <c r="A366" s="175"/>
      <c r="B366" s="175"/>
      <c r="C366" s="175"/>
      <c r="D366" s="175"/>
      <c r="E366" s="175"/>
      <c r="F366" s="175"/>
      <c r="G366" s="175"/>
      <c r="H366" s="175"/>
      <c r="I366" s="175"/>
      <c r="J366" s="175"/>
    </row>
    <row r="367" spans="1:10" x14ac:dyDescent="0.3">
      <c r="A367" s="175"/>
      <c r="B367" s="175"/>
      <c r="C367" s="175"/>
      <c r="D367" s="175"/>
      <c r="E367" s="175"/>
      <c r="F367" s="175"/>
      <c r="G367" s="175"/>
      <c r="H367" s="175"/>
      <c r="I367" s="175"/>
      <c r="J367" s="175"/>
    </row>
    <row r="368" spans="1:10" x14ac:dyDescent="0.3">
      <c r="A368" s="175"/>
      <c r="B368" s="175"/>
      <c r="C368" s="175"/>
      <c r="D368" s="175"/>
      <c r="E368" s="175"/>
      <c r="F368" s="175"/>
      <c r="G368" s="175"/>
      <c r="H368" s="175"/>
      <c r="I368" s="175"/>
      <c r="J368" s="175"/>
    </row>
    <row r="369" spans="1:10" x14ac:dyDescent="0.3">
      <c r="A369" s="175"/>
      <c r="B369" s="175"/>
      <c r="C369" s="175"/>
      <c r="D369" s="175"/>
      <c r="E369" s="175"/>
      <c r="F369" s="175"/>
      <c r="G369" s="175"/>
      <c r="H369" s="175"/>
      <c r="I369" s="175"/>
      <c r="J369" s="175"/>
    </row>
    <row r="370" spans="1:10" x14ac:dyDescent="0.3">
      <c r="A370" s="175"/>
      <c r="B370" s="175"/>
      <c r="C370" s="175"/>
      <c r="D370" s="175"/>
      <c r="E370" s="175"/>
      <c r="F370" s="175"/>
      <c r="G370" s="175"/>
      <c r="H370" s="175"/>
      <c r="I370" s="175"/>
      <c r="J370" s="175"/>
    </row>
    <row r="371" spans="1:10" x14ac:dyDescent="0.3">
      <c r="A371" s="175"/>
      <c r="B371" s="175"/>
      <c r="C371" s="175"/>
      <c r="D371" s="175"/>
      <c r="E371" s="175"/>
      <c r="F371" s="175"/>
      <c r="G371" s="175"/>
      <c r="H371" s="175"/>
      <c r="I371" s="175"/>
      <c r="J371" s="175"/>
    </row>
    <row r="372" spans="1:10" x14ac:dyDescent="0.3">
      <c r="A372" s="175"/>
      <c r="B372" s="175"/>
      <c r="C372" s="175"/>
      <c r="D372" s="175"/>
      <c r="E372" s="175"/>
      <c r="F372" s="175"/>
      <c r="G372" s="175"/>
      <c r="H372" s="175"/>
      <c r="I372" s="175"/>
      <c r="J372" s="175"/>
    </row>
    <row r="373" spans="1:10" x14ac:dyDescent="0.3">
      <c r="A373" s="175"/>
      <c r="B373" s="175"/>
      <c r="C373" s="175"/>
      <c r="D373" s="175"/>
      <c r="E373" s="175"/>
      <c r="F373" s="175"/>
      <c r="G373" s="175"/>
      <c r="H373" s="175"/>
      <c r="I373" s="175"/>
      <c r="J373" s="175"/>
    </row>
    <row r="374" spans="1:10" x14ac:dyDescent="0.3">
      <c r="A374" s="175"/>
      <c r="B374" s="175"/>
      <c r="C374" s="175"/>
      <c r="D374" s="175"/>
      <c r="E374" s="175"/>
      <c r="F374" s="175"/>
      <c r="G374" s="175"/>
      <c r="H374" s="175"/>
      <c r="I374" s="175"/>
      <c r="J374" s="175"/>
    </row>
    <row r="375" spans="1:10" x14ac:dyDescent="0.3">
      <c r="A375" s="175"/>
      <c r="B375" s="175"/>
      <c r="C375" s="175"/>
      <c r="D375" s="175"/>
      <c r="E375" s="175"/>
      <c r="F375" s="175"/>
      <c r="G375" s="175"/>
      <c r="H375" s="175"/>
      <c r="I375" s="175"/>
      <c r="J375" s="175"/>
    </row>
    <row r="376" spans="1:10" x14ac:dyDescent="0.3">
      <c r="A376" s="175"/>
      <c r="B376" s="175"/>
      <c r="C376" s="175"/>
      <c r="D376" s="175"/>
      <c r="E376" s="175"/>
      <c r="F376" s="175"/>
      <c r="G376" s="175"/>
      <c r="H376" s="175"/>
      <c r="I376" s="175"/>
      <c r="J376" s="175"/>
    </row>
    <row r="377" spans="1:10" x14ac:dyDescent="0.3">
      <c r="A377" s="175"/>
      <c r="B377" s="175"/>
      <c r="C377" s="175"/>
      <c r="D377" s="175"/>
      <c r="E377" s="175"/>
      <c r="F377" s="175"/>
      <c r="G377" s="175"/>
      <c r="H377" s="175"/>
      <c r="I377" s="175"/>
      <c r="J377" s="175"/>
    </row>
    <row r="378" spans="1:10" x14ac:dyDescent="0.3">
      <c r="A378" s="175"/>
      <c r="B378" s="175"/>
      <c r="C378" s="175"/>
      <c r="D378" s="175"/>
      <c r="E378" s="175"/>
      <c r="F378" s="175"/>
      <c r="G378" s="175"/>
      <c r="H378" s="175"/>
      <c r="I378" s="175"/>
      <c r="J378" s="175"/>
    </row>
    <row r="379" spans="1:10" x14ac:dyDescent="0.3">
      <c r="A379" s="175"/>
      <c r="B379" s="175"/>
      <c r="C379" s="175"/>
      <c r="D379" s="175"/>
      <c r="E379" s="175"/>
      <c r="F379" s="175"/>
      <c r="G379" s="175"/>
      <c r="H379" s="175"/>
      <c r="I379" s="175"/>
      <c r="J379" s="175"/>
    </row>
    <row r="380" spans="1:10" x14ac:dyDescent="0.3">
      <c r="A380" s="175"/>
      <c r="B380" s="175"/>
      <c r="C380" s="175"/>
      <c r="D380" s="175"/>
      <c r="E380" s="175"/>
      <c r="F380" s="175"/>
      <c r="G380" s="175"/>
      <c r="H380" s="175"/>
      <c r="I380" s="175"/>
      <c r="J380" s="175"/>
    </row>
    <row r="381" spans="1:10" x14ac:dyDescent="0.3">
      <c r="A381" s="175"/>
      <c r="B381" s="175"/>
      <c r="C381" s="175"/>
      <c r="D381" s="175"/>
      <c r="E381" s="175"/>
      <c r="F381" s="175"/>
      <c r="G381" s="175"/>
      <c r="H381" s="175"/>
      <c r="I381" s="175"/>
      <c r="J381" s="175"/>
    </row>
    <row r="382" spans="1:10" x14ac:dyDescent="0.3">
      <c r="A382" s="175"/>
      <c r="B382" s="175"/>
      <c r="C382" s="175"/>
      <c r="D382" s="175"/>
      <c r="E382" s="175"/>
      <c r="F382" s="175"/>
      <c r="G382" s="175"/>
      <c r="H382" s="175"/>
      <c r="I382" s="175"/>
      <c r="J382" s="175"/>
    </row>
    <row r="383" spans="1:10" x14ac:dyDescent="0.3">
      <c r="A383" s="175"/>
      <c r="B383" s="175"/>
      <c r="C383" s="175"/>
      <c r="D383" s="175"/>
      <c r="E383" s="175"/>
      <c r="F383" s="175"/>
      <c r="G383" s="175"/>
      <c r="H383" s="175"/>
      <c r="I383" s="175"/>
      <c r="J383" s="175"/>
    </row>
    <row r="384" spans="1:10" x14ac:dyDescent="0.3">
      <c r="A384" s="175"/>
      <c r="B384" s="175"/>
      <c r="C384" s="175"/>
      <c r="D384" s="175"/>
      <c r="E384" s="175"/>
      <c r="F384" s="175"/>
      <c r="G384" s="175"/>
      <c r="H384" s="175"/>
      <c r="I384" s="175"/>
      <c r="J384" s="175"/>
    </row>
    <row r="385" spans="1:10" x14ac:dyDescent="0.3">
      <c r="A385" s="175"/>
      <c r="B385" s="175"/>
      <c r="C385" s="175"/>
      <c r="D385" s="175"/>
      <c r="E385" s="175"/>
      <c r="F385" s="175"/>
      <c r="G385" s="175"/>
      <c r="H385" s="175"/>
      <c r="I385" s="175"/>
      <c r="J385" s="175"/>
    </row>
    <row r="386" spans="1:10" x14ac:dyDescent="0.3">
      <c r="A386" s="175"/>
      <c r="B386" s="175"/>
      <c r="C386" s="175"/>
      <c r="D386" s="175"/>
      <c r="E386" s="175"/>
      <c r="F386" s="175"/>
      <c r="G386" s="175"/>
      <c r="H386" s="175"/>
      <c r="I386" s="175"/>
      <c r="J386" s="175"/>
    </row>
    <row r="387" spans="1:10" x14ac:dyDescent="0.3">
      <c r="A387" s="175"/>
      <c r="B387" s="175"/>
      <c r="C387" s="175"/>
      <c r="D387" s="175"/>
      <c r="E387" s="175"/>
      <c r="F387" s="175"/>
      <c r="G387" s="175"/>
      <c r="H387" s="175"/>
      <c r="I387" s="175"/>
      <c r="J387" s="175"/>
    </row>
    <row r="388" spans="1:10" x14ac:dyDescent="0.3">
      <c r="A388" s="175"/>
      <c r="B388" s="175"/>
      <c r="C388" s="175"/>
      <c r="D388" s="175"/>
      <c r="E388" s="175"/>
      <c r="F388" s="175"/>
      <c r="G388" s="175"/>
      <c r="H388" s="175"/>
      <c r="I388" s="175"/>
      <c r="J388" s="175"/>
    </row>
    <row r="389" spans="1:10" x14ac:dyDescent="0.3">
      <c r="A389" s="175"/>
      <c r="B389" s="175"/>
      <c r="C389" s="175"/>
      <c r="D389" s="175"/>
      <c r="E389" s="175"/>
      <c r="F389" s="175"/>
      <c r="G389" s="175"/>
      <c r="H389" s="175"/>
      <c r="I389" s="175"/>
      <c r="J389" s="175"/>
    </row>
    <row r="390" spans="1:10" x14ac:dyDescent="0.3">
      <c r="A390" s="175"/>
      <c r="B390" s="175"/>
      <c r="C390" s="175"/>
      <c r="D390" s="175"/>
      <c r="E390" s="175"/>
      <c r="F390" s="175"/>
      <c r="G390" s="175"/>
      <c r="H390" s="175"/>
      <c r="I390" s="175"/>
      <c r="J390" s="175"/>
    </row>
    <row r="391" spans="1:10" x14ac:dyDescent="0.3">
      <c r="A391" s="175"/>
      <c r="B391" s="175"/>
      <c r="C391" s="175"/>
      <c r="D391" s="175"/>
      <c r="E391" s="175"/>
      <c r="F391" s="175"/>
      <c r="G391" s="175"/>
      <c r="H391" s="175"/>
      <c r="I391" s="175"/>
      <c r="J391" s="175"/>
    </row>
    <row r="392" spans="1:10" x14ac:dyDescent="0.3">
      <c r="A392" s="175"/>
      <c r="B392" s="175"/>
      <c r="C392" s="175"/>
      <c r="D392" s="175"/>
      <c r="E392" s="175"/>
      <c r="F392" s="175"/>
      <c r="G392" s="175"/>
      <c r="H392" s="175"/>
      <c r="I392" s="175"/>
      <c r="J392" s="175"/>
    </row>
    <row r="393" spans="1:10" x14ac:dyDescent="0.3">
      <c r="A393" s="175"/>
      <c r="B393" s="175"/>
      <c r="C393" s="175"/>
      <c r="D393" s="175"/>
      <c r="E393" s="175"/>
      <c r="F393" s="175"/>
      <c r="G393" s="175"/>
      <c r="H393" s="175"/>
      <c r="I393" s="175"/>
      <c r="J393" s="175"/>
    </row>
    <row r="394" spans="1:10" x14ac:dyDescent="0.3">
      <c r="A394" s="175"/>
      <c r="B394" s="175"/>
      <c r="C394" s="175"/>
      <c r="D394" s="175"/>
      <c r="E394" s="175"/>
      <c r="F394" s="175"/>
      <c r="G394" s="175"/>
      <c r="H394" s="175"/>
      <c r="I394" s="175"/>
      <c r="J394" s="175"/>
    </row>
    <row r="395" spans="1:10" x14ac:dyDescent="0.3">
      <c r="A395" s="175"/>
      <c r="B395" s="175"/>
      <c r="C395" s="175"/>
      <c r="D395" s="175"/>
      <c r="E395" s="175"/>
      <c r="F395" s="175"/>
      <c r="G395" s="175"/>
      <c r="H395" s="175"/>
      <c r="I395" s="175"/>
      <c r="J395" s="175"/>
    </row>
    <row r="396" spans="1:10" x14ac:dyDescent="0.3">
      <c r="A396" s="175"/>
      <c r="B396" s="175"/>
      <c r="C396" s="175"/>
      <c r="D396" s="175"/>
      <c r="E396" s="175"/>
      <c r="F396" s="175"/>
      <c r="G396" s="175"/>
      <c r="H396" s="175"/>
      <c r="I396" s="175"/>
      <c r="J396" s="175"/>
    </row>
    <row r="397" spans="1:10" x14ac:dyDescent="0.3">
      <c r="A397" s="175"/>
      <c r="B397" s="175"/>
      <c r="C397" s="175"/>
      <c r="D397" s="175"/>
      <c r="E397" s="175"/>
      <c r="F397" s="175"/>
      <c r="G397" s="175"/>
      <c r="H397" s="175"/>
      <c r="I397" s="175"/>
      <c r="J397" s="175"/>
    </row>
    <row r="398" spans="1:10" x14ac:dyDescent="0.3">
      <c r="A398" s="175"/>
      <c r="B398" s="175"/>
      <c r="C398" s="175"/>
      <c r="D398" s="175"/>
      <c r="E398" s="175"/>
      <c r="F398" s="175"/>
      <c r="G398" s="175"/>
      <c r="H398" s="175"/>
      <c r="I398" s="175"/>
      <c r="J398" s="175"/>
    </row>
    <row r="399" spans="1:10" x14ac:dyDescent="0.3">
      <c r="A399" s="175"/>
      <c r="B399" s="175"/>
      <c r="C399" s="175"/>
      <c r="D399" s="175"/>
      <c r="E399" s="175"/>
      <c r="F399" s="175"/>
      <c r="G399" s="175"/>
      <c r="H399" s="175"/>
      <c r="I399" s="175"/>
      <c r="J399" s="175"/>
    </row>
    <row r="400" spans="1:10" x14ac:dyDescent="0.3">
      <c r="A400" s="175"/>
      <c r="B400" s="175"/>
      <c r="C400" s="175"/>
      <c r="D400" s="175"/>
      <c r="E400" s="175"/>
      <c r="F400" s="175"/>
      <c r="G400" s="175"/>
      <c r="H400" s="175"/>
      <c r="I400" s="175"/>
      <c r="J400" s="175"/>
    </row>
    <row r="401" spans="1:10" x14ac:dyDescent="0.3">
      <c r="A401" s="175"/>
      <c r="B401" s="175"/>
      <c r="C401" s="175"/>
      <c r="D401" s="175"/>
      <c r="E401" s="175"/>
      <c r="F401" s="175"/>
      <c r="G401" s="175"/>
      <c r="H401" s="175"/>
      <c r="I401" s="175"/>
      <c r="J401" s="175"/>
    </row>
    <row r="402" spans="1:10" x14ac:dyDescent="0.3">
      <c r="A402" s="175"/>
      <c r="B402" s="175"/>
      <c r="C402" s="175"/>
      <c r="D402" s="175"/>
      <c r="E402" s="175"/>
      <c r="F402" s="175"/>
      <c r="G402" s="175"/>
      <c r="H402" s="175"/>
      <c r="I402" s="175"/>
      <c r="J402" s="175"/>
    </row>
    <row r="403" spans="1:10" x14ac:dyDescent="0.3">
      <c r="A403" s="175"/>
      <c r="B403" s="175"/>
      <c r="C403" s="175"/>
      <c r="D403" s="175"/>
      <c r="E403" s="175"/>
      <c r="F403" s="175"/>
      <c r="G403" s="175"/>
      <c r="H403" s="175"/>
      <c r="I403" s="175"/>
      <c r="J403" s="175"/>
    </row>
    <row r="404" spans="1:10" x14ac:dyDescent="0.3">
      <c r="A404" s="175"/>
      <c r="B404" s="175"/>
      <c r="C404" s="175"/>
      <c r="D404" s="175"/>
      <c r="E404" s="175"/>
      <c r="F404" s="175"/>
      <c r="G404" s="175"/>
      <c r="H404" s="175"/>
      <c r="I404" s="175"/>
      <c r="J404" s="175"/>
    </row>
    <row r="405" spans="1:10" x14ac:dyDescent="0.3">
      <c r="A405" s="175"/>
      <c r="B405" s="175"/>
      <c r="C405" s="175"/>
      <c r="D405" s="175"/>
      <c r="E405" s="175"/>
      <c r="F405" s="175"/>
      <c r="G405" s="175"/>
      <c r="H405" s="175"/>
      <c r="I405" s="175"/>
      <c r="J405" s="175"/>
    </row>
    <row r="406" spans="1:10" x14ac:dyDescent="0.3">
      <c r="A406" s="175"/>
      <c r="B406" s="175"/>
      <c r="C406" s="175"/>
      <c r="D406" s="175"/>
      <c r="E406" s="175"/>
      <c r="F406" s="175"/>
      <c r="G406" s="175"/>
      <c r="H406" s="175"/>
      <c r="I406" s="175"/>
      <c r="J406" s="175"/>
    </row>
    <row r="407" spans="1:10" x14ac:dyDescent="0.3">
      <c r="A407" s="175"/>
      <c r="B407" s="175"/>
      <c r="C407" s="175"/>
      <c r="D407" s="175"/>
      <c r="E407" s="175"/>
      <c r="F407" s="175"/>
      <c r="G407" s="175"/>
      <c r="H407" s="175"/>
      <c r="I407" s="175"/>
      <c r="J407" s="175"/>
    </row>
    <row r="408" spans="1:10" x14ac:dyDescent="0.3">
      <c r="A408" s="175"/>
      <c r="B408" s="175"/>
      <c r="C408" s="175"/>
      <c r="D408" s="175"/>
      <c r="E408" s="175"/>
      <c r="F408" s="175"/>
      <c r="G408" s="175"/>
      <c r="H408" s="175"/>
      <c r="I408" s="175"/>
      <c r="J408" s="175"/>
    </row>
    <row r="409" spans="1:10" x14ac:dyDescent="0.3">
      <c r="A409" s="175"/>
      <c r="B409" s="175"/>
      <c r="C409" s="175"/>
      <c r="D409" s="175"/>
      <c r="E409" s="175"/>
      <c r="F409" s="175"/>
      <c r="G409" s="175"/>
      <c r="H409" s="175"/>
      <c r="I409" s="175"/>
      <c r="J409" s="175"/>
    </row>
    <row r="410" spans="1:10" x14ac:dyDescent="0.3">
      <c r="A410" s="175"/>
      <c r="B410" s="175"/>
      <c r="C410" s="175"/>
      <c r="D410" s="175"/>
      <c r="E410" s="175"/>
      <c r="F410" s="175"/>
      <c r="G410" s="175"/>
      <c r="H410" s="175"/>
      <c r="I410" s="175"/>
      <c r="J410" s="175"/>
    </row>
    <row r="411" spans="1:10" x14ac:dyDescent="0.3">
      <c r="A411" s="175"/>
      <c r="B411" s="175"/>
      <c r="C411" s="175"/>
      <c r="D411" s="175"/>
      <c r="E411" s="175"/>
      <c r="F411" s="175"/>
      <c r="G411" s="175"/>
      <c r="H411" s="175"/>
      <c r="I411" s="175"/>
      <c r="J411" s="175"/>
    </row>
    <row r="412" spans="1:10" x14ac:dyDescent="0.3">
      <c r="A412" s="175"/>
      <c r="B412" s="175"/>
      <c r="C412" s="175"/>
      <c r="D412" s="175"/>
      <c r="E412" s="175"/>
      <c r="F412" s="175"/>
      <c r="G412" s="175"/>
      <c r="H412" s="175"/>
      <c r="I412" s="175"/>
      <c r="J412" s="175"/>
    </row>
    <row r="413" spans="1:10" x14ac:dyDescent="0.3">
      <c r="A413" s="175"/>
      <c r="B413" s="175"/>
      <c r="C413" s="175"/>
      <c r="D413" s="175"/>
      <c r="E413" s="175"/>
      <c r="F413" s="175"/>
      <c r="G413" s="175"/>
      <c r="H413" s="175"/>
      <c r="I413" s="175"/>
      <c r="J413" s="175"/>
    </row>
    <row r="414" spans="1:10" x14ac:dyDescent="0.3">
      <c r="A414" s="175"/>
      <c r="B414" s="175"/>
      <c r="C414" s="175"/>
      <c r="D414" s="175"/>
      <c r="E414" s="175"/>
      <c r="F414" s="175"/>
      <c r="G414" s="175"/>
      <c r="H414" s="175"/>
      <c r="I414" s="175"/>
      <c r="J414" s="175"/>
    </row>
    <row r="415" spans="1:10" x14ac:dyDescent="0.3">
      <c r="A415" s="175"/>
      <c r="B415" s="175"/>
      <c r="C415" s="175"/>
      <c r="D415" s="175"/>
      <c r="E415" s="175"/>
      <c r="F415" s="175"/>
      <c r="G415" s="175"/>
      <c r="H415" s="175"/>
      <c r="I415" s="175"/>
      <c r="J415" s="175"/>
    </row>
    <row r="416" spans="1:10" x14ac:dyDescent="0.3">
      <c r="A416" s="175"/>
      <c r="B416" s="175"/>
      <c r="C416" s="175"/>
      <c r="D416" s="175"/>
      <c r="E416" s="175"/>
      <c r="F416" s="175"/>
      <c r="G416" s="175"/>
      <c r="H416" s="175"/>
      <c r="I416" s="175"/>
      <c r="J416" s="175"/>
    </row>
    <row r="417" spans="1:10" x14ac:dyDescent="0.3">
      <c r="A417" s="175"/>
      <c r="B417" s="175"/>
      <c r="C417" s="175"/>
      <c r="D417" s="175"/>
      <c r="E417" s="175"/>
      <c r="F417" s="175"/>
      <c r="G417" s="175"/>
      <c r="H417" s="175"/>
      <c r="I417" s="175"/>
      <c r="J417" s="175"/>
    </row>
    <row r="418" spans="1:10" x14ac:dyDescent="0.3">
      <c r="A418" s="175"/>
      <c r="B418" s="175"/>
      <c r="C418" s="175"/>
      <c r="D418" s="175"/>
      <c r="E418" s="175"/>
      <c r="F418" s="175"/>
      <c r="G418" s="175"/>
      <c r="H418" s="175"/>
      <c r="I418" s="175"/>
      <c r="J418" s="175"/>
    </row>
    <row r="419" spans="1:10" x14ac:dyDescent="0.3">
      <c r="A419" s="175"/>
      <c r="B419" s="175"/>
      <c r="C419" s="175"/>
      <c r="D419" s="175"/>
      <c r="E419" s="175"/>
      <c r="F419" s="175"/>
      <c r="G419" s="175"/>
      <c r="H419" s="175"/>
      <c r="I419" s="175"/>
      <c r="J419" s="175"/>
    </row>
    <row r="420" spans="1:10" x14ac:dyDescent="0.3">
      <c r="A420" s="175"/>
      <c r="B420" s="175"/>
      <c r="C420" s="175"/>
      <c r="D420" s="175"/>
      <c r="E420" s="175"/>
      <c r="F420" s="175"/>
      <c r="G420" s="175"/>
      <c r="H420" s="175"/>
      <c r="I420" s="175"/>
      <c r="J420" s="175"/>
    </row>
    <row r="421" spans="1:10" x14ac:dyDescent="0.3">
      <c r="A421" s="175"/>
      <c r="B421" s="175"/>
      <c r="C421" s="175"/>
      <c r="D421" s="175"/>
      <c r="E421" s="175"/>
      <c r="F421" s="175"/>
      <c r="G421" s="175"/>
      <c r="H421" s="175"/>
      <c r="I421" s="175"/>
      <c r="J421" s="175"/>
    </row>
    <row r="422" spans="1:10" x14ac:dyDescent="0.3">
      <c r="A422" s="175"/>
      <c r="B422" s="175"/>
      <c r="C422" s="175"/>
      <c r="D422" s="175"/>
      <c r="E422" s="175"/>
      <c r="F422" s="175"/>
      <c r="G422" s="175"/>
      <c r="H422" s="175"/>
      <c r="I422" s="175"/>
      <c r="J422" s="175"/>
    </row>
    <row r="423" spans="1:10" x14ac:dyDescent="0.3">
      <c r="A423" s="175"/>
      <c r="B423" s="175"/>
      <c r="C423" s="175"/>
      <c r="D423" s="175"/>
      <c r="E423" s="175"/>
      <c r="F423" s="175"/>
      <c r="G423" s="175"/>
      <c r="H423" s="175"/>
      <c r="I423" s="175"/>
      <c r="J423" s="175"/>
    </row>
    <row r="424" spans="1:10" x14ac:dyDescent="0.3">
      <c r="A424" s="175"/>
      <c r="B424" s="175"/>
      <c r="C424" s="175"/>
      <c r="D424" s="175"/>
      <c r="E424" s="175"/>
      <c r="F424" s="175"/>
      <c r="G424" s="175"/>
      <c r="H424" s="175"/>
      <c r="I424" s="175"/>
      <c r="J424" s="175"/>
    </row>
    <row r="425" spans="1:10" x14ac:dyDescent="0.3">
      <c r="A425" s="175"/>
      <c r="B425" s="175"/>
      <c r="C425" s="175"/>
      <c r="D425" s="175"/>
      <c r="E425" s="175"/>
      <c r="F425" s="175"/>
      <c r="G425" s="175"/>
      <c r="H425" s="175"/>
      <c r="I425" s="175"/>
      <c r="J425" s="175"/>
    </row>
    <row r="426" spans="1:10" x14ac:dyDescent="0.3">
      <c r="A426" s="175"/>
      <c r="B426" s="175"/>
      <c r="C426" s="175"/>
      <c r="D426" s="175"/>
      <c r="E426" s="175"/>
      <c r="F426" s="175"/>
      <c r="G426" s="175"/>
      <c r="H426" s="175"/>
      <c r="I426" s="175"/>
      <c r="J426" s="175"/>
    </row>
    <row r="427" spans="1:10" x14ac:dyDescent="0.3">
      <c r="A427" s="175"/>
      <c r="B427" s="175"/>
      <c r="C427" s="175"/>
      <c r="D427" s="175"/>
      <c r="E427" s="175"/>
      <c r="F427" s="175"/>
      <c r="G427" s="175"/>
      <c r="H427" s="175"/>
      <c r="I427" s="175"/>
      <c r="J427" s="175"/>
    </row>
    <row r="428" spans="1:10" x14ac:dyDescent="0.3">
      <c r="A428" s="175"/>
      <c r="B428" s="175"/>
      <c r="C428" s="175"/>
      <c r="D428" s="175"/>
      <c r="E428" s="175"/>
      <c r="F428" s="175"/>
      <c r="G428" s="175"/>
      <c r="H428" s="175"/>
      <c r="I428" s="175"/>
      <c r="J428" s="175"/>
    </row>
    <row r="429" spans="1:10" x14ac:dyDescent="0.3">
      <c r="A429" s="175"/>
      <c r="B429" s="175"/>
      <c r="C429" s="175"/>
      <c r="D429" s="175"/>
      <c r="E429" s="175"/>
      <c r="F429" s="175"/>
      <c r="G429" s="175"/>
      <c r="H429" s="175"/>
      <c r="I429" s="175"/>
      <c r="J429" s="175"/>
    </row>
    <row r="430" spans="1:10" x14ac:dyDescent="0.3">
      <c r="A430" s="175"/>
      <c r="B430" s="175"/>
      <c r="C430" s="175"/>
      <c r="D430" s="175"/>
      <c r="E430" s="175"/>
      <c r="F430" s="175"/>
      <c r="G430" s="175"/>
      <c r="H430" s="175"/>
      <c r="I430" s="175"/>
      <c r="J430" s="175"/>
    </row>
    <row r="431" spans="1:10" x14ac:dyDescent="0.3">
      <c r="A431" s="175"/>
      <c r="B431" s="175"/>
      <c r="C431" s="175"/>
      <c r="D431" s="175"/>
      <c r="E431" s="175"/>
      <c r="F431" s="175"/>
      <c r="G431" s="175"/>
      <c r="H431" s="175"/>
      <c r="I431" s="175"/>
      <c r="J431" s="175"/>
    </row>
    <row r="432" spans="1:10" x14ac:dyDescent="0.3">
      <c r="A432" s="175"/>
      <c r="B432" s="175"/>
      <c r="C432" s="175"/>
      <c r="D432" s="175"/>
      <c r="E432" s="175"/>
      <c r="F432" s="175"/>
      <c r="G432" s="175"/>
      <c r="H432" s="175"/>
      <c r="I432" s="175"/>
      <c r="J432" s="175"/>
    </row>
    <row r="433" spans="1:10" x14ac:dyDescent="0.3">
      <c r="A433" s="175"/>
      <c r="B433" s="175"/>
      <c r="C433" s="175"/>
      <c r="D433" s="175"/>
      <c r="E433" s="175"/>
      <c r="F433" s="175"/>
      <c r="G433" s="175"/>
      <c r="H433" s="175"/>
      <c r="I433" s="175"/>
      <c r="J433" s="175"/>
    </row>
    <row r="434" spans="1:10" x14ac:dyDescent="0.3">
      <c r="A434" s="175"/>
      <c r="B434" s="175"/>
      <c r="C434" s="175"/>
      <c r="D434" s="175"/>
      <c r="E434" s="175"/>
      <c r="F434" s="175"/>
      <c r="G434" s="175"/>
      <c r="H434" s="175"/>
      <c r="I434" s="175"/>
      <c r="J434" s="175"/>
    </row>
    <row r="435" spans="1:10" x14ac:dyDescent="0.3">
      <c r="A435" s="175"/>
      <c r="B435" s="175"/>
      <c r="C435" s="175"/>
      <c r="D435" s="175"/>
      <c r="E435" s="175"/>
      <c r="F435" s="175"/>
      <c r="G435" s="175"/>
      <c r="H435" s="175"/>
      <c r="I435" s="175"/>
      <c r="J435" s="175"/>
    </row>
    <row r="436" spans="1:10" x14ac:dyDescent="0.3">
      <c r="A436" s="175"/>
      <c r="B436" s="175"/>
      <c r="C436" s="175"/>
      <c r="D436" s="175"/>
      <c r="E436" s="175"/>
      <c r="F436" s="175"/>
      <c r="G436" s="175"/>
      <c r="H436" s="175"/>
      <c r="I436" s="175"/>
      <c r="J436" s="175"/>
    </row>
    <row r="437" spans="1:10" x14ac:dyDescent="0.3">
      <c r="A437" s="175"/>
      <c r="B437" s="175"/>
      <c r="C437" s="175"/>
      <c r="D437" s="175"/>
      <c r="E437" s="175"/>
      <c r="F437" s="175"/>
      <c r="G437" s="175"/>
      <c r="H437" s="175"/>
      <c r="I437" s="175"/>
      <c r="J437" s="175"/>
    </row>
    <row r="438" spans="1:10" x14ac:dyDescent="0.3">
      <c r="A438" s="175"/>
      <c r="B438" s="175"/>
      <c r="C438" s="175"/>
      <c r="D438" s="175"/>
      <c r="E438" s="175"/>
      <c r="F438" s="175"/>
      <c r="G438" s="175"/>
      <c r="H438" s="175"/>
      <c r="I438" s="175"/>
      <c r="J438" s="175"/>
    </row>
    <row r="439" spans="1:10" x14ac:dyDescent="0.3">
      <c r="A439" s="175"/>
      <c r="B439" s="175"/>
      <c r="C439" s="175"/>
      <c r="D439" s="175"/>
      <c r="E439" s="175"/>
      <c r="F439" s="175"/>
      <c r="G439" s="175"/>
      <c r="H439" s="175"/>
      <c r="I439" s="175"/>
      <c r="J439" s="175"/>
    </row>
    <row r="440" spans="1:10" x14ac:dyDescent="0.3">
      <c r="A440" s="175"/>
      <c r="B440" s="175"/>
      <c r="C440" s="175"/>
      <c r="D440" s="175"/>
      <c r="E440" s="175"/>
      <c r="F440" s="175"/>
      <c r="G440" s="175"/>
      <c r="H440" s="175"/>
      <c r="I440" s="175"/>
      <c r="J440" s="175"/>
    </row>
    <row r="441" spans="1:10" x14ac:dyDescent="0.3">
      <c r="A441" s="175"/>
      <c r="B441" s="175"/>
      <c r="C441" s="175"/>
      <c r="D441" s="175"/>
      <c r="E441" s="175"/>
      <c r="F441" s="175"/>
      <c r="G441" s="175"/>
      <c r="H441" s="175"/>
      <c r="I441" s="175"/>
      <c r="J441" s="175"/>
    </row>
    <row r="442" spans="1:10" x14ac:dyDescent="0.3">
      <c r="A442" s="175"/>
      <c r="B442" s="175"/>
      <c r="C442" s="175"/>
      <c r="D442" s="175"/>
      <c r="E442" s="175"/>
      <c r="F442" s="175"/>
      <c r="G442" s="175"/>
      <c r="H442" s="175"/>
      <c r="I442" s="175"/>
      <c r="J442" s="175"/>
    </row>
    <row r="443" spans="1:10" x14ac:dyDescent="0.3">
      <c r="A443" s="175"/>
      <c r="B443" s="175"/>
      <c r="C443" s="175"/>
      <c r="D443" s="175"/>
      <c r="E443" s="175"/>
      <c r="F443" s="175"/>
      <c r="G443" s="175"/>
      <c r="H443" s="175"/>
      <c r="I443" s="175"/>
      <c r="J443" s="175"/>
    </row>
    <row r="444" spans="1:10" x14ac:dyDescent="0.3">
      <c r="A444" s="175"/>
      <c r="B444" s="175"/>
      <c r="C444" s="175"/>
      <c r="D444" s="175"/>
      <c r="E444" s="175"/>
      <c r="F444" s="175"/>
      <c r="G444" s="175"/>
      <c r="H444" s="175"/>
      <c r="I444" s="175"/>
      <c r="J444" s="175"/>
    </row>
    <row r="445" spans="1:10" x14ac:dyDescent="0.3">
      <c r="A445" s="175"/>
      <c r="B445" s="175"/>
      <c r="C445" s="175"/>
      <c r="D445" s="175"/>
      <c r="E445" s="175"/>
      <c r="F445" s="175"/>
      <c r="G445" s="175"/>
      <c r="H445" s="175"/>
      <c r="I445" s="175"/>
      <c r="J445" s="175"/>
    </row>
    <row r="446" spans="1:10" x14ac:dyDescent="0.3">
      <c r="A446" s="175"/>
      <c r="B446" s="175"/>
      <c r="C446" s="175"/>
      <c r="D446" s="175"/>
      <c r="E446" s="175"/>
      <c r="F446" s="175"/>
      <c r="G446" s="175"/>
      <c r="H446" s="175"/>
      <c r="I446" s="175"/>
      <c r="J446" s="175"/>
    </row>
    <row r="447" spans="1:10" x14ac:dyDescent="0.3">
      <c r="A447" s="175"/>
      <c r="B447" s="175"/>
      <c r="C447" s="175"/>
      <c r="D447" s="175"/>
      <c r="E447" s="175"/>
      <c r="F447" s="175"/>
      <c r="G447" s="175"/>
      <c r="H447" s="175"/>
      <c r="I447" s="175"/>
      <c r="J447" s="175"/>
    </row>
    <row r="448" spans="1:10" x14ac:dyDescent="0.3">
      <c r="A448" s="175"/>
      <c r="B448" s="175"/>
      <c r="C448" s="175"/>
      <c r="D448" s="175"/>
      <c r="E448" s="175"/>
      <c r="F448" s="175"/>
      <c r="G448" s="175"/>
      <c r="H448" s="175"/>
      <c r="I448" s="175"/>
      <c r="J448" s="175"/>
    </row>
    <row r="449" spans="1:10" x14ac:dyDescent="0.3">
      <c r="A449" s="175"/>
      <c r="B449" s="175"/>
      <c r="C449" s="175"/>
      <c r="D449" s="175"/>
      <c r="E449" s="175"/>
      <c r="F449" s="175"/>
      <c r="G449" s="175"/>
      <c r="H449" s="175"/>
      <c r="I449" s="175"/>
      <c r="J449" s="175"/>
    </row>
    <row r="450" spans="1:10" x14ac:dyDescent="0.3">
      <c r="A450" s="175"/>
      <c r="B450" s="175"/>
      <c r="C450" s="175"/>
      <c r="D450" s="175"/>
      <c r="E450" s="175"/>
      <c r="F450" s="175"/>
      <c r="G450" s="175"/>
      <c r="H450" s="175"/>
      <c r="I450" s="175"/>
      <c r="J450" s="175"/>
    </row>
    <row r="451" spans="1:10" x14ac:dyDescent="0.3">
      <c r="A451" s="175"/>
      <c r="B451" s="175"/>
      <c r="C451" s="175"/>
      <c r="D451" s="175"/>
      <c r="E451" s="175"/>
      <c r="F451" s="175"/>
      <c r="G451" s="175"/>
      <c r="H451" s="175"/>
      <c r="I451" s="175"/>
      <c r="J451" s="175"/>
    </row>
    <row r="452" spans="1:10" x14ac:dyDescent="0.3">
      <c r="A452" s="175"/>
      <c r="B452" s="175"/>
      <c r="C452" s="175"/>
      <c r="D452" s="175"/>
      <c r="E452" s="175"/>
      <c r="F452" s="175"/>
      <c r="G452" s="175"/>
      <c r="H452" s="175"/>
      <c r="I452" s="175"/>
      <c r="J452" s="175"/>
    </row>
    <row r="453" spans="1:10" x14ac:dyDescent="0.3">
      <c r="A453" s="175"/>
      <c r="B453" s="175"/>
      <c r="C453" s="175"/>
      <c r="D453" s="175"/>
      <c r="E453" s="175"/>
      <c r="F453" s="175"/>
      <c r="G453" s="175"/>
      <c r="H453" s="175"/>
      <c r="I453" s="175"/>
      <c r="J453" s="175"/>
    </row>
    <row r="454" spans="1:10" x14ac:dyDescent="0.3">
      <c r="A454" s="175"/>
      <c r="B454" s="175"/>
      <c r="C454" s="175"/>
      <c r="D454" s="175"/>
      <c r="E454" s="175"/>
      <c r="F454" s="175"/>
      <c r="G454" s="175"/>
      <c r="H454" s="175"/>
      <c r="I454" s="175"/>
      <c r="J454" s="175"/>
    </row>
    <row r="455" spans="1:10" x14ac:dyDescent="0.3">
      <c r="A455" s="175"/>
      <c r="B455" s="175"/>
      <c r="C455" s="175"/>
      <c r="D455" s="175"/>
      <c r="E455" s="175"/>
      <c r="F455" s="175"/>
      <c r="G455" s="175"/>
      <c r="H455" s="175"/>
      <c r="I455" s="175"/>
      <c r="J455" s="175"/>
    </row>
    <row r="456" spans="1:10" x14ac:dyDescent="0.3">
      <c r="A456" s="175"/>
      <c r="B456" s="175"/>
      <c r="C456" s="175"/>
      <c r="D456" s="175"/>
      <c r="E456" s="175"/>
      <c r="F456" s="175"/>
      <c r="G456" s="175"/>
      <c r="H456" s="175"/>
      <c r="I456" s="175"/>
      <c r="J456" s="175"/>
    </row>
    <row r="457" spans="1:10" x14ac:dyDescent="0.3">
      <c r="A457" s="175"/>
      <c r="B457" s="175"/>
      <c r="C457" s="175"/>
      <c r="D457" s="175"/>
      <c r="E457" s="175"/>
      <c r="F457" s="175"/>
      <c r="G457" s="175"/>
      <c r="H457" s="175"/>
      <c r="I457" s="175"/>
      <c r="J457" s="175"/>
    </row>
    <row r="458" spans="1:10" x14ac:dyDescent="0.3">
      <c r="A458" s="175"/>
      <c r="B458" s="175"/>
      <c r="C458" s="175"/>
      <c r="D458" s="175"/>
      <c r="E458" s="175"/>
      <c r="F458" s="175"/>
      <c r="G458" s="175"/>
      <c r="H458" s="175"/>
      <c r="I458" s="175"/>
      <c r="J458" s="175"/>
    </row>
    <row r="459" spans="1:10" x14ac:dyDescent="0.3">
      <c r="A459" s="175"/>
      <c r="B459" s="175"/>
      <c r="C459" s="175"/>
      <c r="D459" s="175"/>
      <c r="E459" s="175"/>
      <c r="F459" s="175"/>
      <c r="G459" s="175"/>
      <c r="H459" s="175"/>
      <c r="I459" s="175"/>
      <c r="J459" s="175"/>
    </row>
    <row r="460" spans="1:10" x14ac:dyDescent="0.3">
      <c r="A460" s="175"/>
      <c r="B460" s="175"/>
      <c r="C460" s="175"/>
      <c r="D460" s="175"/>
      <c r="E460" s="175"/>
      <c r="F460" s="175"/>
      <c r="G460" s="175"/>
      <c r="H460" s="175"/>
      <c r="I460" s="175"/>
      <c r="J460" s="175"/>
    </row>
    <row r="461" spans="1:10" x14ac:dyDescent="0.3">
      <c r="A461" s="175"/>
      <c r="B461" s="175"/>
      <c r="C461" s="175"/>
      <c r="D461" s="175"/>
      <c r="E461" s="175"/>
      <c r="F461" s="175"/>
      <c r="G461" s="175"/>
      <c r="H461" s="175"/>
      <c r="I461" s="175"/>
      <c r="J461" s="175"/>
    </row>
    <row r="462" spans="1:10" x14ac:dyDescent="0.3">
      <c r="A462" s="175"/>
      <c r="B462" s="175"/>
      <c r="C462" s="175"/>
      <c r="D462" s="175"/>
      <c r="E462" s="175"/>
      <c r="F462" s="175"/>
      <c r="G462" s="175"/>
      <c r="H462" s="175"/>
      <c r="I462" s="175"/>
      <c r="J462" s="175"/>
    </row>
    <row r="463" spans="1:10" x14ac:dyDescent="0.3">
      <c r="A463" s="175"/>
      <c r="B463" s="175"/>
      <c r="C463" s="175"/>
      <c r="D463" s="175"/>
      <c r="E463" s="175"/>
      <c r="F463" s="175"/>
      <c r="G463" s="175"/>
      <c r="H463" s="175"/>
      <c r="I463" s="175"/>
      <c r="J463" s="175"/>
    </row>
    <row r="464" spans="1:10" x14ac:dyDescent="0.3">
      <c r="A464" s="175"/>
      <c r="B464" s="175"/>
      <c r="C464" s="175"/>
      <c r="D464" s="175"/>
      <c r="E464" s="175"/>
      <c r="F464" s="175"/>
      <c r="G464" s="175"/>
      <c r="H464" s="175"/>
      <c r="I464" s="175"/>
      <c r="J464" s="175"/>
    </row>
    <row r="465" spans="1:10" x14ac:dyDescent="0.3">
      <c r="A465" s="175"/>
      <c r="B465" s="175"/>
      <c r="C465" s="175"/>
      <c r="D465" s="175"/>
      <c r="E465" s="175"/>
      <c r="F465" s="175"/>
      <c r="G465" s="175"/>
      <c r="H465" s="175"/>
      <c r="I465" s="175"/>
      <c r="J465" s="175"/>
    </row>
    <row r="466" spans="1:10" x14ac:dyDescent="0.3">
      <c r="A466" s="175"/>
      <c r="B466" s="175"/>
      <c r="C466" s="175"/>
      <c r="D466" s="175"/>
      <c r="E466" s="175"/>
      <c r="F466" s="175"/>
      <c r="G466" s="175"/>
      <c r="H466" s="175"/>
      <c r="I466" s="175"/>
      <c r="J466" s="175"/>
    </row>
    <row r="467" spans="1:10" x14ac:dyDescent="0.3">
      <c r="A467" s="175"/>
      <c r="B467" s="175"/>
      <c r="C467" s="175"/>
      <c r="D467" s="175"/>
      <c r="E467" s="175"/>
      <c r="F467" s="175"/>
      <c r="G467" s="175"/>
      <c r="H467" s="175"/>
      <c r="I467" s="175"/>
      <c r="J467" s="175"/>
    </row>
    <row r="468" spans="1:10" x14ac:dyDescent="0.3">
      <c r="A468" s="175"/>
      <c r="B468" s="175"/>
      <c r="C468" s="175"/>
      <c r="D468" s="175"/>
      <c r="E468" s="175"/>
      <c r="F468" s="175"/>
      <c r="G468" s="175"/>
      <c r="H468" s="175"/>
      <c r="I468" s="175"/>
      <c r="J468" s="175"/>
    </row>
    <row r="469" spans="1:10" x14ac:dyDescent="0.3">
      <c r="A469" s="175"/>
      <c r="B469" s="175"/>
      <c r="C469" s="175"/>
      <c r="D469" s="175"/>
      <c r="E469" s="175"/>
      <c r="F469" s="175"/>
      <c r="G469" s="175"/>
      <c r="H469" s="175"/>
      <c r="I469" s="175"/>
      <c r="J469" s="175"/>
    </row>
    <row r="470" spans="1:10" x14ac:dyDescent="0.3">
      <c r="A470" s="175"/>
      <c r="B470" s="175"/>
      <c r="C470" s="175"/>
      <c r="D470" s="175"/>
      <c r="E470" s="175"/>
      <c r="F470" s="175"/>
      <c r="G470" s="175"/>
      <c r="H470" s="175"/>
      <c r="I470" s="175"/>
      <c r="J470" s="175"/>
    </row>
    <row r="471" spans="1:10" x14ac:dyDescent="0.3">
      <c r="A471" s="175"/>
      <c r="B471" s="175"/>
      <c r="C471" s="175"/>
      <c r="D471" s="175"/>
      <c r="E471" s="175"/>
      <c r="F471" s="175"/>
      <c r="G471" s="175"/>
      <c r="H471" s="175"/>
      <c r="I471" s="175"/>
      <c r="J471" s="175"/>
    </row>
    <row r="472" spans="1:10" x14ac:dyDescent="0.3">
      <c r="A472" s="175"/>
      <c r="B472" s="175"/>
      <c r="C472" s="175"/>
      <c r="D472" s="175"/>
      <c r="E472" s="175"/>
      <c r="F472" s="175"/>
      <c r="G472" s="175"/>
      <c r="H472" s="175"/>
      <c r="I472" s="175"/>
      <c r="J472" s="175"/>
    </row>
    <row r="473" spans="1:10" x14ac:dyDescent="0.3">
      <c r="A473" s="175"/>
      <c r="B473" s="175"/>
      <c r="C473" s="175"/>
      <c r="D473" s="175"/>
      <c r="E473" s="175"/>
      <c r="F473" s="175"/>
      <c r="G473" s="175"/>
      <c r="H473" s="175"/>
      <c r="I473" s="175"/>
      <c r="J473" s="175"/>
    </row>
    <row r="474" spans="1:10" x14ac:dyDescent="0.3">
      <c r="A474" s="175"/>
      <c r="B474" s="175"/>
      <c r="C474" s="175"/>
      <c r="D474" s="175"/>
      <c r="E474" s="175"/>
      <c r="F474" s="175"/>
      <c r="G474" s="175"/>
      <c r="H474" s="175"/>
      <c r="I474" s="175"/>
      <c r="J474" s="175"/>
    </row>
    <row r="475" spans="1:10" x14ac:dyDescent="0.3">
      <c r="A475" s="175"/>
      <c r="B475" s="175"/>
      <c r="C475" s="175"/>
      <c r="D475" s="175"/>
      <c r="E475" s="175"/>
      <c r="F475" s="175"/>
      <c r="G475" s="175"/>
      <c r="H475" s="175"/>
      <c r="I475" s="175"/>
      <c r="J475" s="175"/>
    </row>
    <row r="476" spans="1:10" x14ac:dyDescent="0.3">
      <c r="A476" s="175"/>
      <c r="B476" s="175"/>
      <c r="C476" s="175"/>
      <c r="D476" s="175"/>
      <c r="E476" s="175"/>
      <c r="F476" s="175"/>
      <c r="G476" s="175"/>
      <c r="H476" s="175"/>
      <c r="I476" s="175"/>
      <c r="J476" s="175"/>
    </row>
    <row r="477" spans="1:10" x14ac:dyDescent="0.3">
      <c r="A477" s="175"/>
      <c r="B477" s="175"/>
      <c r="C477" s="175"/>
      <c r="D477" s="175"/>
      <c r="E477" s="175"/>
      <c r="F477" s="175"/>
      <c r="G477" s="175"/>
      <c r="H477" s="175"/>
      <c r="I477" s="175"/>
      <c r="J477" s="175"/>
    </row>
    <row r="478" spans="1:10" x14ac:dyDescent="0.3">
      <c r="A478" s="175"/>
      <c r="B478" s="175"/>
      <c r="C478" s="175"/>
      <c r="D478" s="175"/>
      <c r="E478" s="175"/>
      <c r="F478" s="175"/>
      <c r="G478" s="175"/>
      <c r="H478" s="175"/>
      <c r="I478" s="175"/>
      <c r="J478" s="175"/>
    </row>
    <row r="479" spans="1:10" x14ac:dyDescent="0.3">
      <c r="A479" s="175"/>
      <c r="B479" s="175"/>
      <c r="C479" s="175"/>
      <c r="D479" s="175"/>
      <c r="E479" s="175"/>
      <c r="F479" s="175"/>
      <c r="G479" s="175"/>
      <c r="H479" s="175"/>
      <c r="I479" s="175"/>
      <c r="J479" s="175"/>
    </row>
    <row r="480" spans="1:10" x14ac:dyDescent="0.3">
      <c r="A480" s="175"/>
      <c r="B480" s="175"/>
      <c r="C480" s="175"/>
      <c r="D480" s="175"/>
      <c r="E480" s="175"/>
      <c r="F480" s="175"/>
      <c r="G480" s="175"/>
      <c r="H480" s="175"/>
      <c r="I480" s="175"/>
      <c r="J480" s="175"/>
    </row>
    <row r="481" spans="1:10" x14ac:dyDescent="0.3">
      <c r="A481" s="175"/>
      <c r="B481" s="175"/>
      <c r="C481" s="175"/>
      <c r="D481" s="175"/>
      <c r="E481" s="175"/>
      <c r="F481" s="175"/>
      <c r="G481" s="175"/>
      <c r="H481" s="175"/>
      <c r="I481" s="175"/>
      <c r="J481" s="175"/>
    </row>
    <row r="482" spans="1:10" x14ac:dyDescent="0.3">
      <c r="A482" s="175"/>
      <c r="B482" s="175"/>
      <c r="C482" s="175"/>
      <c r="D482" s="175"/>
      <c r="E482" s="175"/>
      <c r="F482" s="175"/>
      <c r="G482" s="175"/>
      <c r="H482" s="175"/>
      <c r="I482" s="175"/>
      <c r="J482" s="175"/>
    </row>
    <row r="483" spans="1:10" x14ac:dyDescent="0.3">
      <c r="A483" s="175"/>
      <c r="B483" s="175"/>
      <c r="C483" s="175"/>
      <c r="D483" s="175"/>
      <c r="E483" s="175"/>
      <c r="F483" s="175"/>
      <c r="G483" s="175"/>
      <c r="H483" s="175"/>
      <c r="I483" s="175"/>
      <c r="J483" s="175"/>
    </row>
    <row r="484" spans="1:10" x14ac:dyDescent="0.3">
      <c r="A484" s="175"/>
      <c r="B484" s="175"/>
      <c r="C484" s="175"/>
      <c r="D484" s="175"/>
      <c r="E484" s="175"/>
      <c r="F484" s="175"/>
      <c r="G484" s="175"/>
      <c r="H484" s="175"/>
      <c r="I484" s="175"/>
      <c r="J484" s="175"/>
    </row>
    <row r="485" spans="1:10" x14ac:dyDescent="0.3">
      <c r="A485" s="175"/>
      <c r="B485" s="175"/>
      <c r="C485" s="175"/>
      <c r="D485" s="175"/>
      <c r="E485" s="175"/>
      <c r="F485" s="175"/>
      <c r="G485" s="175"/>
      <c r="H485" s="175"/>
      <c r="I485" s="175"/>
      <c r="J485" s="175"/>
    </row>
    <row r="486" spans="1:10" x14ac:dyDescent="0.3">
      <c r="A486" s="175"/>
      <c r="B486" s="175"/>
      <c r="C486" s="175"/>
      <c r="D486" s="175"/>
      <c r="E486" s="175"/>
      <c r="F486" s="175"/>
      <c r="G486" s="175"/>
      <c r="H486" s="175"/>
      <c r="I486" s="175"/>
      <c r="J486" s="175"/>
    </row>
    <row r="487" spans="1:10" x14ac:dyDescent="0.3">
      <c r="A487" s="175"/>
      <c r="B487" s="175"/>
      <c r="C487" s="175"/>
      <c r="D487" s="175"/>
      <c r="E487" s="175"/>
      <c r="F487" s="175"/>
      <c r="G487" s="175"/>
      <c r="H487" s="175"/>
      <c r="I487" s="175"/>
      <c r="J487" s="175"/>
    </row>
    <row r="488" spans="1:10" x14ac:dyDescent="0.3">
      <c r="A488" s="175"/>
      <c r="B488" s="175"/>
      <c r="C488" s="175"/>
      <c r="D488" s="175"/>
      <c r="E488" s="175"/>
      <c r="F488" s="175"/>
      <c r="G488" s="175"/>
      <c r="H488" s="175"/>
      <c r="I488" s="175"/>
      <c r="J488" s="175"/>
    </row>
    <row r="489" spans="1:10" x14ac:dyDescent="0.3">
      <c r="A489" s="175"/>
      <c r="B489" s="175"/>
      <c r="C489" s="175"/>
      <c r="D489" s="175"/>
      <c r="E489" s="175"/>
      <c r="F489" s="175"/>
      <c r="G489" s="175"/>
      <c r="H489" s="175"/>
      <c r="I489" s="175"/>
      <c r="J489" s="175"/>
    </row>
    <row r="490" spans="1:10" x14ac:dyDescent="0.3">
      <c r="A490" s="175"/>
      <c r="B490" s="175"/>
      <c r="C490" s="175"/>
      <c r="D490" s="175"/>
      <c r="E490" s="175"/>
      <c r="F490" s="175"/>
      <c r="G490" s="175"/>
      <c r="H490" s="175"/>
      <c r="I490" s="175"/>
      <c r="J490" s="175"/>
    </row>
    <row r="491" spans="1:10" x14ac:dyDescent="0.3">
      <c r="A491" s="175"/>
      <c r="B491" s="175"/>
      <c r="C491" s="175"/>
      <c r="D491" s="175"/>
      <c r="E491" s="175"/>
      <c r="F491" s="175"/>
      <c r="G491" s="175"/>
      <c r="H491" s="175"/>
      <c r="I491" s="175"/>
      <c r="J491" s="175"/>
    </row>
    <row r="492" spans="1:10" x14ac:dyDescent="0.3">
      <c r="A492" s="175"/>
      <c r="B492" s="175"/>
      <c r="C492" s="175"/>
      <c r="D492" s="175"/>
      <c r="E492" s="175"/>
      <c r="F492" s="175"/>
      <c r="G492" s="175"/>
      <c r="H492" s="175"/>
      <c r="I492" s="175"/>
      <c r="J492" s="175"/>
    </row>
    <row r="493" spans="1:10" x14ac:dyDescent="0.3">
      <c r="A493" s="175"/>
      <c r="B493" s="175"/>
      <c r="C493" s="175"/>
      <c r="D493" s="175"/>
      <c r="E493" s="175"/>
      <c r="F493" s="175"/>
      <c r="G493" s="175"/>
      <c r="H493" s="175"/>
      <c r="I493" s="175"/>
      <c r="J493" s="175"/>
    </row>
    <row r="494" spans="1:10" x14ac:dyDescent="0.3">
      <c r="A494" s="175"/>
      <c r="B494" s="175"/>
      <c r="C494" s="175"/>
      <c r="D494" s="175"/>
      <c r="E494" s="175"/>
      <c r="F494" s="175"/>
      <c r="G494" s="175"/>
      <c r="H494" s="175"/>
      <c r="I494" s="175"/>
      <c r="J494" s="175"/>
    </row>
    <row r="495" spans="1:10" x14ac:dyDescent="0.3">
      <c r="A495" s="175"/>
      <c r="B495" s="175"/>
      <c r="C495" s="175"/>
      <c r="D495" s="175"/>
      <c r="E495" s="175"/>
      <c r="F495" s="175"/>
      <c r="G495" s="175"/>
      <c r="H495" s="175"/>
      <c r="I495" s="175"/>
      <c r="J495" s="175"/>
    </row>
    <row r="496" spans="1:10" x14ac:dyDescent="0.3">
      <c r="A496" s="175"/>
      <c r="B496" s="175"/>
      <c r="C496" s="175"/>
      <c r="D496" s="175"/>
      <c r="E496" s="175"/>
      <c r="F496" s="175"/>
      <c r="G496" s="175"/>
      <c r="H496" s="175"/>
      <c r="I496" s="175"/>
      <c r="J496" s="175"/>
    </row>
    <row r="497" spans="1:10" x14ac:dyDescent="0.3">
      <c r="A497" s="175"/>
      <c r="B497" s="175"/>
      <c r="C497" s="175"/>
      <c r="D497" s="175"/>
      <c r="E497" s="175"/>
      <c r="F497" s="175"/>
      <c r="G497" s="175"/>
      <c r="H497" s="175"/>
      <c r="I497" s="175"/>
      <c r="J497" s="175"/>
    </row>
    <row r="498" spans="1:10" x14ac:dyDescent="0.3">
      <c r="A498" s="175"/>
      <c r="B498" s="175"/>
      <c r="C498" s="175"/>
      <c r="D498" s="175"/>
      <c r="E498" s="175"/>
      <c r="F498" s="175"/>
      <c r="G498" s="175"/>
      <c r="H498" s="175"/>
      <c r="I498" s="175"/>
      <c r="J498" s="175"/>
    </row>
    <row r="499" spans="1:10" x14ac:dyDescent="0.3">
      <c r="A499" s="175"/>
      <c r="B499" s="175"/>
      <c r="C499" s="175"/>
      <c r="D499" s="175"/>
      <c r="E499" s="175"/>
      <c r="F499" s="175"/>
      <c r="G499" s="175"/>
      <c r="H499" s="175"/>
      <c r="I499" s="175"/>
      <c r="J499" s="175"/>
    </row>
    <row r="500" spans="1:10" x14ac:dyDescent="0.3">
      <c r="A500" s="175"/>
      <c r="B500" s="175"/>
      <c r="C500" s="175"/>
      <c r="D500" s="175"/>
      <c r="E500" s="175"/>
      <c r="F500" s="175"/>
      <c r="G500" s="175"/>
      <c r="H500" s="175"/>
      <c r="I500" s="175"/>
      <c r="J500" s="175"/>
    </row>
    <row r="501" spans="1:10" x14ac:dyDescent="0.3">
      <c r="A501" s="175"/>
      <c r="B501" s="175"/>
      <c r="C501" s="175"/>
      <c r="D501" s="175"/>
      <c r="E501" s="175"/>
      <c r="F501" s="175"/>
      <c r="G501" s="175"/>
      <c r="H501" s="175"/>
      <c r="I501" s="175"/>
      <c r="J501" s="175"/>
    </row>
    <row r="502" spans="1:10" x14ac:dyDescent="0.3">
      <c r="A502" s="175"/>
      <c r="B502" s="175"/>
      <c r="C502" s="175"/>
      <c r="D502" s="175"/>
      <c r="E502" s="175"/>
      <c r="F502" s="175"/>
      <c r="G502" s="175"/>
      <c r="H502" s="175"/>
      <c r="I502" s="175"/>
      <c r="J502" s="175"/>
    </row>
    <row r="503" spans="1:10" x14ac:dyDescent="0.3">
      <c r="A503" s="175"/>
      <c r="B503" s="175"/>
      <c r="C503" s="175"/>
      <c r="D503" s="175"/>
      <c r="E503" s="175"/>
      <c r="F503" s="175"/>
      <c r="G503" s="175"/>
      <c r="H503" s="175"/>
      <c r="I503" s="175"/>
      <c r="J503" s="175"/>
    </row>
    <row r="504" spans="1:10" x14ac:dyDescent="0.3">
      <c r="A504" s="175"/>
      <c r="B504" s="175"/>
      <c r="C504" s="175"/>
      <c r="D504" s="175"/>
      <c r="E504" s="175"/>
      <c r="F504" s="175"/>
      <c r="G504" s="175"/>
      <c r="H504" s="175"/>
      <c r="I504" s="175"/>
      <c r="J504" s="175"/>
    </row>
    <row r="505" spans="1:10" x14ac:dyDescent="0.3">
      <c r="A505" s="175"/>
      <c r="B505" s="175"/>
      <c r="C505" s="175"/>
      <c r="D505" s="175"/>
      <c r="E505" s="175"/>
      <c r="F505" s="175"/>
      <c r="G505" s="175"/>
      <c r="H505" s="175"/>
      <c r="I505" s="175"/>
      <c r="J505" s="175"/>
    </row>
    <row r="506" spans="1:10" x14ac:dyDescent="0.3">
      <c r="A506" s="175"/>
      <c r="B506" s="175"/>
      <c r="C506" s="175"/>
      <c r="D506" s="175"/>
      <c r="E506" s="175"/>
      <c r="F506" s="175"/>
      <c r="G506" s="175"/>
      <c r="H506" s="175"/>
      <c r="I506" s="175"/>
      <c r="J506" s="175"/>
    </row>
    <row r="507" spans="1:10" x14ac:dyDescent="0.3">
      <c r="A507" s="175"/>
      <c r="B507" s="175"/>
      <c r="C507" s="175"/>
      <c r="D507" s="175"/>
      <c r="E507" s="175"/>
      <c r="F507" s="175"/>
      <c r="G507" s="175"/>
      <c r="H507" s="175"/>
      <c r="I507" s="175"/>
      <c r="J507" s="175"/>
    </row>
    <row r="508" spans="1:10" x14ac:dyDescent="0.3">
      <c r="A508" s="175"/>
      <c r="B508" s="175"/>
      <c r="C508" s="175"/>
      <c r="D508" s="175"/>
      <c r="E508" s="175"/>
      <c r="F508" s="175"/>
      <c r="G508" s="175"/>
      <c r="H508" s="175"/>
      <c r="I508" s="175"/>
      <c r="J508" s="175"/>
    </row>
    <row r="509" spans="1:10" x14ac:dyDescent="0.3">
      <c r="A509" s="175"/>
      <c r="B509" s="175"/>
      <c r="C509" s="175"/>
      <c r="D509" s="175"/>
      <c r="E509" s="175"/>
      <c r="F509" s="175"/>
      <c r="G509" s="175"/>
      <c r="H509" s="175"/>
      <c r="I509" s="175"/>
      <c r="J509" s="175"/>
    </row>
    <row r="510" spans="1:10" x14ac:dyDescent="0.3">
      <c r="A510" s="175"/>
      <c r="B510" s="175"/>
      <c r="C510" s="175"/>
      <c r="D510" s="175"/>
      <c r="E510" s="175"/>
      <c r="F510" s="175"/>
      <c r="G510" s="175"/>
      <c r="H510" s="175"/>
      <c r="I510" s="175"/>
      <c r="J510" s="175"/>
    </row>
    <row r="511" spans="1:10" x14ac:dyDescent="0.3">
      <c r="A511" s="175"/>
      <c r="B511" s="175"/>
      <c r="C511" s="175"/>
      <c r="D511" s="175"/>
      <c r="E511" s="175"/>
      <c r="F511" s="175"/>
      <c r="G511" s="175"/>
      <c r="H511" s="175"/>
      <c r="I511" s="175"/>
      <c r="J511" s="175"/>
    </row>
    <row r="512" spans="1:10" x14ac:dyDescent="0.3">
      <c r="A512" s="175"/>
      <c r="B512" s="175"/>
      <c r="C512" s="175"/>
      <c r="D512" s="175"/>
      <c r="E512" s="175"/>
      <c r="F512" s="175"/>
      <c r="G512" s="175"/>
      <c r="H512" s="175"/>
      <c r="I512" s="175"/>
      <c r="J512" s="175"/>
    </row>
    <row r="513" spans="1:10" x14ac:dyDescent="0.3">
      <c r="A513" s="175"/>
      <c r="B513" s="175"/>
      <c r="C513" s="175"/>
      <c r="D513" s="175"/>
      <c r="E513" s="175"/>
      <c r="F513" s="175"/>
      <c r="G513" s="175"/>
      <c r="H513" s="175"/>
      <c r="I513" s="175"/>
      <c r="J513" s="175"/>
    </row>
    <row r="514" spans="1:10" x14ac:dyDescent="0.3">
      <c r="A514" s="175"/>
      <c r="B514" s="175"/>
      <c r="C514" s="175"/>
      <c r="D514" s="175"/>
      <c r="E514" s="175"/>
      <c r="F514" s="175"/>
      <c r="G514" s="175"/>
      <c r="H514" s="175"/>
      <c r="I514" s="175"/>
      <c r="J514" s="175"/>
    </row>
    <row r="515" spans="1:10" x14ac:dyDescent="0.3">
      <c r="A515" s="175"/>
      <c r="B515" s="175"/>
      <c r="C515" s="175"/>
      <c r="D515" s="175"/>
      <c r="E515" s="175"/>
      <c r="F515" s="175"/>
      <c r="G515" s="175"/>
      <c r="H515" s="175"/>
      <c r="I515" s="175"/>
      <c r="J515" s="175"/>
    </row>
    <row r="516" spans="1:10" x14ac:dyDescent="0.3">
      <c r="A516" s="175"/>
      <c r="B516" s="175"/>
      <c r="C516" s="175"/>
      <c r="D516" s="175"/>
      <c r="E516" s="175"/>
      <c r="F516" s="175"/>
      <c r="G516" s="175"/>
      <c r="H516" s="175"/>
      <c r="I516" s="175"/>
      <c r="J516" s="175"/>
    </row>
    <row r="517" spans="1:10" x14ac:dyDescent="0.3">
      <c r="A517" s="175"/>
      <c r="B517" s="175"/>
      <c r="C517" s="175"/>
      <c r="D517" s="175"/>
      <c r="E517" s="175"/>
      <c r="F517" s="175"/>
      <c r="G517" s="175"/>
      <c r="H517" s="175"/>
      <c r="I517" s="175"/>
      <c r="J517" s="175"/>
    </row>
    <row r="518" spans="1:10" x14ac:dyDescent="0.3">
      <c r="A518" s="175"/>
      <c r="B518" s="175"/>
      <c r="C518" s="175"/>
      <c r="D518" s="175"/>
      <c r="E518" s="175"/>
      <c r="F518" s="175"/>
      <c r="G518" s="175"/>
      <c r="H518" s="175"/>
      <c r="I518" s="175"/>
      <c r="J518" s="175"/>
    </row>
    <row r="519" spans="1:10" x14ac:dyDescent="0.3">
      <c r="A519" s="175"/>
      <c r="B519" s="175"/>
      <c r="C519" s="175"/>
      <c r="D519" s="175"/>
      <c r="E519" s="175"/>
      <c r="F519" s="175"/>
      <c r="G519" s="175"/>
      <c r="H519" s="175"/>
      <c r="I519" s="175"/>
      <c r="J519" s="175"/>
    </row>
    <row r="520" spans="1:10" x14ac:dyDescent="0.3">
      <c r="A520" s="175"/>
      <c r="B520" s="175"/>
      <c r="C520" s="175"/>
      <c r="D520" s="175"/>
      <c r="E520" s="175"/>
      <c r="F520" s="175"/>
      <c r="G520" s="175"/>
      <c r="H520" s="175"/>
      <c r="I520" s="175"/>
      <c r="J520" s="175"/>
    </row>
    <row r="521" spans="1:10" x14ac:dyDescent="0.3">
      <c r="A521" s="175"/>
      <c r="B521" s="175"/>
      <c r="C521" s="175"/>
      <c r="D521" s="175"/>
      <c r="E521" s="175"/>
      <c r="F521" s="175"/>
      <c r="G521" s="175"/>
      <c r="H521" s="175"/>
      <c r="I521" s="175"/>
      <c r="J521" s="175"/>
    </row>
    <row r="522" spans="1:10" x14ac:dyDescent="0.3">
      <c r="A522" s="175"/>
      <c r="B522" s="175"/>
      <c r="C522" s="175"/>
      <c r="D522" s="175"/>
      <c r="E522" s="175"/>
      <c r="F522" s="175"/>
      <c r="G522" s="175"/>
      <c r="H522" s="175"/>
      <c r="I522" s="175"/>
      <c r="J522" s="175"/>
    </row>
    <row r="523" spans="1:10" x14ac:dyDescent="0.3">
      <c r="A523" s="175"/>
      <c r="B523" s="175"/>
      <c r="C523" s="175"/>
      <c r="D523" s="175"/>
      <c r="E523" s="175"/>
      <c r="F523" s="175"/>
      <c r="G523" s="175"/>
      <c r="H523" s="175"/>
      <c r="I523" s="175"/>
      <c r="J523" s="175"/>
    </row>
    <row r="524" spans="1:10" x14ac:dyDescent="0.3">
      <c r="A524" s="175"/>
      <c r="B524" s="175"/>
      <c r="C524" s="175"/>
      <c r="D524" s="175"/>
      <c r="E524" s="175"/>
      <c r="F524" s="175"/>
      <c r="G524" s="175"/>
      <c r="H524" s="175"/>
      <c r="I524" s="175"/>
      <c r="J524" s="175"/>
    </row>
    <row r="525" spans="1:10" x14ac:dyDescent="0.3">
      <c r="A525" s="175"/>
      <c r="B525" s="175"/>
      <c r="C525" s="175"/>
      <c r="D525" s="175"/>
      <c r="E525" s="175"/>
      <c r="F525" s="175"/>
      <c r="G525" s="175"/>
      <c r="H525" s="175"/>
      <c r="I525" s="175"/>
      <c r="J525" s="175"/>
    </row>
    <row r="526" spans="1:10" x14ac:dyDescent="0.3">
      <c r="A526" s="175"/>
      <c r="B526" s="175"/>
      <c r="C526" s="175"/>
      <c r="D526" s="175"/>
      <c r="E526" s="175"/>
      <c r="F526" s="175"/>
      <c r="G526" s="175"/>
      <c r="H526" s="175"/>
      <c r="I526" s="175"/>
      <c r="J526" s="175"/>
    </row>
    <row r="527" spans="1:10" x14ac:dyDescent="0.3">
      <c r="A527" s="175"/>
      <c r="B527" s="175"/>
      <c r="C527" s="175"/>
      <c r="D527" s="175"/>
      <c r="E527" s="175"/>
      <c r="F527" s="175"/>
      <c r="G527" s="175"/>
      <c r="H527" s="175"/>
      <c r="I527" s="175"/>
      <c r="J527" s="175"/>
    </row>
    <row r="528" spans="1:10" x14ac:dyDescent="0.3">
      <c r="A528" s="175"/>
      <c r="B528" s="175"/>
      <c r="C528" s="175"/>
      <c r="D528" s="175"/>
      <c r="E528" s="175"/>
      <c r="F528" s="175"/>
      <c r="G528" s="175"/>
      <c r="H528" s="175"/>
      <c r="I528" s="175"/>
      <c r="J528" s="175"/>
    </row>
    <row r="529" spans="1:10" x14ac:dyDescent="0.3">
      <c r="A529" s="175"/>
      <c r="B529" s="175"/>
      <c r="C529" s="175"/>
      <c r="D529" s="175"/>
      <c r="E529" s="175"/>
      <c r="F529" s="175"/>
      <c r="G529" s="175"/>
      <c r="H529" s="175"/>
      <c r="I529" s="175"/>
      <c r="J529" s="175"/>
    </row>
    <row r="530" spans="1:10" x14ac:dyDescent="0.3">
      <c r="A530" s="175"/>
      <c r="B530" s="175"/>
      <c r="C530" s="175"/>
      <c r="D530" s="175"/>
      <c r="E530" s="175"/>
      <c r="F530" s="175"/>
      <c r="G530" s="175"/>
      <c r="H530" s="175"/>
      <c r="I530" s="175"/>
      <c r="J530" s="175"/>
    </row>
    <row r="531" spans="1:10" x14ac:dyDescent="0.3">
      <c r="A531" s="175"/>
      <c r="B531" s="175"/>
      <c r="C531" s="175"/>
      <c r="D531" s="175"/>
      <c r="E531" s="175"/>
      <c r="F531" s="175"/>
      <c r="G531" s="175"/>
      <c r="H531" s="175"/>
      <c r="I531" s="175"/>
      <c r="J531" s="175"/>
    </row>
    <row r="532" spans="1:10" x14ac:dyDescent="0.3">
      <c r="A532" s="175"/>
      <c r="B532" s="175"/>
      <c r="C532" s="175"/>
      <c r="D532" s="175"/>
      <c r="E532" s="175"/>
      <c r="F532" s="175"/>
      <c r="G532" s="175"/>
      <c r="H532" s="175"/>
      <c r="I532" s="175"/>
      <c r="J532" s="175"/>
    </row>
    <row r="533" spans="1:10" x14ac:dyDescent="0.3">
      <c r="A533" s="175"/>
      <c r="B533" s="175"/>
      <c r="C533" s="175"/>
      <c r="D533" s="175"/>
      <c r="E533" s="175"/>
      <c r="F533" s="175"/>
      <c r="G533" s="175"/>
      <c r="H533" s="175"/>
      <c r="I533" s="175"/>
      <c r="J533" s="175"/>
    </row>
    <row r="534" spans="1:10" x14ac:dyDescent="0.3">
      <c r="A534" s="175"/>
      <c r="B534" s="175"/>
      <c r="C534" s="175"/>
      <c r="D534" s="175"/>
      <c r="E534" s="175"/>
      <c r="F534" s="175"/>
      <c r="G534" s="175"/>
      <c r="H534" s="175"/>
      <c r="I534" s="175"/>
      <c r="J534" s="175"/>
    </row>
    <row r="535" spans="1:10" x14ac:dyDescent="0.3">
      <c r="A535" s="175"/>
      <c r="B535" s="175"/>
      <c r="C535" s="175"/>
      <c r="D535" s="175"/>
      <c r="E535" s="175"/>
      <c r="F535" s="175"/>
      <c r="G535" s="175"/>
      <c r="H535" s="175"/>
      <c r="I535" s="175"/>
      <c r="J535" s="175"/>
    </row>
    <row r="536" spans="1:10" x14ac:dyDescent="0.3">
      <c r="A536" s="175"/>
      <c r="B536" s="175"/>
      <c r="C536" s="175"/>
      <c r="D536" s="175"/>
      <c r="E536" s="175"/>
      <c r="F536" s="175"/>
      <c r="G536" s="175"/>
      <c r="H536" s="175"/>
      <c r="I536" s="175"/>
      <c r="J536" s="175"/>
    </row>
    <row r="537" spans="1:10" x14ac:dyDescent="0.3">
      <c r="A537" s="175"/>
      <c r="B537" s="175"/>
      <c r="C537" s="175"/>
      <c r="D537" s="175"/>
      <c r="E537" s="175"/>
      <c r="F537" s="175"/>
      <c r="G537" s="175"/>
      <c r="H537" s="175"/>
      <c r="I537" s="175"/>
      <c r="J537" s="175"/>
    </row>
    <row r="538" spans="1:10" x14ac:dyDescent="0.3">
      <c r="A538" s="175"/>
      <c r="B538" s="175"/>
      <c r="C538" s="175"/>
      <c r="D538" s="175"/>
      <c r="E538" s="175"/>
      <c r="F538" s="175"/>
      <c r="G538" s="175"/>
      <c r="H538" s="175"/>
      <c r="I538" s="175"/>
      <c r="J538" s="175"/>
    </row>
    <row r="539" spans="1:10" x14ac:dyDescent="0.3">
      <c r="A539" s="175"/>
      <c r="B539" s="175"/>
      <c r="C539" s="175"/>
      <c r="D539" s="175"/>
      <c r="E539" s="175"/>
      <c r="F539" s="175"/>
      <c r="G539" s="175"/>
      <c r="H539" s="175"/>
      <c r="I539" s="175"/>
      <c r="J539" s="175"/>
    </row>
    <row r="540" spans="1:10" x14ac:dyDescent="0.3">
      <c r="A540" s="175"/>
      <c r="B540" s="175"/>
      <c r="C540" s="175"/>
      <c r="D540" s="175"/>
      <c r="E540" s="175"/>
      <c r="F540" s="175"/>
      <c r="G540" s="175"/>
      <c r="H540" s="175"/>
      <c r="I540" s="175"/>
      <c r="J540" s="175"/>
    </row>
    <row r="541" spans="1:10" x14ac:dyDescent="0.3">
      <c r="A541" s="175"/>
      <c r="B541" s="175"/>
      <c r="C541" s="175"/>
      <c r="D541" s="175"/>
      <c r="E541" s="175"/>
      <c r="F541" s="175"/>
      <c r="G541" s="175"/>
      <c r="H541" s="175"/>
      <c r="I541" s="175"/>
      <c r="J541" s="175"/>
    </row>
    <row r="542" spans="1:10" x14ac:dyDescent="0.3">
      <c r="A542" s="175"/>
      <c r="B542" s="175"/>
      <c r="C542" s="175"/>
      <c r="D542" s="175"/>
      <c r="E542" s="175"/>
      <c r="F542" s="175"/>
      <c r="G542" s="175"/>
      <c r="H542" s="175"/>
      <c r="I542" s="175"/>
      <c r="J542" s="175"/>
    </row>
    <row r="543" spans="1:10" x14ac:dyDescent="0.3">
      <c r="A543" s="175"/>
      <c r="B543" s="175"/>
      <c r="C543" s="175"/>
      <c r="D543" s="175"/>
      <c r="E543" s="175"/>
      <c r="F543" s="175"/>
      <c r="G543" s="175"/>
      <c r="H543" s="175"/>
      <c r="I543" s="175"/>
      <c r="J543" s="175"/>
    </row>
    <row r="544" spans="1:10" x14ac:dyDescent="0.3">
      <c r="A544" s="175"/>
      <c r="B544" s="175"/>
      <c r="C544" s="175"/>
      <c r="D544" s="175"/>
      <c r="E544" s="175"/>
      <c r="F544" s="175"/>
      <c r="G544" s="175"/>
      <c r="H544" s="175"/>
      <c r="I544" s="175"/>
      <c r="J544" s="175"/>
    </row>
    <row r="545" spans="1:10" x14ac:dyDescent="0.3">
      <c r="A545" s="175"/>
      <c r="B545" s="175"/>
      <c r="C545" s="175"/>
      <c r="D545" s="175"/>
      <c r="E545" s="175"/>
      <c r="F545" s="175"/>
      <c r="G545" s="175"/>
      <c r="H545" s="175"/>
      <c r="I545" s="175"/>
      <c r="J545" s="175"/>
    </row>
    <row r="546" spans="1:10" x14ac:dyDescent="0.3">
      <c r="A546" s="175"/>
      <c r="B546" s="175"/>
      <c r="C546" s="175"/>
      <c r="D546" s="175"/>
      <c r="E546" s="175"/>
      <c r="F546" s="175"/>
      <c r="G546" s="175"/>
      <c r="H546" s="175"/>
      <c r="I546" s="175"/>
      <c r="J546" s="175"/>
    </row>
    <row r="547" spans="1:10" x14ac:dyDescent="0.3">
      <c r="A547" s="175"/>
      <c r="B547" s="175"/>
      <c r="C547" s="175"/>
      <c r="D547" s="175"/>
      <c r="E547" s="175"/>
      <c r="F547" s="175"/>
      <c r="G547" s="175"/>
      <c r="H547" s="175"/>
      <c r="I547" s="175"/>
      <c r="J547" s="175"/>
    </row>
    <row r="548" spans="1:10" x14ac:dyDescent="0.3">
      <c r="A548" s="175"/>
      <c r="B548" s="175"/>
      <c r="C548" s="175"/>
      <c r="D548" s="175"/>
      <c r="E548" s="175"/>
      <c r="F548" s="175"/>
      <c r="G548" s="175"/>
      <c r="H548" s="175"/>
      <c r="I548" s="175"/>
      <c r="J548" s="175"/>
    </row>
    <row r="549" spans="1:10" x14ac:dyDescent="0.3">
      <c r="A549" s="175"/>
      <c r="B549" s="175"/>
      <c r="C549" s="175"/>
      <c r="D549" s="175"/>
      <c r="E549" s="175"/>
      <c r="F549" s="175"/>
      <c r="G549" s="175"/>
      <c r="H549" s="175"/>
      <c r="I549" s="175"/>
      <c r="J549" s="175"/>
    </row>
    <row r="550" spans="1:10" x14ac:dyDescent="0.3">
      <c r="A550" s="175"/>
      <c r="B550" s="175"/>
      <c r="C550" s="175"/>
      <c r="D550" s="175"/>
      <c r="E550" s="175"/>
      <c r="F550" s="175"/>
      <c r="G550" s="175"/>
      <c r="H550" s="175"/>
      <c r="I550" s="175"/>
      <c r="J550" s="175"/>
    </row>
    <row r="551" spans="1:10" x14ac:dyDescent="0.3">
      <c r="A551" s="175"/>
      <c r="B551" s="175"/>
      <c r="C551" s="175"/>
      <c r="D551" s="175"/>
      <c r="E551" s="175"/>
      <c r="F551" s="175"/>
      <c r="G551" s="175"/>
      <c r="H551" s="175"/>
      <c r="I551" s="175"/>
      <c r="J551" s="175"/>
    </row>
    <row r="552" spans="1:10" x14ac:dyDescent="0.3">
      <c r="A552" s="175"/>
      <c r="B552" s="175"/>
      <c r="C552" s="175"/>
      <c r="D552" s="175"/>
      <c r="E552" s="175"/>
      <c r="F552" s="175"/>
      <c r="G552" s="175"/>
      <c r="H552" s="175"/>
      <c r="I552" s="175"/>
      <c r="J552" s="175"/>
    </row>
    <row r="553" spans="1:10" x14ac:dyDescent="0.3">
      <c r="A553" s="175"/>
      <c r="B553" s="175"/>
      <c r="C553" s="175"/>
      <c r="D553" s="175"/>
      <c r="E553" s="175"/>
      <c r="F553" s="175"/>
      <c r="G553" s="175"/>
      <c r="H553" s="175"/>
      <c r="I553" s="175"/>
      <c r="J553" s="175"/>
    </row>
    <row r="554" spans="1:10" x14ac:dyDescent="0.3">
      <c r="A554" s="175"/>
      <c r="B554" s="175"/>
      <c r="C554" s="175"/>
      <c r="D554" s="175"/>
      <c r="E554" s="175"/>
      <c r="F554" s="175"/>
      <c r="G554" s="175"/>
      <c r="H554" s="175"/>
      <c r="I554" s="175"/>
      <c r="J554" s="175"/>
    </row>
    <row r="555" spans="1:10" x14ac:dyDescent="0.3">
      <c r="A555" s="175"/>
      <c r="B555" s="175"/>
      <c r="C555" s="175"/>
      <c r="D555" s="175"/>
      <c r="E555" s="175"/>
      <c r="F555" s="175"/>
      <c r="G555" s="175"/>
      <c r="H555" s="175"/>
      <c r="I555" s="175"/>
      <c r="J555" s="175"/>
    </row>
    <row r="556" spans="1:10" x14ac:dyDescent="0.3">
      <c r="A556" s="175"/>
      <c r="B556" s="175"/>
      <c r="C556" s="175"/>
      <c r="D556" s="175"/>
      <c r="E556" s="175"/>
      <c r="F556" s="175"/>
      <c r="G556" s="175"/>
      <c r="H556" s="175"/>
      <c r="I556" s="175"/>
      <c r="J556" s="175"/>
    </row>
    <row r="557" spans="1:10" x14ac:dyDescent="0.3">
      <c r="A557" s="175"/>
      <c r="B557" s="175"/>
      <c r="C557" s="175"/>
      <c r="D557" s="175"/>
      <c r="E557" s="175"/>
      <c r="F557" s="175"/>
      <c r="G557" s="175"/>
      <c r="H557" s="175"/>
      <c r="I557" s="175"/>
      <c r="J557" s="175"/>
    </row>
    <row r="558" spans="1:10" x14ac:dyDescent="0.3">
      <c r="A558" s="175"/>
      <c r="B558" s="175"/>
      <c r="C558" s="175"/>
      <c r="D558" s="175"/>
      <c r="E558" s="175"/>
      <c r="F558" s="175"/>
      <c r="G558" s="175"/>
      <c r="H558" s="175"/>
      <c r="I558" s="175"/>
      <c r="J558" s="175"/>
    </row>
    <row r="559" spans="1:10" x14ac:dyDescent="0.3">
      <c r="A559" s="175"/>
      <c r="B559" s="175"/>
      <c r="C559" s="175"/>
      <c r="D559" s="175"/>
      <c r="E559" s="175"/>
      <c r="F559" s="175"/>
      <c r="G559" s="175"/>
      <c r="H559" s="175"/>
      <c r="I559" s="175"/>
      <c r="J559" s="175"/>
    </row>
    <row r="560" spans="1:10" x14ac:dyDescent="0.3">
      <c r="A560" s="175"/>
      <c r="B560" s="175"/>
      <c r="C560" s="175"/>
      <c r="D560" s="175"/>
      <c r="E560" s="175"/>
      <c r="F560" s="175"/>
      <c r="G560" s="175"/>
      <c r="H560" s="175"/>
      <c r="I560" s="175"/>
      <c r="J560" s="175"/>
    </row>
    <row r="561" spans="1:10" x14ac:dyDescent="0.3">
      <c r="A561" s="175"/>
      <c r="B561" s="175"/>
      <c r="C561" s="175"/>
      <c r="D561" s="175"/>
      <c r="E561" s="175"/>
      <c r="F561" s="175"/>
      <c r="G561" s="175"/>
      <c r="H561" s="175"/>
      <c r="I561" s="175"/>
      <c r="J561" s="175"/>
    </row>
    <row r="562" spans="1:10" x14ac:dyDescent="0.3">
      <c r="A562" s="175"/>
      <c r="B562" s="175"/>
      <c r="C562" s="175"/>
      <c r="D562" s="175"/>
      <c r="E562" s="175"/>
      <c r="F562" s="175"/>
      <c r="G562" s="175"/>
      <c r="H562" s="175"/>
      <c r="I562" s="175"/>
      <c r="J562" s="175"/>
    </row>
    <row r="563" spans="1:10" x14ac:dyDescent="0.3">
      <c r="A563" s="175"/>
      <c r="B563" s="175"/>
      <c r="C563" s="175"/>
      <c r="D563" s="175"/>
      <c r="E563" s="175"/>
      <c r="F563" s="175"/>
      <c r="G563" s="175"/>
      <c r="H563" s="175"/>
      <c r="I563" s="175"/>
      <c r="J563" s="175"/>
    </row>
    <row r="564" spans="1:10" x14ac:dyDescent="0.3">
      <c r="A564" s="175"/>
      <c r="B564" s="175"/>
      <c r="C564" s="175"/>
      <c r="D564" s="175"/>
      <c r="E564" s="175"/>
      <c r="F564" s="175"/>
      <c r="G564" s="175"/>
      <c r="H564" s="175"/>
      <c r="I564" s="175"/>
      <c r="J564" s="175"/>
    </row>
    <row r="565" spans="1:10" x14ac:dyDescent="0.3">
      <c r="A565" s="175"/>
      <c r="B565" s="175"/>
      <c r="C565" s="175"/>
      <c r="D565" s="175"/>
      <c r="E565" s="175"/>
      <c r="F565" s="175"/>
      <c r="G565" s="175"/>
      <c r="H565" s="175"/>
      <c r="I565" s="175"/>
      <c r="J565" s="175"/>
    </row>
    <row r="566" spans="1:10" x14ac:dyDescent="0.3">
      <c r="A566" s="175"/>
      <c r="B566" s="175"/>
      <c r="C566" s="175"/>
      <c r="D566" s="175"/>
      <c r="E566" s="175"/>
      <c r="F566" s="175"/>
      <c r="G566" s="175"/>
      <c r="H566" s="175"/>
      <c r="I566" s="175"/>
      <c r="J566" s="175"/>
    </row>
    <row r="567" spans="1:10" x14ac:dyDescent="0.3">
      <c r="A567" s="175"/>
      <c r="B567" s="175"/>
      <c r="C567" s="175"/>
      <c r="D567" s="175"/>
      <c r="E567" s="175"/>
      <c r="F567" s="175"/>
      <c r="G567" s="175"/>
      <c r="H567" s="175"/>
      <c r="I567" s="175"/>
      <c r="J567" s="175"/>
    </row>
    <row r="568" spans="1:10" x14ac:dyDescent="0.3">
      <c r="A568" s="175"/>
      <c r="B568" s="175"/>
      <c r="C568" s="175"/>
      <c r="D568" s="175"/>
      <c r="E568" s="175"/>
      <c r="F568" s="175"/>
      <c r="G568" s="175"/>
      <c r="H568" s="175"/>
      <c r="I568" s="175"/>
      <c r="J568" s="175"/>
    </row>
    <row r="569" spans="1:10" x14ac:dyDescent="0.3">
      <c r="A569" s="175"/>
      <c r="B569" s="175"/>
      <c r="C569" s="175"/>
      <c r="D569" s="175"/>
      <c r="E569" s="175"/>
      <c r="F569" s="175"/>
      <c r="G569" s="175"/>
      <c r="H569" s="175"/>
      <c r="I569" s="175"/>
      <c r="J569" s="175"/>
    </row>
    <row r="570" spans="1:10" x14ac:dyDescent="0.3">
      <c r="A570" s="175"/>
      <c r="B570" s="175"/>
      <c r="C570" s="175"/>
      <c r="D570" s="175"/>
      <c r="E570" s="175"/>
      <c r="F570" s="175"/>
      <c r="G570" s="175"/>
      <c r="H570" s="175"/>
      <c r="I570" s="175"/>
      <c r="J570" s="175"/>
    </row>
    <row r="571" spans="1:10" x14ac:dyDescent="0.3">
      <c r="A571" s="175"/>
      <c r="B571" s="175"/>
      <c r="C571" s="175"/>
      <c r="D571" s="175"/>
      <c r="E571" s="175"/>
      <c r="F571" s="175"/>
      <c r="G571" s="175"/>
      <c r="H571" s="175"/>
      <c r="I571" s="175"/>
      <c r="J571" s="175"/>
    </row>
    <row r="572" spans="1:10" x14ac:dyDescent="0.3">
      <c r="A572" s="175"/>
      <c r="B572" s="175"/>
      <c r="C572" s="175"/>
      <c r="D572" s="175"/>
      <c r="E572" s="175"/>
      <c r="F572" s="175"/>
      <c r="G572" s="175"/>
      <c r="H572" s="175"/>
      <c r="I572" s="175"/>
      <c r="J572" s="175"/>
    </row>
    <row r="573" spans="1:10" x14ac:dyDescent="0.3">
      <c r="A573" s="175"/>
      <c r="B573" s="175"/>
      <c r="C573" s="175"/>
      <c r="D573" s="175"/>
      <c r="E573" s="175"/>
      <c r="F573" s="175"/>
      <c r="G573" s="175"/>
      <c r="H573" s="175"/>
      <c r="I573" s="175"/>
      <c r="J573" s="175"/>
    </row>
    <row r="574" spans="1:10" x14ac:dyDescent="0.3">
      <c r="A574" s="175"/>
      <c r="B574" s="175"/>
      <c r="C574" s="175"/>
      <c r="D574" s="175"/>
      <c r="E574" s="175"/>
      <c r="F574" s="175"/>
      <c r="G574" s="175"/>
      <c r="H574" s="175"/>
      <c r="I574" s="175"/>
      <c r="J574" s="175"/>
    </row>
    <row r="575" spans="1:10" x14ac:dyDescent="0.3">
      <c r="A575" s="175"/>
      <c r="B575" s="175"/>
      <c r="C575" s="175"/>
      <c r="D575" s="175"/>
      <c r="E575" s="175"/>
      <c r="F575" s="175"/>
      <c r="G575" s="175"/>
      <c r="H575" s="175"/>
      <c r="I575" s="175"/>
      <c r="J575" s="175"/>
    </row>
    <row r="576" spans="1:10" x14ac:dyDescent="0.3">
      <c r="A576" s="175"/>
      <c r="B576" s="175"/>
      <c r="C576" s="175"/>
      <c r="D576" s="175"/>
      <c r="E576" s="175"/>
      <c r="F576" s="175"/>
      <c r="G576" s="175"/>
      <c r="H576" s="175"/>
      <c r="I576" s="175"/>
      <c r="J576" s="175"/>
    </row>
    <row r="577" spans="1:10" x14ac:dyDescent="0.3">
      <c r="A577" s="175"/>
      <c r="B577" s="175"/>
      <c r="C577" s="175"/>
      <c r="D577" s="175"/>
      <c r="E577" s="175"/>
      <c r="F577" s="175"/>
      <c r="G577" s="175"/>
      <c r="H577" s="175"/>
      <c r="I577" s="175"/>
      <c r="J577" s="175"/>
    </row>
    <row r="578" spans="1:10" x14ac:dyDescent="0.3">
      <c r="A578" s="175"/>
      <c r="B578" s="175"/>
      <c r="C578" s="175"/>
      <c r="D578" s="175"/>
      <c r="E578" s="175"/>
      <c r="F578" s="175"/>
      <c r="G578" s="175"/>
      <c r="H578" s="175"/>
      <c r="I578" s="175"/>
      <c r="J578" s="175"/>
    </row>
    <row r="579" spans="1:10" x14ac:dyDescent="0.3">
      <c r="A579" s="175"/>
      <c r="B579" s="175"/>
      <c r="C579" s="175"/>
      <c r="D579" s="175"/>
      <c r="E579" s="175"/>
      <c r="F579" s="175"/>
      <c r="G579" s="175"/>
      <c r="H579" s="175"/>
      <c r="I579" s="175"/>
      <c r="J579" s="175"/>
    </row>
    <row r="580" spans="1:10" x14ac:dyDescent="0.3">
      <c r="A580" s="175"/>
      <c r="B580" s="175"/>
      <c r="C580" s="175"/>
      <c r="D580" s="175"/>
      <c r="E580" s="175"/>
      <c r="F580" s="175"/>
      <c r="G580" s="175"/>
      <c r="H580" s="175"/>
      <c r="I580" s="175"/>
      <c r="J580" s="175"/>
    </row>
    <row r="581" spans="1:10" x14ac:dyDescent="0.3">
      <c r="A581" s="175"/>
      <c r="B581" s="175"/>
      <c r="C581" s="175"/>
      <c r="D581" s="175"/>
      <c r="E581" s="175"/>
      <c r="F581" s="175"/>
      <c r="G581" s="175"/>
      <c r="H581" s="175"/>
      <c r="I581" s="175"/>
      <c r="J581" s="175"/>
    </row>
    <row r="582" spans="1:10" x14ac:dyDescent="0.3">
      <c r="A582" s="175"/>
      <c r="B582" s="175"/>
      <c r="C582" s="175"/>
      <c r="D582" s="175"/>
      <c r="E582" s="175"/>
      <c r="F582" s="175"/>
      <c r="G582" s="175"/>
      <c r="H582" s="175"/>
      <c r="I582" s="175"/>
      <c r="J582" s="175"/>
    </row>
    <row r="583" spans="1:10" x14ac:dyDescent="0.3">
      <c r="A583" s="175"/>
      <c r="B583" s="175"/>
      <c r="C583" s="175"/>
      <c r="D583" s="175"/>
      <c r="E583" s="175"/>
      <c r="F583" s="175"/>
      <c r="G583" s="175"/>
      <c r="H583" s="175"/>
      <c r="I583" s="175"/>
      <c r="J583" s="175"/>
    </row>
    <row r="584" spans="1:10" x14ac:dyDescent="0.3">
      <c r="A584" s="175"/>
      <c r="B584" s="175"/>
      <c r="C584" s="175"/>
      <c r="D584" s="175"/>
      <c r="E584" s="175"/>
      <c r="F584" s="175"/>
      <c r="G584" s="175"/>
      <c r="H584" s="175"/>
      <c r="I584" s="175"/>
      <c r="J584" s="175"/>
    </row>
    <row r="585" spans="1:10" x14ac:dyDescent="0.3">
      <c r="A585" s="175"/>
      <c r="B585" s="175"/>
      <c r="C585" s="175"/>
      <c r="D585" s="175"/>
      <c r="E585" s="175"/>
      <c r="F585" s="175"/>
      <c r="G585" s="175"/>
      <c r="H585" s="175"/>
      <c r="I585" s="175"/>
      <c r="J585" s="175"/>
    </row>
    <row r="586" spans="1:10" x14ac:dyDescent="0.3">
      <c r="A586" s="175"/>
      <c r="B586" s="175"/>
      <c r="C586" s="175"/>
      <c r="D586" s="175"/>
      <c r="E586" s="175"/>
      <c r="F586" s="175"/>
      <c r="G586" s="175"/>
      <c r="H586" s="175"/>
      <c r="I586" s="175"/>
      <c r="J586" s="175"/>
    </row>
    <row r="587" spans="1:10" x14ac:dyDescent="0.3">
      <c r="A587" s="175"/>
      <c r="B587" s="175"/>
      <c r="C587" s="175"/>
      <c r="D587" s="175"/>
      <c r="E587" s="175"/>
      <c r="F587" s="175"/>
      <c r="G587" s="175"/>
      <c r="H587" s="175"/>
      <c r="I587" s="175"/>
      <c r="J587" s="175"/>
    </row>
    <row r="588" spans="1:10" x14ac:dyDescent="0.3">
      <c r="A588" s="175"/>
      <c r="B588" s="175"/>
      <c r="C588" s="175"/>
      <c r="D588" s="175"/>
      <c r="E588" s="175"/>
      <c r="F588" s="175"/>
      <c r="G588" s="175"/>
      <c r="H588" s="175"/>
      <c r="I588" s="175"/>
      <c r="J588" s="175"/>
    </row>
    <row r="589" spans="1:10" x14ac:dyDescent="0.3">
      <c r="A589" s="175"/>
      <c r="B589" s="175"/>
      <c r="C589" s="175"/>
      <c r="D589" s="175"/>
      <c r="E589" s="175"/>
      <c r="F589" s="175"/>
      <c r="G589" s="175"/>
      <c r="H589" s="175"/>
      <c r="I589" s="175"/>
      <c r="J589" s="175"/>
    </row>
    <row r="590" spans="1:10" x14ac:dyDescent="0.3">
      <c r="A590" s="175"/>
      <c r="B590" s="175"/>
      <c r="C590" s="175"/>
      <c r="D590" s="175"/>
      <c r="E590" s="175"/>
      <c r="F590" s="175"/>
      <c r="G590" s="175"/>
      <c r="H590" s="175"/>
      <c r="I590" s="175"/>
      <c r="J590" s="175"/>
    </row>
    <row r="591" spans="1:10" x14ac:dyDescent="0.3">
      <c r="A591" s="175"/>
      <c r="B591" s="175"/>
      <c r="C591" s="175"/>
      <c r="D591" s="175"/>
      <c r="E591" s="175"/>
      <c r="F591" s="175"/>
      <c r="G591" s="175"/>
      <c r="H591" s="175"/>
      <c r="I591" s="175"/>
      <c r="J591" s="175"/>
    </row>
    <row r="592" spans="1:10" x14ac:dyDescent="0.3">
      <c r="A592" s="175"/>
      <c r="B592" s="175"/>
      <c r="C592" s="175"/>
      <c r="D592" s="175"/>
      <c r="E592" s="175"/>
      <c r="F592" s="175"/>
      <c r="G592" s="175"/>
      <c r="H592" s="175"/>
      <c r="I592" s="175"/>
      <c r="J592" s="175"/>
    </row>
    <row r="593" spans="1:10" x14ac:dyDescent="0.3">
      <c r="A593" s="175"/>
      <c r="B593" s="175"/>
      <c r="C593" s="175"/>
      <c r="D593" s="175"/>
      <c r="E593" s="175"/>
      <c r="F593" s="175"/>
      <c r="G593" s="175"/>
      <c r="H593" s="175"/>
      <c r="I593" s="175"/>
      <c r="J593" s="175"/>
    </row>
    <row r="594" spans="1:10" x14ac:dyDescent="0.3">
      <c r="A594" s="175"/>
      <c r="B594" s="175"/>
      <c r="C594" s="175"/>
      <c r="D594" s="175"/>
      <c r="E594" s="175"/>
      <c r="F594" s="175"/>
      <c r="G594" s="175"/>
      <c r="H594" s="175"/>
      <c r="I594" s="175"/>
      <c r="J594" s="175"/>
    </row>
    <row r="595" spans="1:10" x14ac:dyDescent="0.3">
      <c r="A595" s="175"/>
      <c r="B595" s="175"/>
      <c r="C595" s="175"/>
      <c r="D595" s="175"/>
      <c r="E595" s="175"/>
      <c r="F595" s="175"/>
      <c r="G595" s="175"/>
      <c r="H595" s="175"/>
      <c r="I595" s="175"/>
      <c r="J595" s="175"/>
    </row>
    <row r="596" spans="1:10" x14ac:dyDescent="0.3">
      <c r="A596" s="175"/>
      <c r="B596" s="175"/>
      <c r="C596" s="175"/>
      <c r="D596" s="175"/>
      <c r="E596" s="175"/>
      <c r="F596" s="175"/>
      <c r="G596" s="175"/>
      <c r="H596" s="175"/>
      <c r="I596" s="175"/>
      <c r="J596" s="175"/>
    </row>
    <row r="597" spans="1:10" x14ac:dyDescent="0.3">
      <c r="A597" s="175"/>
      <c r="B597" s="175"/>
      <c r="C597" s="175"/>
      <c r="D597" s="175"/>
      <c r="E597" s="175"/>
      <c r="F597" s="175"/>
      <c r="G597" s="175"/>
      <c r="H597" s="175"/>
      <c r="I597" s="175"/>
      <c r="J597" s="175"/>
    </row>
    <row r="598" spans="1:10" x14ac:dyDescent="0.3">
      <c r="A598" s="175"/>
      <c r="B598" s="175"/>
      <c r="C598" s="175"/>
      <c r="D598" s="175"/>
      <c r="E598" s="175"/>
      <c r="F598" s="175"/>
      <c r="G598" s="175"/>
      <c r="H598" s="175"/>
      <c r="I598" s="175"/>
      <c r="J598" s="175"/>
    </row>
    <row r="599" spans="1:10" x14ac:dyDescent="0.3">
      <c r="A599" s="175"/>
      <c r="B599" s="175"/>
      <c r="C599" s="175"/>
      <c r="D599" s="175"/>
      <c r="E599" s="175"/>
      <c r="F599" s="175"/>
      <c r="G599" s="175"/>
      <c r="H599" s="175"/>
      <c r="I599" s="175"/>
      <c r="J599" s="175"/>
    </row>
    <row r="600" spans="1:10" x14ac:dyDescent="0.3">
      <c r="A600" s="175"/>
      <c r="B600" s="175"/>
      <c r="C600" s="175"/>
      <c r="D600" s="175"/>
      <c r="E600" s="175"/>
      <c r="F600" s="175"/>
      <c r="G600" s="175"/>
      <c r="H600" s="175"/>
      <c r="I600" s="175"/>
      <c r="J600" s="175"/>
    </row>
    <row r="601" spans="1:10" x14ac:dyDescent="0.3">
      <c r="A601" s="175"/>
      <c r="B601" s="175"/>
      <c r="C601" s="175"/>
      <c r="D601" s="175"/>
      <c r="E601" s="175"/>
      <c r="F601" s="175"/>
      <c r="G601" s="175"/>
      <c r="H601" s="175"/>
      <c r="I601" s="175"/>
      <c r="J601" s="175"/>
    </row>
    <row r="602" spans="1:10" x14ac:dyDescent="0.3">
      <c r="A602" s="175"/>
      <c r="B602" s="175"/>
      <c r="C602" s="175"/>
      <c r="D602" s="175"/>
      <c r="E602" s="175"/>
      <c r="F602" s="175"/>
      <c r="G602" s="175"/>
      <c r="H602" s="175"/>
      <c r="I602" s="175"/>
      <c r="J602" s="175"/>
    </row>
    <row r="603" spans="1:10" x14ac:dyDescent="0.3">
      <c r="A603" s="175"/>
      <c r="B603" s="175"/>
      <c r="C603" s="175"/>
      <c r="D603" s="175"/>
      <c r="E603" s="175"/>
      <c r="F603" s="175"/>
      <c r="G603" s="175"/>
      <c r="H603" s="175"/>
      <c r="I603" s="175"/>
      <c r="J603" s="175"/>
    </row>
    <row r="604" spans="1:10" x14ac:dyDescent="0.3">
      <c r="A604" s="175"/>
      <c r="B604" s="175"/>
      <c r="C604" s="175"/>
      <c r="D604" s="175"/>
      <c r="E604" s="175"/>
      <c r="F604" s="175"/>
      <c r="G604" s="175"/>
      <c r="H604" s="175"/>
      <c r="I604" s="175"/>
      <c r="J604" s="175"/>
    </row>
    <row r="605" spans="1:10" x14ac:dyDescent="0.3">
      <c r="A605" s="175"/>
      <c r="B605" s="175"/>
      <c r="C605" s="175"/>
      <c r="D605" s="175"/>
      <c r="E605" s="175"/>
      <c r="F605" s="175"/>
      <c r="G605" s="175"/>
      <c r="H605" s="175"/>
      <c r="I605" s="175"/>
      <c r="J605" s="175"/>
    </row>
    <row r="606" spans="1:10" x14ac:dyDescent="0.3">
      <c r="A606" s="175"/>
      <c r="B606" s="175"/>
      <c r="C606" s="175"/>
      <c r="D606" s="175"/>
      <c r="E606" s="175"/>
      <c r="F606" s="175"/>
      <c r="G606" s="175"/>
      <c r="H606" s="175"/>
      <c r="I606" s="175"/>
      <c r="J606" s="175"/>
    </row>
    <row r="607" spans="1:10" x14ac:dyDescent="0.3">
      <c r="A607" s="175"/>
      <c r="B607" s="175"/>
      <c r="C607" s="175"/>
      <c r="D607" s="175"/>
      <c r="E607" s="175"/>
      <c r="F607" s="175"/>
      <c r="G607" s="175"/>
      <c r="H607" s="175"/>
      <c r="I607" s="175"/>
      <c r="J607" s="175"/>
    </row>
    <row r="608" spans="1:10" x14ac:dyDescent="0.3">
      <c r="A608" s="175"/>
      <c r="B608" s="175"/>
      <c r="C608" s="175"/>
      <c r="D608" s="175"/>
      <c r="E608" s="175"/>
      <c r="F608" s="175"/>
      <c r="G608" s="175"/>
      <c r="H608" s="175"/>
      <c r="I608" s="175"/>
      <c r="J608" s="175"/>
    </row>
    <row r="609" spans="1:10" x14ac:dyDescent="0.3">
      <c r="A609" s="175"/>
      <c r="B609" s="175"/>
      <c r="C609" s="175"/>
      <c r="D609" s="175"/>
      <c r="E609" s="175"/>
      <c r="F609" s="175"/>
      <c r="G609" s="175"/>
      <c r="H609" s="175"/>
      <c r="I609" s="175"/>
      <c r="J609" s="175"/>
    </row>
    <row r="610" spans="1:10" x14ac:dyDescent="0.3">
      <c r="A610" s="175"/>
      <c r="B610" s="175"/>
      <c r="C610" s="175"/>
      <c r="D610" s="175"/>
      <c r="E610" s="175"/>
      <c r="F610" s="175"/>
      <c r="G610" s="175"/>
      <c r="H610" s="175"/>
      <c r="I610" s="175"/>
      <c r="J610" s="175"/>
    </row>
    <row r="611" spans="1:10" x14ac:dyDescent="0.3">
      <c r="A611" s="175"/>
      <c r="B611" s="175"/>
      <c r="C611" s="175"/>
      <c r="D611" s="175"/>
      <c r="E611" s="175"/>
      <c r="F611" s="175"/>
      <c r="G611" s="175"/>
      <c r="H611" s="175"/>
      <c r="I611" s="175"/>
      <c r="J611" s="175"/>
    </row>
    <row r="612" spans="1:10" x14ac:dyDescent="0.3">
      <c r="A612" s="175"/>
      <c r="B612" s="175"/>
      <c r="C612" s="175"/>
      <c r="D612" s="175"/>
      <c r="E612" s="175"/>
      <c r="F612" s="175"/>
      <c r="G612" s="175"/>
      <c r="H612" s="175"/>
      <c r="I612" s="175"/>
      <c r="J612" s="175"/>
    </row>
    <row r="613" spans="1:10" x14ac:dyDescent="0.3">
      <c r="A613" s="175"/>
      <c r="B613" s="175"/>
      <c r="C613" s="175"/>
      <c r="D613" s="175"/>
      <c r="E613" s="175"/>
      <c r="F613" s="175"/>
      <c r="G613" s="175"/>
      <c r="H613" s="175"/>
      <c r="I613" s="175"/>
      <c r="J613" s="175"/>
    </row>
    <row r="614" spans="1:10" x14ac:dyDescent="0.3">
      <c r="A614" s="175"/>
      <c r="B614" s="175"/>
      <c r="C614" s="175"/>
      <c r="D614" s="175"/>
      <c r="E614" s="175"/>
      <c r="F614" s="175"/>
      <c r="G614" s="175"/>
      <c r="H614" s="175"/>
      <c r="I614" s="175"/>
      <c r="J614" s="175"/>
    </row>
    <row r="615" spans="1:10" x14ac:dyDescent="0.3">
      <c r="A615" s="175"/>
      <c r="B615" s="175"/>
      <c r="C615" s="175"/>
      <c r="D615" s="175"/>
      <c r="E615" s="175"/>
      <c r="F615" s="175"/>
      <c r="G615" s="175"/>
      <c r="H615" s="175"/>
      <c r="I615" s="175"/>
      <c r="J615" s="175"/>
    </row>
    <row r="616" spans="1:10" x14ac:dyDescent="0.3">
      <c r="A616" s="175"/>
      <c r="B616" s="175"/>
      <c r="C616" s="175"/>
      <c r="D616" s="175"/>
      <c r="E616" s="175"/>
      <c r="F616" s="175"/>
      <c r="G616" s="175"/>
      <c r="H616" s="175"/>
      <c r="I616" s="175"/>
      <c r="J616" s="175"/>
    </row>
    <row r="617" spans="1:10" x14ac:dyDescent="0.3">
      <c r="A617" s="175"/>
      <c r="B617" s="175"/>
      <c r="C617" s="175"/>
      <c r="D617" s="175"/>
      <c r="E617" s="175"/>
      <c r="F617" s="175"/>
      <c r="G617" s="175"/>
      <c r="H617" s="175"/>
      <c r="I617" s="175"/>
      <c r="J617" s="175"/>
    </row>
    <row r="618" spans="1:10" x14ac:dyDescent="0.3">
      <c r="A618" s="175"/>
      <c r="B618" s="175"/>
      <c r="C618" s="175"/>
      <c r="D618" s="175"/>
      <c r="E618" s="175"/>
      <c r="F618" s="175"/>
      <c r="G618" s="175"/>
      <c r="H618" s="175"/>
      <c r="I618" s="175"/>
      <c r="J618" s="175"/>
    </row>
    <row r="619" spans="1:10" x14ac:dyDescent="0.3">
      <c r="A619" s="175"/>
      <c r="B619" s="175"/>
      <c r="C619" s="175"/>
      <c r="D619" s="175"/>
      <c r="E619" s="175"/>
      <c r="F619" s="175"/>
      <c r="G619" s="175"/>
      <c r="H619" s="175"/>
      <c r="I619" s="175"/>
      <c r="J619" s="175"/>
    </row>
    <row r="620" spans="1:10" x14ac:dyDescent="0.3">
      <c r="A620" s="175"/>
      <c r="B620" s="175"/>
      <c r="C620" s="175"/>
      <c r="D620" s="175"/>
      <c r="E620" s="175"/>
      <c r="F620" s="175"/>
      <c r="G620" s="175"/>
      <c r="H620" s="175"/>
      <c r="I620" s="175"/>
      <c r="J620" s="175"/>
    </row>
    <row r="621" spans="1:10" x14ac:dyDescent="0.3">
      <c r="A621" s="175"/>
      <c r="B621" s="175"/>
      <c r="C621" s="175"/>
      <c r="D621" s="175"/>
      <c r="E621" s="175"/>
      <c r="F621" s="175"/>
      <c r="G621" s="175"/>
      <c r="H621" s="175"/>
      <c r="I621" s="175"/>
      <c r="J621" s="175"/>
    </row>
    <row r="622" spans="1:10" x14ac:dyDescent="0.3">
      <c r="A622" s="175"/>
      <c r="B622" s="175"/>
      <c r="C622" s="175"/>
      <c r="D622" s="175"/>
      <c r="E622" s="175"/>
      <c r="F622" s="175"/>
      <c r="G622" s="175"/>
      <c r="H622" s="175"/>
      <c r="I622" s="175"/>
      <c r="J622" s="175"/>
    </row>
    <row r="623" spans="1:10" x14ac:dyDescent="0.3">
      <c r="A623" s="175"/>
      <c r="B623" s="175"/>
      <c r="C623" s="175"/>
      <c r="D623" s="175"/>
      <c r="E623" s="175"/>
      <c r="F623" s="175"/>
      <c r="G623" s="175"/>
      <c r="H623" s="175"/>
      <c r="I623" s="175"/>
      <c r="J623" s="175"/>
    </row>
    <row r="624" spans="1:10" x14ac:dyDescent="0.3">
      <c r="A624" s="175"/>
      <c r="B624" s="175"/>
      <c r="C624" s="175"/>
      <c r="D624" s="175"/>
      <c r="E624" s="175"/>
      <c r="F624" s="175"/>
      <c r="G624" s="175"/>
      <c r="H624" s="175"/>
      <c r="I624" s="175"/>
      <c r="J624" s="175"/>
    </row>
    <row r="625" spans="1:10" x14ac:dyDescent="0.3">
      <c r="A625" s="175"/>
      <c r="B625" s="175"/>
      <c r="C625" s="175"/>
      <c r="D625" s="175"/>
      <c r="E625" s="175"/>
      <c r="F625" s="175"/>
      <c r="G625" s="175"/>
      <c r="H625" s="175"/>
      <c r="I625" s="175"/>
      <c r="J625" s="175"/>
    </row>
    <row r="626" spans="1:10" x14ac:dyDescent="0.3">
      <c r="A626" s="175"/>
      <c r="B626" s="175"/>
      <c r="C626" s="175"/>
      <c r="D626" s="175"/>
      <c r="E626" s="175"/>
      <c r="F626" s="175"/>
      <c r="G626" s="175"/>
      <c r="H626" s="175"/>
      <c r="I626" s="175"/>
      <c r="J626" s="175"/>
    </row>
    <row r="627" spans="1:10" x14ac:dyDescent="0.3">
      <c r="A627" s="175"/>
      <c r="B627" s="175"/>
      <c r="C627" s="175"/>
      <c r="D627" s="175"/>
      <c r="E627" s="175"/>
      <c r="F627" s="175"/>
      <c r="G627" s="175"/>
      <c r="H627" s="175"/>
      <c r="I627" s="175"/>
      <c r="J627" s="175"/>
    </row>
    <row r="628" spans="1:10" x14ac:dyDescent="0.3">
      <c r="A628" s="175"/>
      <c r="B628" s="175"/>
      <c r="C628" s="175"/>
      <c r="D628" s="175"/>
      <c r="E628" s="175"/>
      <c r="F628" s="175"/>
      <c r="G628" s="175"/>
      <c r="H628" s="175"/>
      <c r="I628" s="175"/>
      <c r="J628" s="175"/>
    </row>
    <row r="629" spans="1:10" x14ac:dyDescent="0.3">
      <c r="A629" s="175"/>
      <c r="B629" s="175"/>
      <c r="C629" s="175"/>
      <c r="D629" s="175"/>
      <c r="E629" s="175"/>
      <c r="F629" s="175"/>
      <c r="G629" s="175"/>
      <c r="H629" s="175"/>
      <c r="I629" s="175"/>
      <c r="J629" s="175"/>
    </row>
    <row r="630" spans="1:10" x14ac:dyDescent="0.3">
      <c r="A630" s="175"/>
      <c r="B630" s="175"/>
      <c r="C630" s="175"/>
      <c r="D630" s="175"/>
      <c r="E630" s="175"/>
      <c r="F630" s="175"/>
      <c r="G630" s="175"/>
      <c r="H630" s="175"/>
      <c r="I630" s="175"/>
      <c r="J630" s="175"/>
    </row>
    <row r="631" spans="1:10" x14ac:dyDescent="0.3">
      <c r="A631" s="175"/>
      <c r="B631" s="175"/>
      <c r="C631" s="175"/>
      <c r="D631" s="175"/>
      <c r="E631" s="175"/>
      <c r="F631" s="175"/>
      <c r="G631" s="175"/>
      <c r="H631" s="175"/>
      <c r="I631" s="175"/>
      <c r="J631" s="175"/>
    </row>
    <row r="632" spans="1:10" x14ac:dyDescent="0.3">
      <c r="A632" s="175"/>
      <c r="B632" s="175"/>
      <c r="C632" s="175"/>
      <c r="D632" s="175"/>
      <c r="E632" s="175"/>
      <c r="F632" s="175"/>
      <c r="G632" s="175"/>
      <c r="H632" s="175"/>
      <c r="I632" s="175"/>
      <c r="J632" s="175"/>
    </row>
    <row r="633" spans="1:10" x14ac:dyDescent="0.3">
      <c r="A633" s="175"/>
      <c r="B633" s="175"/>
      <c r="C633" s="175"/>
      <c r="D633" s="175"/>
      <c r="E633" s="175"/>
      <c r="F633" s="175"/>
      <c r="G633" s="175"/>
      <c r="H633" s="175"/>
      <c r="I633" s="175"/>
      <c r="J633" s="175"/>
    </row>
    <row r="634" spans="1:10" x14ac:dyDescent="0.3">
      <c r="A634" s="175"/>
      <c r="B634" s="175"/>
      <c r="C634" s="175"/>
      <c r="D634" s="175"/>
      <c r="E634" s="175"/>
      <c r="F634" s="175"/>
      <c r="G634" s="175"/>
      <c r="H634" s="175"/>
      <c r="I634" s="175"/>
      <c r="J634" s="175"/>
    </row>
    <row r="635" spans="1:10" x14ac:dyDescent="0.3">
      <c r="A635" s="175"/>
      <c r="B635" s="175"/>
      <c r="C635" s="175"/>
      <c r="D635" s="175"/>
      <c r="E635" s="175"/>
      <c r="F635" s="175"/>
      <c r="G635" s="175"/>
      <c r="H635" s="175"/>
      <c r="I635" s="175"/>
      <c r="J635" s="175"/>
    </row>
    <row r="636" spans="1:10" x14ac:dyDescent="0.3">
      <c r="A636" s="175"/>
      <c r="B636" s="175"/>
      <c r="C636" s="175"/>
      <c r="D636" s="175"/>
      <c r="E636" s="175"/>
      <c r="F636" s="175"/>
      <c r="G636" s="175"/>
      <c r="H636" s="175"/>
      <c r="I636" s="175"/>
      <c r="J636" s="175"/>
    </row>
    <row r="637" spans="1:10" x14ac:dyDescent="0.3">
      <c r="A637" s="175"/>
      <c r="B637" s="175"/>
      <c r="C637" s="175"/>
      <c r="D637" s="175"/>
      <c r="E637" s="175"/>
      <c r="F637" s="175"/>
      <c r="G637" s="175"/>
      <c r="H637" s="175"/>
      <c r="I637" s="175"/>
      <c r="J637" s="175"/>
    </row>
    <row r="638" spans="1:10" x14ac:dyDescent="0.3">
      <c r="A638" s="175"/>
      <c r="B638" s="175"/>
      <c r="C638" s="175"/>
      <c r="D638" s="175"/>
      <c r="E638" s="175"/>
      <c r="F638" s="175"/>
      <c r="G638" s="175"/>
      <c r="H638" s="175"/>
      <c r="I638" s="175"/>
      <c r="J638" s="175"/>
    </row>
    <row r="639" spans="1:10" x14ac:dyDescent="0.3">
      <c r="A639" s="175"/>
      <c r="B639" s="175"/>
      <c r="C639" s="175"/>
      <c r="D639" s="175"/>
      <c r="E639" s="175"/>
      <c r="F639" s="175"/>
      <c r="G639" s="175"/>
      <c r="H639" s="175"/>
      <c r="I639" s="175"/>
      <c r="J639" s="175"/>
    </row>
    <row r="640" spans="1:10" x14ac:dyDescent="0.3">
      <c r="A640" s="175"/>
      <c r="B640" s="175"/>
      <c r="C640" s="175"/>
      <c r="D640" s="175"/>
      <c r="E640" s="175"/>
      <c r="F640" s="175"/>
      <c r="G640" s="175"/>
      <c r="H640" s="175"/>
      <c r="I640" s="175"/>
      <c r="J640" s="175"/>
    </row>
    <row r="641" spans="1:10" x14ac:dyDescent="0.3">
      <c r="A641" s="175"/>
      <c r="B641" s="175"/>
      <c r="C641" s="175"/>
      <c r="D641" s="175"/>
      <c r="E641" s="175"/>
      <c r="F641" s="175"/>
      <c r="G641" s="175"/>
      <c r="H641" s="175"/>
      <c r="I641" s="175"/>
      <c r="J641" s="175"/>
    </row>
    <row r="642" spans="1:10" x14ac:dyDescent="0.3">
      <c r="A642" s="175"/>
      <c r="B642" s="175"/>
      <c r="C642" s="175"/>
      <c r="D642" s="175"/>
      <c r="E642" s="175"/>
      <c r="F642" s="175"/>
      <c r="G642" s="175"/>
      <c r="H642" s="175"/>
      <c r="I642" s="175"/>
      <c r="J642" s="175"/>
    </row>
    <row r="643" spans="1:10" x14ac:dyDescent="0.3">
      <c r="A643" s="175"/>
      <c r="B643" s="175"/>
      <c r="C643" s="175"/>
      <c r="D643" s="175"/>
      <c r="E643" s="175"/>
      <c r="F643" s="175"/>
      <c r="G643" s="175"/>
      <c r="H643" s="175"/>
      <c r="I643" s="175"/>
      <c r="J643" s="175"/>
    </row>
    <row r="644" spans="1:10" x14ac:dyDescent="0.3">
      <c r="A644" s="175"/>
      <c r="B644" s="175"/>
      <c r="C644" s="175"/>
      <c r="D644" s="175"/>
      <c r="E644" s="175"/>
      <c r="F644" s="175"/>
      <c r="G644" s="175"/>
      <c r="H644" s="175"/>
      <c r="I644" s="175"/>
      <c r="J644" s="175"/>
    </row>
    <row r="645" spans="1:10" x14ac:dyDescent="0.3">
      <c r="A645" s="175"/>
      <c r="B645" s="175"/>
      <c r="C645" s="175"/>
      <c r="D645" s="175"/>
      <c r="E645" s="175"/>
      <c r="F645" s="175"/>
      <c r="G645" s="175"/>
      <c r="H645" s="175"/>
      <c r="I645" s="175"/>
      <c r="J645" s="175"/>
    </row>
    <row r="646" spans="1:10" x14ac:dyDescent="0.3">
      <c r="A646" s="175"/>
      <c r="B646" s="175"/>
      <c r="C646" s="175"/>
      <c r="D646" s="175"/>
      <c r="E646" s="175"/>
      <c r="F646" s="175"/>
      <c r="G646" s="175"/>
      <c r="H646" s="175"/>
      <c r="I646" s="175"/>
      <c r="J646" s="175"/>
    </row>
    <row r="647" spans="1:10" x14ac:dyDescent="0.3">
      <c r="A647" s="175"/>
      <c r="B647" s="175"/>
      <c r="C647" s="175"/>
      <c r="D647" s="175"/>
      <c r="E647" s="175"/>
      <c r="F647" s="175"/>
      <c r="G647" s="175"/>
      <c r="H647" s="175"/>
      <c r="I647" s="175"/>
      <c r="J647" s="175"/>
    </row>
    <row r="648" spans="1:10" x14ac:dyDescent="0.3">
      <c r="A648" s="175"/>
      <c r="B648" s="175"/>
      <c r="C648" s="175"/>
      <c r="D648" s="175"/>
      <c r="E648" s="175"/>
      <c r="F648" s="175"/>
      <c r="G648" s="175"/>
      <c r="H648" s="175"/>
      <c r="I648" s="175"/>
      <c r="J648" s="175"/>
    </row>
    <row r="649" spans="1:10" x14ac:dyDescent="0.3">
      <c r="A649" s="175"/>
      <c r="B649" s="175"/>
      <c r="C649" s="175"/>
      <c r="D649" s="175"/>
      <c r="E649" s="175"/>
      <c r="F649" s="175"/>
      <c r="G649" s="175"/>
      <c r="H649" s="175"/>
      <c r="I649" s="175"/>
      <c r="J649" s="175"/>
    </row>
    <row r="650" spans="1:10" x14ac:dyDescent="0.3">
      <c r="A650" s="175"/>
      <c r="B650" s="175"/>
      <c r="C650" s="175"/>
      <c r="D650" s="175"/>
      <c r="E650" s="175"/>
      <c r="F650" s="175"/>
      <c r="G650" s="175"/>
      <c r="H650" s="175"/>
      <c r="I650" s="175"/>
      <c r="J650" s="175"/>
    </row>
    <row r="651" spans="1:10" x14ac:dyDescent="0.3">
      <c r="A651" s="175"/>
      <c r="B651" s="175"/>
      <c r="C651" s="175"/>
      <c r="D651" s="175"/>
      <c r="E651" s="175"/>
      <c r="F651" s="175"/>
      <c r="G651" s="175"/>
      <c r="H651" s="175"/>
      <c r="I651" s="175"/>
      <c r="J651" s="175"/>
    </row>
    <row r="652" spans="1:10" x14ac:dyDescent="0.3">
      <c r="A652" s="175"/>
      <c r="B652" s="175"/>
      <c r="C652" s="175"/>
      <c r="D652" s="175"/>
      <c r="E652" s="175"/>
      <c r="F652" s="175"/>
      <c r="G652" s="175"/>
      <c r="H652" s="175"/>
      <c r="I652" s="175"/>
      <c r="J652" s="175"/>
    </row>
    <row r="653" spans="1:10" x14ac:dyDescent="0.3">
      <c r="A653" s="175"/>
      <c r="B653" s="175"/>
      <c r="C653" s="175"/>
      <c r="D653" s="175"/>
      <c r="E653" s="175"/>
      <c r="F653" s="175"/>
      <c r="G653" s="175"/>
      <c r="H653" s="175"/>
      <c r="I653" s="175"/>
      <c r="J653" s="175"/>
    </row>
    <row r="654" spans="1:10" x14ac:dyDescent="0.3">
      <c r="A654" s="175"/>
      <c r="B654" s="175"/>
      <c r="C654" s="175"/>
      <c r="D654" s="175"/>
      <c r="E654" s="175"/>
      <c r="F654" s="175"/>
      <c r="G654" s="175"/>
      <c r="H654" s="175"/>
      <c r="I654" s="175"/>
      <c r="J654" s="175"/>
    </row>
    <row r="655" spans="1:10" x14ac:dyDescent="0.3">
      <c r="A655" s="175"/>
      <c r="B655" s="175"/>
      <c r="C655" s="175"/>
      <c r="D655" s="175"/>
      <c r="E655" s="175"/>
      <c r="F655" s="175"/>
      <c r="G655" s="175"/>
      <c r="H655" s="175"/>
      <c r="I655" s="175"/>
      <c r="J655" s="175"/>
    </row>
    <row r="656" spans="1:10" x14ac:dyDescent="0.3">
      <c r="A656" s="175"/>
      <c r="B656" s="175"/>
      <c r="C656" s="175"/>
      <c r="D656" s="175"/>
      <c r="E656" s="175"/>
      <c r="F656" s="175"/>
      <c r="G656" s="175"/>
      <c r="H656" s="175"/>
      <c r="I656" s="175"/>
      <c r="J656" s="175"/>
    </row>
    <row r="657" spans="1:10" x14ac:dyDescent="0.3">
      <c r="A657" s="175"/>
      <c r="B657" s="175"/>
      <c r="C657" s="175"/>
      <c r="D657" s="175"/>
      <c r="E657" s="175"/>
      <c r="F657" s="175"/>
      <c r="G657" s="175"/>
      <c r="H657" s="175"/>
      <c r="I657" s="175"/>
      <c r="J657" s="175"/>
    </row>
    <row r="658" spans="1:10" x14ac:dyDescent="0.3">
      <c r="A658" s="175"/>
      <c r="B658" s="175"/>
      <c r="C658" s="175"/>
      <c r="D658" s="175"/>
      <c r="E658" s="175"/>
      <c r="F658" s="175"/>
      <c r="G658" s="175"/>
      <c r="H658" s="175"/>
      <c r="I658" s="175"/>
      <c r="J658" s="175"/>
    </row>
    <row r="659" spans="1:10" x14ac:dyDescent="0.3">
      <c r="A659" s="175"/>
      <c r="B659" s="175"/>
      <c r="C659" s="175"/>
      <c r="D659" s="175"/>
      <c r="E659" s="175"/>
      <c r="F659" s="175"/>
      <c r="G659" s="175"/>
      <c r="H659" s="175"/>
      <c r="I659" s="175"/>
      <c r="J659" s="175"/>
    </row>
    <row r="660" spans="1:10" x14ac:dyDescent="0.3">
      <c r="A660" s="175"/>
      <c r="B660" s="175"/>
      <c r="C660" s="175"/>
      <c r="D660" s="175"/>
      <c r="E660" s="175"/>
      <c r="F660" s="175"/>
      <c r="G660" s="175"/>
      <c r="H660" s="175"/>
      <c r="I660" s="175"/>
      <c r="J660" s="175"/>
    </row>
    <row r="661" spans="1:10" x14ac:dyDescent="0.3">
      <c r="A661" s="175"/>
      <c r="B661" s="175"/>
      <c r="C661" s="175"/>
      <c r="D661" s="175"/>
      <c r="E661" s="175"/>
      <c r="F661" s="175"/>
      <c r="G661" s="175"/>
      <c r="H661" s="175"/>
      <c r="I661" s="175"/>
      <c r="J661" s="175"/>
    </row>
    <row r="662" spans="1:10" x14ac:dyDescent="0.3">
      <c r="A662" s="175"/>
      <c r="B662" s="175"/>
      <c r="C662" s="175"/>
      <c r="D662" s="175"/>
      <c r="E662" s="175"/>
      <c r="F662" s="175"/>
      <c r="G662" s="175"/>
      <c r="H662" s="175"/>
      <c r="I662" s="175"/>
      <c r="J662" s="175"/>
    </row>
    <row r="663" spans="1:10" x14ac:dyDescent="0.3">
      <c r="A663" s="175"/>
      <c r="B663" s="175"/>
      <c r="C663" s="175"/>
      <c r="D663" s="175"/>
      <c r="E663" s="175"/>
      <c r="F663" s="175"/>
      <c r="G663" s="175"/>
      <c r="H663" s="175"/>
      <c r="I663" s="175"/>
      <c r="J663" s="175"/>
    </row>
    <row r="664" spans="1:10" x14ac:dyDescent="0.3">
      <c r="A664" s="175"/>
      <c r="B664" s="175"/>
      <c r="C664" s="175"/>
      <c r="D664" s="175"/>
      <c r="E664" s="175"/>
      <c r="F664" s="175"/>
      <c r="G664" s="175"/>
      <c r="H664" s="175"/>
      <c r="I664" s="175"/>
      <c r="J664" s="175"/>
    </row>
    <row r="665" spans="1:10" x14ac:dyDescent="0.3">
      <c r="A665" s="175"/>
      <c r="B665" s="175"/>
      <c r="C665" s="175"/>
      <c r="D665" s="175"/>
      <c r="E665" s="175"/>
      <c r="F665" s="175"/>
      <c r="G665" s="175"/>
      <c r="H665" s="175"/>
      <c r="I665" s="175"/>
      <c r="J665" s="175"/>
    </row>
    <row r="666" spans="1:10" x14ac:dyDescent="0.3">
      <c r="A666" s="175"/>
      <c r="B666" s="175"/>
      <c r="C666" s="175"/>
      <c r="D666" s="175"/>
      <c r="E666" s="175"/>
      <c r="F666" s="175"/>
      <c r="G666" s="175"/>
      <c r="H666" s="175"/>
      <c r="I666" s="175"/>
      <c r="J666" s="175"/>
    </row>
    <row r="667" spans="1:10" x14ac:dyDescent="0.3">
      <c r="A667" s="175"/>
      <c r="B667" s="175"/>
      <c r="C667" s="175"/>
      <c r="D667" s="175"/>
      <c r="E667" s="175"/>
      <c r="F667" s="175"/>
      <c r="G667" s="175"/>
      <c r="H667" s="175"/>
      <c r="I667" s="175"/>
      <c r="J667" s="175"/>
    </row>
    <row r="668" spans="1:10" x14ac:dyDescent="0.3">
      <c r="A668" s="175"/>
      <c r="B668" s="175"/>
      <c r="C668" s="175"/>
      <c r="D668" s="175"/>
      <c r="E668" s="175"/>
      <c r="F668" s="175"/>
      <c r="G668" s="175"/>
      <c r="H668" s="175"/>
      <c r="I668" s="175"/>
      <c r="J668" s="175"/>
    </row>
    <row r="669" spans="1:10" x14ac:dyDescent="0.3">
      <c r="A669" s="175"/>
      <c r="B669" s="175"/>
      <c r="C669" s="175"/>
      <c r="D669" s="175"/>
      <c r="E669" s="175"/>
      <c r="F669" s="175"/>
      <c r="G669" s="175"/>
      <c r="H669" s="175"/>
      <c r="I669" s="175"/>
      <c r="J669" s="175"/>
    </row>
    <row r="670" spans="1:10" x14ac:dyDescent="0.3">
      <c r="A670" s="175"/>
      <c r="B670" s="175"/>
      <c r="C670" s="175"/>
      <c r="D670" s="175"/>
      <c r="E670" s="175"/>
      <c r="F670" s="175"/>
      <c r="G670" s="175"/>
      <c r="H670" s="175"/>
      <c r="I670" s="175"/>
      <c r="J670" s="175"/>
    </row>
    <row r="671" spans="1:10" x14ac:dyDescent="0.3">
      <c r="A671" s="175"/>
      <c r="B671" s="175"/>
      <c r="C671" s="175"/>
      <c r="D671" s="175"/>
      <c r="E671" s="175"/>
      <c r="F671" s="175"/>
      <c r="G671" s="175"/>
      <c r="H671" s="175"/>
      <c r="I671" s="175"/>
      <c r="J671" s="175"/>
    </row>
    <row r="672" spans="1:10" x14ac:dyDescent="0.3">
      <c r="A672" s="175"/>
      <c r="B672" s="175"/>
      <c r="C672" s="175"/>
      <c r="D672" s="175"/>
      <c r="E672" s="175"/>
      <c r="F672" s="175"/>
      <c r="G672" s="175"/>
      <c r="H672" s="175"/>
      <c r="I672" s="175"/>
      <c r="J672" s="175"/>
    </row>
    <row r="673" spans="1:10" x14ac:dyDescent="0.3">
      <c r="A673" s="175"/>
      <c r="B673" s="175"/>
      <c r="C673" s="175"/>
      <c r="D673" s="175"/>
      <c r="E673" s="175"/>
      <c r="F673" s="175"/>
      <c r="G673" s="175"/>
      <c r="H673" s="175"/>
      <c r="I673" s="175"/>
      <c r="J673" s="175"/>
    </row>
    <row r="674" spans="1:10" x14ac:dyDescent="0.3">
      <c r="A674" s="175"/>
      <c r="B674" s="175"/>
      <c r="C674" s="175"/>
      <c r="D674" s="175"/>
      <c r="E674" s="175"/>
      <c r="F674" s="175"/>
      <c r="G674" s="175"/>
      <c r="H674" s="175"/>
      <c r="I674" s="175"/>
      <c r="J674" s="175"/>
    </row>
    <row r="675" spans="1:10" x14ac:dyDescent="0.3">
      <c r="A675" s="175"/>
      <c r="B675" s="175"/>
      <c r="C675" s="175"/>
      <c r="D675" s="175"/>
      <c r="E675" s="175"/>
      <c r="F675" s="175"/>
      <c r="G675" s="175"/>
      <c r="H675" s="175"/>
      <c r="I675" s="175"/>
      <c r="J675" s="175"/>
    </row>
    <row r="676" spans="1:10" x14ac:dyDescent="0.3">
      <c r="A676" s="175"/>
      <c r="B676" s="175"/>
      <c r="C676" s="175"/>
      <c r="D676" s="175"/>
      <c r="E676" s="175"/>
      <c r="F676" s="175"/>
      <c r="G676" s="175"/>
      <c r="H676" s="175"/>
      <c r="I676" s="175"/>
      <c r="J676" s="175"/>
    </row>
    <row r="677" spans="1:10" x14ac:dyDescent="0.3">
      <c r="A677" s="175"/>
      <c r="B677" s="175"/>
      <c r="C677" s="175"/>
      <c r="D677" s="175"/>
      <c r="E677" s="175"/>
      <c r="F677" s="175"/>
      <c r="G677" s="175"/>
      <c r="H677" s="175"/>
      <c r="I677" s="175"/>
      <c r="J677" s="175"/>
    </row>
    <row r="678" spans="1:10" x14ac:dyDescent="0.3">
      <c r="A678" s="175"/>
      <c r="B678" s="175"/>
      <c r="C678" s="175"/>
      <c r="D678" s="175"/>
      <c r="E678" s="175"/>
      <c r="F678" s="175"/>
      <c r="G678" s="175"/>
      <c r="H678" s="175"/>
      <c r="I678" s="175"/>
      <c r="J678" s="175"/>
    </row>
    <row r="679" spans="1:10" x14ac:dyDescent="0.3">
      <c r="A679" s="175"/>
      <c r="B679" s="175"/>
      <c r="C679" s="175"/>
      <c r="D679" s="175"/>
      <c r="E679" s="175"/>
      <c r="F679" s="175"/>
      <c r="G679" s="175"/>
      <c r="H679" s="175"/>
      <c r="I679" s="175"/>
      <c r="J679" s="175"/>
    </row>
    <row r="680" spans="1:10" x14ac:dyDescent="0.3">
      <c r="A680" s="175"/>
      <c r="B680" s="175"/>
      <c r="C680" s="175"/>
      <c r="D680" s="175"/>
      <c r="E680" s="175"/>
      <c r="F680" s="175"/>
      <c r="G680" s="175"/>
      <c r="H680" s="175"/>
      <c r="I680" s="175"/>
      <c r="J680" s="175"/>
    </row>
    <row r="681" spans="1:10" x14ac:dyDescent="0.3">
      <c r="A681" s="175"/>
      <c r="B681" s="175"/>
      <c r="C681" s="175"/>
      <c r="D681" s="175"/>
      <c r="E681" s="175"/>
      <c r="F681" s="175"/>
      <c r="G681" s="175"/>
      <c r="H681" s="175"/>
      <c r="I681" s="175"/>
      <c r="J681" s="175"/>
    </row>
    <row r="682" spans="1:10" x14ac:dyDescent="0.3">
      <c r="A682" s="175"/>
      <c r="B682" s="175"/>
      <c r="C682" s="175"/>
      <c r="D682" s="175"/>
      <c r="E682" s="175"/>
      <c r="F682" s="175"/>
      <c r="G682" s="175"/>
      <c r="H682" s="175"/>
      <c r="I682" s="175"/>
      <c r="J682" s="175"/>
    </row>
    <row r="683" spans="1:10" x14ac:dyDescent="0.3">
      <c r="A683" s="175"/>
      <c r="B683" s="175"/>
      <c r="C683" s="175"/>
      <c r="D683" s="175"/>
      <c r="E683" s="175"/>
      <c r="F683" s="175"/>
      <c r="G683" s="175"/>
      <c r="H683" s="175"/>
      <c r="I683" s="175"/>
      <c r="J683" s="175"/>
    </row>
    <row r="684" spans="1:10" x14ac:dyDescent="0.3">
      <c r="A684" s="175"/>
      <c r="B684" s="175"/>
      <c r="C684" s="175"/>
      <c r="D684" s="175"/>
      <c r="E684" s="175"/>
      <c r="F684" s="175"/>
      <c r="G684" s="175"/>
      <c r="H684" s="175"/>
      <c r="I684" s="175"/>
      <c r="J684" s="175"/>
    </row>
    <row r="685" spans="1:10" x14ac:dyDescent="0.3">
      <c r="A685" s="175"/>
      <c r="B685" s="175"/>
      <c r="C685" s="175"/>
      <c r="D685" s="175"/>
      <c r="E685" s="175"/>
      <c r="F685" s="175"/>
      <c r="G685" s="175"/>
      <c r="H685" s="175"/>
      <c r="I685" s="175"/>
      <c r="J685" s="175"/>
    </row>
    <row r="686" spans="1:10" x14ac:dyDescent="0.3">
      <c r="A686" s="175"/>
      <c r="B686" s="175"/>
      <c r="C686" s="175"/>
      <c r="D686" s="175"/>
      <c r="E686" s="175"/>
      <c r="F686" s="175"/>
      <c r="G686" s="175"/>
      <c r="H686" s="175"/>
      <c r="I686" s="175"/>
      <c r="J686" s="175"/>
    </row>
    <row r="687" spans="1:10" x14ac:dyDescent="0.3">
      <c r="A687" s="175"/>
      <c r="B687" s="175"/>
      <c r="C687" s="175"/>
      <c r="D687" s="175"/>
      <c r="E687" s="175"/>
      <c r="F687" s="175"/>
      <c r="G687" s="175"/>
      <c r="H687" s="175"/>
      <c r="I687" s="175"/>
      <c r="J687" s="175"/>
    </row>
    <row r="688" spans="1:10" x14ac:dyDescent="0.3">
      <c r="A688" s="175"/>
      <c r="B688" s="175"/>
      <c r="C688" s="175"/>
      <c r="D688" s="175"/>
      <c r="E688" s="175"/>
      <c r="F688" s="175"/>
      <c r="G688" s="175"/>
      <c r="H688" s="175"/>
      <c r="I688" s="175"/>
      <c r="J688" s="175"/>
    </row>
    <row r="689" spans="1:10" x14ac:dyDescent="0.3">
      <c r="A689" s="175"/>
      <c r="B689" s="175"/>
      <c r="C689" s="175"/>
      <c r="D689" s="175"/>
      <c r="E689" s="175"/>
      <c r="F689" s="175"/>
      <c r="G689" s="175"/>
      <c r="H689" s="175"/>
      <c r="I689" s="175"/>
      <c r="J689" s="175"/>
    </row>
    <row r="690" spans="1:10" x14ac:dyDescent="0.3">
      <c r="A690" s="175"/>
      <c r="B690" s="175"/>
      <c r="C690" s="175"/>
      <c r="D690" s="175"/>
      <c r="E690" s="175"/>
      <c r="F690" s="175"/>
      <c r="G690" s="175"/>
      <c r="H690" s="175"/>
      <c r="I690" s="175"/>
      <c r="J690" s="175"/>
    </row>
    <row r="691" spans="1:10" x14ac:dyDescent="0.3">
      <c r="A691" s="175"/>
      <c r="B691" s="175"/>
      <c r="C691" s="175"/>
      <c r="D691" s="175"/>
      <c r="E691" s="175"/>
      <c r="F691" s="175"/>
      <c r="G691" s="175"/>
      <c r="H691" s="175"/>
      <c r="I691" s="175"/>
      <c r="J691" s="175"/>
    </row>
    <row r="692" spans="1:10" x14ac:dyDescent="0.3">
      <c r="A692" s="175"/>
      <c r="B692" s="175"/>
      <c r="C692" s="175"/>
      <c r="D692" s="175"/>
      <c r="E692" s="175"/>
      <c r="F692" s="175"/>
      <c r="G692" s="175"/>
      <c r="H692" s="175"/>
      <c r="I692" s="175"/>
      <c r="J692" s="175"/>
    </row>
    <row r="693" spans="1:10" x14ac:dyDescent="0.3">
      <c r="A693" s="175"/>
      <c r="B693" s="175"/>
      <c r="C693" s="175"/>
      <c r="D693" s="175"/>
      <c r="E693" s="175"/>
      <c r="F693" s="175"/>
      <c r="G693" s="175"/>
      <c r="H693" s="175"/>
      <c r="I693" s="175"/>
      <c r="J693" s="175"/>
    </row>
    <row r="694" spans="1:10" x14ac:dyDescent="0.3">
      <c r="A694" s="175"/>
      <c r="B694" s="175"/>
      <c r="C694" s="175"/>
      <c r="D694" s="175"/>
      <c r="E694" s="175"/>
      <c r="F694" s="175"/>
      <c r="G694" s="175"/>
      <c r="H694" s="175"/>
      <c r="I694" s="175"/>
      <c r="J694" s="175"/>
    </row>
    <row r="695" spans="1:10" x14ac:dyDescent="0.3">
      <c r="A695" s="175"/>
      <c r="B695" s="175"/>
      <c r="C695" s="175"/>
      <c r="D695" s="175"/>
      <c r="E695" s="175"/>
      <c r="F695" s="175"/>
      <c r="G695" s="175"/>
      <c r="H695" s="175"/>
      <c r="I695" s="175"/>
      <c r="J695" s="175"/>
    </row>
    <row r="696" spans="1:10" x14ac:dyDescent="0.3">
      <c r="A696" s="175"/>
      <c r="B696" s="175"/>
      <c r="C696" s="175"/>
      <c r="D696" s="175"/>
      <c r="E696" s="175"/>
      <c r="F696" s="175"/>
      <c r="G696" s="175"/>
      <c r="H696" s="175"/>
      <c r="I696" s="175"/>
      <c r="J696" s="175"/>
    </row>
    <row r="697" spans="1:10" x14ac:dyDescent="0.3">
      <c r="A697" s="175"/>
      <c r="B697" s="175"/>
      <c r="C697" s="175"/>
      <c r="D697" s="175"/>
      <c r="E697" s="175"/>
      <c r="F697" s="175"/>
      <c r="G697" s="175"/>
      <c r="H697" s="175"/>
      <c r="I697" s="175"/>
      <c r="J697" s="175"/>
    </row>
    <row r="698" spans="1:10" x14ac:dyDescent="0.3">
      <c r="A698" s="175"/>
      <c r="B698" s="175"/>
      <c r="C698" s="175"/>
      <c r="D698" s="175"/>
      <c r="E698" s="175"/>
      <c r="F698" s="175"/>
      <c r="G698" s="175"/>
      <c r="H698" s="175"/>
      <c r="I698" s="175"/>
      <c r="J698" s="175"/>
    </row>
    <row r="699" spans="1:10" x14ac:dyDescent="0.3">
      <c r="A699" s="175"/>
      <c r="B699" s="175"/>
      <c r="C699" s="175"/>
      <c r="D699" s="175"/>
      <c r="E699" s="175"/>
      <c r="F699" s="175"/>
      <c r="G699" s="175"/>
      <c r="H699" s="175"/>
      <c r="I699" s="175"/>
      <c r="J699" s="175"/>
    </row>
    <row r="700" spans="1:10" x14ac:dyDescent="0.3">
      <c r="A700" s="175"/>
      <c r="B700" s="175"/>
      <c r="C700" s="175"/>
      <c r="D700" s="175"/>
      <c r="E700" s="175"/>
      <c r="F700" s="175"/>
      <c r="G700" s="175"/>
      <c r="H700" s="175"/>
      <c r="I700" s="175"/>
      <c r="J700" s="175"/>
    </row>
    <row r="701" spans="1:10" x14ac:dyDescent="0.3">
      <c r="A701" s="175"/>
      <c r="B701" s="175"/>
      <c r="C701" s="175"/>
      <c r="D701" s="175"/>
      <c r="E701" s="175"/>
      <c r="F701" s="175"/>
      <c r="G701" s="175"/>
      <c r="H701" s="175"/>
      <c r="I701" s="175"/>
      <c r="J701" s="175"/>
    </row>
    <row r="702" spans="1:10" x14ac:dyDescent="0.3">
      <c r="A702" s="175"/>
      <c r="B702" s="175"/>
      <c r="C702" s="175"/>
      <c r="D702" s="175"/>
      <c r="E702" s="175"/>
      <c r="F702" s="175"/>
      <c r="G702" s="175"/>
      <c r="H702" s="175"/>
      <c r="I702" s="175"/>
      <c r="J702" s="175"/>
    </row>
    <row r="703" spans="1:10" x14ac:dyDescent="0.3">
      <c r="A703" s="175"/>
      <c r="B703" s="175"/>
      <c r="C703" s="175"/>
      <c r="D703" s="175"/>
      <c r="E703" s="175"/>
      <c r="F703" s="175"/>
      <c r="G703" s="175"/>
      <c r="H703" s="175"/>
      <c r="I703" s="175"/>
      <c r="J703" s="175"/>
    </row>
    <row r="704" spans="1:10" x14ac:dyDescent="0.3">
      <c r="A704" s="175"/>
      <c r="B704" s="175"/>
      <c r="C704" s="175"/>
      <c r="D704" s="175"/>
      <c r="E704" s="175"/>
      <c r="F704" s="175"/>
      <c r="G704" s="175"/>
      <c r="H704" s="175"/>
      <c r="I704" s="175"/>
      <c r="J704" s="175"/>
    </row>
    <row r="705" spans="1:10" x14ac:dyDescent="0.3">
      <c r="A705" s="175"/>
      <c r="B705" s="175"/>
      <c r="C705" s="175"/>
      <c r="D705" s="175"/>
      <c r="E705" s="175"/>
      <c r="F705" s="175"/>
      <c r="G705" s="175"/>
      <c r="H705" s="175"/>
      <c r="I705" s="175"/>
      <c r="J705" s="175"/>
    </row>
    <row r="706" spans="1:10" x14ac:dyDescent="0.3">
      <c r="A706" s="175"/>
      <c r="B706" s="175"/>
      <c r="C706" s="175"/>
      <c r="D706" s="175"/>
      <c r="E706" s="175"/>
      <c r="F706" s="175"/>
      <c r="G706" s="175"/>
      <c r="H706" s="175"/>
      <c r="I706" s="175"/>
      <c r="J706" s="175"/>
    </row>
    <row r="707" spans="1:10" x14ac:dyDescent="0.3">
      <c r="A707" s="175"/>
      <c r="B707" s="175"/>
      <c r="C707" s="175"/>
      <c r="D707" s="175"/>
      <c r="E707" s="175"/>
      <c r="F707" s="175"/>
      <c r="G707" s="175"/>
      <c r="H707" s="175"/>
      <c r="I707" s="175"/>
      <c r="J707" s="175"/>
    </row>
    <row r="708" spans="1:10" x14ac:dyDescent="0.3">
      <c r="A708" s="175"/>
      <c r="B708" s="175"/>
      <c r="C708" s="175"/>
      <c r="D708" s="175"/>
      <c r="E708" s="175"/>
      <c r="F708" s="175"/>
      <c r="G708" s="175"/>
      <c r="H708" s="175"/>
      <c r="I708" s="175"/>
      <c r="J708" s="175"/>
    </row>
    <row r="709" spans="1:10" x14ac:dyDescent="0.3">
      <c r="A709" s="175"/>
      <c r="B709" s="175"/>
      <c r="C709" s="175"/>
      <c r="D709" s="175"/>
      <c r="E709" s="175"/>
      <c r="F709" s="175"/>
      <c r="G709" s="175"/>
      <c r="H709" s="175"/>
      <c r="I709" s="175"/>
      <c r="J709" s="175"/>
    </row>
    <row r="710" spans="1:10" x14ac:dyDescent="0.3">
      <c r="A710" s="175"/>
      <c r="B710" s="175"/>
      <c r="C710" s="175"/>
      <c r="D710" s="175"/>
      <c r="E710" s="175"/>
      <c r="F710" s="175"/>
      <c r="G710" s="175"/>
      <c r="H710" s="175"/>
      <c r="I710" s="175"/>
      <c r="J710" s="175"/>
    </row>
    <row r="711" spans="1:10" x14ac:dyDescent="0.3">
      <c r="A711" s="175"/>
      <c r="B711" s="175"/>
      <c r="C711" s="175"/>
      <c r="D711" s="175"/>
      <c r="E711" s="175"/>
      <c r="F711" s="175"/>
      <c r="G711" s="175"/>
      <c r="H711" s="175"/>
      <c r="I711" s="175"/>
      <c r="J711" s="175"/>
    </row>
    <row r="712" spans="1:10" x14ac:dyDescent="0.3">
      <c r="A712" s="175"/>
      <c r="B712" s="175"/>
      <c r="C712" s="175"/>
      <c r="D712" s="175"/>
      <c r="E712" s="175"/>
      <c r="F712" s="175"/>
      <c r="G712" s="175"/>
      <c r="H712" s="175"/>
      <c r="I712" s="175"/>
      <c r="J712" s="175"/>
    </row>
    <row r="713" spans="1:10" x14ac:dyDescent="0.3">
      <c r="A713" s="175"/>
      <c r="B713" s="175"/>
      <c r="C713" s="175"/>
      <c r="D713" s="175"/>
      <c r="E713" s="175"/>
      <c r="F713" s="175"/>
      <c r="G713" s="175"/>
      <c r="H713" s="175"/>
      <c r="I713" s="175"/>
      <c r="J713" s="175"/>
    </row>
    <row r="714" spans="1:10" x14ac:dyDescent="0.3">
      <c r="A714" s="175"/>
      <c r="B714" s="175"/>
      <c r="C714" s="175"/>
      <c r="D714" s="175"/>
      <c r="E714" s="175"/>
      <c r="F714" s="175"/>
      <c r="G714" s="175"/>
      <c r="H714" s="175"/>
      <c r="I714" s="175"/>
      <c r="J714" s="175"/>
    </row>
    <row r="715" spans="1:10" x14ac:dyDescent="0.3">
      <c r="A715" s="175"/>
      <c r="B715" s="175"/>
      <c r="C715" s="175"/>
      <c r="D715" s="175"/>
      <c r="E715" s="175"/>
      <c r="F715" s="175"/>
      <c r="G715" s="175"/>
      <c r="H715" s="175"/>
      <c r="I715" s="175"/>
      <c r="J715" s="175"/>
    </row>
    <row r="716" spans="1:10" x14ac:dyDescent="0.3">
      <c r="A716" s="175"/>
      <c r="B716" s="175"/>
      <c r="C716" s="175"/>
      <c r="D716" s="175"/>
      <c r="E716" s="175"/>
      <c r="F716" s="175"/>
      <c r="G716" s="175"/>
      <c r="H716" s="175"/>
      <c r="I716" s="175"/>
      <c r="J716" s="175"/>
    </row>
    <row r="717" spans="1:10" x14ac:dyDescent="0.3">
      <c r="A717" s="175"/>
      <c r="B717" s="175"/>
      <c r="C717" s="175"/>
      <c r="D717" s="175"/>
      <c r="E717" s="175"/>
      <c r="F717" s="175"/>
      <c r="G717" s="175"/>
      <c r="H717" s="175"/>
      <c r="I717" s="175"/>
      <c r="J717" s="175"/>
    </row>
    <row r="718" spans="1:10" x14ac:dyDescent="0.3">
      <c r="A718" s="175"/>
      <c r="B718" s="175"/>
      <c r="C718" s="175"/>
      <c r="D718" s="175"/>
      <c r="E718" s="175"/>
      <c r="F718" s="175"/>
      <c r="G718" s="175"/>
      <c r="H718" s="175"/>
      <c r="I718" s="175"/>
      <c r="J718" s="175"/>
    </row>
    <row r="719" spans="1:10" x14ac:dyDescent="0.3">
      <c r="A719" s="175"/>
      <c r="B719" s="175"/>
      <c r="C719" s="175"/>
      <c r="D719" s="175"/>
      <c r="E719" s="175"/>
      <c r="F719" s="175"/>
      <c r="G719" s="175"/>
      <c r="H719" s="175"/>
      <c r="I719" s="175"/>
      <c r="J719" s="175"/>
    </row>
    <row r="720" spans="1:10" x14ac:dyDescent="0.3">
      <c r="A720" s="175"/>
      <c r="B720" s="175"/>
      <c r="C720" s="175"/>
      <c r="D720" s="175"/>
      <c r="E720" s="175"/>
      <c r="F720" s="175"/>
      <c r="G720" s="175"/>
      <c r="H720" s="175"/>
      <c r="I720" s="175"/>
      <c r="J720" s="175"/>
    </row>
    <row r="721" spans="1:10" x14ac:dyDescent="0.3">
      <c r="A721" s="175"/>
      <c r="B721" s="175"/>
      <c r="C721" s="175"/>
      <c r="D721" s="175"/>
      <c r="E721" s="175"/>
      <c r="F721" s="175"/>
      <c r="G721" s="175"/>
      <c r="H721" s="175"/>
      <c r="I721" s="175"/>
      <c r="J721" s="175"/>
    </row>
    <row r="722" spans="1:10" x14ac:dyDescent="0.3">
      <c r="A722" s="175"/>
      <c r="B722" s="175"/>
      <c r="C722" s="175"/>
      <c r="D722" s="175"/>
      <c r="E722" s="175"/>
      <c r="F722" s="175"/>
      <c r="G722" s="175"/>
      <c r="H722" s="175"/>
      <c r="I722" s="175"/>
      <c r="J722" s="175"/>
    </row>
    <row r="723" spans="1:10" x14ac:dyDescent="0.3">
      <c r="A723" s="175"/>
      <c r="B723" s="175"/>
      <c r="C723" s="175"/>
      <c r="D723" s="175"/>
      <c r="E723" s="175"/>
      <c r="F723" s="175"/>
      <c r="G723" s="175"/>
      <c r="H723" s="175"/>
      <c r="I723" s="175"/>
      <c r="J723" s="175"/>
    </row>
    <row r="724" spans="1:10" x14ac:dyDescent="0.3">
      <c r="A724" s="175"/>
      <c r="B724" s="175"/>
      <c r="C724" s="175"/>
      <c r="D724" s="175"/>
      <c r="E724" s="175"/>
      <c r="F724" s="175"/>
      <c r="G724" s="175"/>
      <c r="H724" s="175"/>
      <c r="I724" s="175"/>
      <c r="J724" s="175"/>
    </row>
    <row r="725" spans="1:10" x14ac:dyDescent="0.3">
      <c r="A725" s="175"/>
      <c r="B725" s="175"/>
      <c r="C725" s="175"/>
      <c r="D725" s="175"/>
      <c r="E725" s="175"/>
      <c r="F725" s="175"/>
      <c r="G725" s="175"/>
      <c r="H725" s="175"/>
      <c r="I725" s="175"/>
      <c r="J725" s="175"/>
    </row>
    <row r="726" spans="1:10" x14ac:dyDescent="0.3">
      <c r="A726" s="175"/>
      <c r="B726" s="175"/>
      <c r="C726" s="175"/>
      <c r="D726" s="175"/>
      <c r="E726" s="175"/>
      <c r="F726" s="175"/>
      <c r="G726" s="175"/>
      <c r="H726" s="175"/>
      <c r="I726" s="175"/>
      <c r="J726" s="175"/>
    </row>
    <row r="727" spans="1:10" x14ac:dyDescent="0.3">
      <c r="A727" s="175"/>
      <c r="B727" s="175"/>
      <c r="C727" s="175"/>
      <c r="D727" s="175"/>
      <c r="E727" s="175"/>
      <c r="F727" s="175"/>
      <c r="G727" s="175"/>
      <c r="H727" s="175"/>
      <c r="I727" s="175"/>
      <c r="J727" s="175"/>
    </row>
    <row r="728" spans="1:10" x14ac:dyDescent="0.3">
      <c r="A728" s="175"/>
      <c r="B728" s="175"/>
      <c r="C728" s="175"/>
      <c r="D728" s="175"/>
      <c r="E728" s="175"/>
      <c r="F728" s="175"/>
      <c r="G728" s="175"/>
      <c r="H728" s="175"/>
      <c r="I728" s="175"/>
      <c r="J728" s="175"/>
    </row>
    <row r="729" spans="1:10" x14ac:dyDescent="0.3">
      <c r="A729" s="175"/>
      <c r="B729" s="175"/>
      <c r="C729" s="175"/>
      <c r="D729" s="175"/>
      <c r="E729" s="175"/>
      <c r="F729" s="175"/>
      <c r="G729" s="175"/>
      <c r="H729" s="175"/>
      <c r="I729" s="175"/>
      <c r="J729" s="175"/>
    </row>
    <row r="730" spans="1:10" x14ac:dyDescent="0.3">
      <c r="A730" s="175"/>
      <c r="B730" s="175"/>
      <c r="C730" s="175"/>
      <c r="D730" s="175"/>
      <c r="E730" s="175"/>
      <c r="F730" s="175"/>
      <c r="G730" s="175"/>
      <c r="H730" s="175"/>
      <c r="I730" s="175"/>
      <c r="J730" s="175"/>
    </row>
    <row r="731" spans="1:10" x14ac:dyDescent="0.3">
      <c r="A731" s="175"/>
      <c r="B731" s="175"/>
      <c r="C731" s="175"/>
      <c r="D731" s="175"/>
      <c r="E731" s="175"/>
      <c r="F731" s="175"/>
      <c r="G731" s="175"/>
      <c r="H731" s="175"/>
      <c r="I731" s="175"/>
      <c r="J731" s="175"/>
    </row>
    <row r="732" spans="1:10" x14ac:dyDescent="0.3">
      <c r="A732" s="175"/>
      <c r="B732" s="175"/>
      <c r="C732" s="175"/>
      <c r="D732" s="175"/>
      <c r="E732" s="175"/>
      <c r="F732" s="175"/>
      <c r="G732" s="175"/>
      <c r="H732" s="175"/>
      <c r="I732" s="175"/>
      <c r="J732" s="175"/>
    </row>
    <row r="733" spans="1:10" x14ac:dyDescent="0.3">
      <c r="A733" s="175"/>
      <c r="B733" s="175"/>
      <c r="C733" s="175"/>
      <c r="D733" s="175"/>
      <c r="E733" s="175"/>
      <c r="F733" s="175"/>
      <c r="G733" s="175"/>
      <c r="H733" s="175"/>
      <c r="I733" s="175"/>
      <c r="J733" s="175"/>
    </row>
    <row r="734" spans="1:10" x14ac:dyDescent="0.3">
      <c r="A734" s="175"/>
      <c r="B734" s="175"/>
      <c r="C734" s="175"/>
      <c r="D734" s="175"/>
      <c r="E734" s="175"/>
      <c r="F734" s="175"/>
      <c r="G734" s="175"/>
      <c r="H734" s="175"/>
      <c r="I734" s="175"/>
      <c r="J734" s="175"/>
    </row>
    <row r="735" spans="1:10" x14ac:dyDescent="0.3">
      <c r="A735" s="175"/>
      <c r="B735" s="175"/>
      <c r="C735" s="175"/>
      <c r="D735" s="175"/>
      <c r="E735" s="175"/>
      <c r="F735" s="175"/>
      <c r="G735" s="175"/>
      <c r="H735" s="175"/>
      <c r="I735" s="175"/>
      <c r="J735" s="175"/>
    </row>
    <row r="736" spans="1:10" x14ac:dyDescent="0.3">
      <c r="A736" s="175"/>
      <c r="B736" s="175"/>
      <c r="C736" s="175"/>
      <c r="D736" s="175"/>
      <c r="E736" s="175"/>
      <c r="F736" s="175"/>
      <c r="G736" s="175"/>
      <c r="H736" s="175"/>
      <c r="I736" s="175"/>
      <c r="J736" s="175"/>
    </row>
    <row r="737" spans="1:10" x14ac:dyDescent="0.3">
      <c r="A737" s="175"/>
      <c r="B737" s="175"/>
      <c r="C737" s="175"/>
      <c r="D737" s="175"/>
      <c r="E737" s="175"/>
      <c r="F737" s="175"/>
      <c r="G737" s="175"/>
      <c r="H737" s="175"/>
      <c r="I737" s="175"/>
      <c r="J737" s="175"/>
    </row>
    <row r="738" spans="1:10" x14ac:dyDescent="0.3">
      <c r="A738" s="175"/>
      <c r="B738" s="175"/>
      <c r="C738" s="175"/>
      <c r="D738" s="175"/>
      <c r="E738" s="175"/>
      <c r="F738" s="175"/>
      <c r="G738" s="175"/>
      <c r="H738" s="175"/>
      <c r="I738" s="175"/>
      <c r="J738" s="175"/>
    </row>
    <row r="739" spans="1:10" x14ac:dyDescent="0.3">
      <c r="A739" s="175"/>
      <c r="B739" s="175"/>
      <c r="C739" s="175"/>
      <c r="D739" s="175"/>
      <c r="E739" s="175"/>
      <c r="F739" s="175"/>
      <c r="G739" s="175"/>
      <c r="H739" s="175"/>
      <c r="I739" s="175"/>
      <c r="J739" s="175"/>
    </row>
    <row r="740" spans="1:10" x14ac:dyDescent="0.3">
      <c r="A740" s="175"/>
      <c r="B740" s="175"/>
      <c r="C740" s="175"/>
      <c r="D740" s="175"/>
      <c r="E740" s="175"/>
      <c r="F740" s="175"/>
      <c r="G740" s="175"/>
      <c r="H740" s="175"/>
      <c r="I740" s="175"/>
      <c r="J740" s="175"/>
    </row>
    <row r="741" spans="1:10" x14ac:dyDescent="0.3">
      <c r="A741" s="175"/>
      <c r="B741" s="175"/>
      <c r="C741" s="175"/>
      <c r="D741" s="175"/>
      <c r="E741" s="175"/>
      <c r="F741" s="175"/>
      <c r="G741" s="175"/>
      <c r="H741" s="175"/>
      <c r="I741" s="175"/>
      <c r="J741" s="175"/>
    </row>
    <row r="742" spans="1:10" x14ac:dyDescent="0.3">
      <c r="A742" s="175"/>
      <c r="B742" s="175"/>
      <c r="C742" s="175"/>
      <c r="D742" s="175"/>
      <c r="E742" s="175"/>
      <c r="F742" s="175"/>
      <c r="G742" s="175"/>
      <c r="H742" s="175"/>
      <c r="I742" s="175"/>
      <c r="J742" s="175"/>
    </row>
    <row r="743" spans="1:10" x14ac:dyDescent="0.3">
      <c r="A743" s="175"/>
      <c r="B743" s="175"/>
      <c r="C743" s="175"/>
      <c r="D743" s="175"/>
      <c r="E743" s="175"/>
      <c r="F743" s="175"/>
      <c r="G743" s="175"/>
      <c r="H743" s="175"/>
      <c r="I743" s="175"/>
      <c r="J743" s="175"/>
    </row>
    <row r="744" spans="1:10" x14ac:dyDescent="0.3">
      <c r="A744" s="175"/>
      <c r="B744" s="175"/>
      <c r="C744" s="175"/>
      <c r="D744" s="175"/>
      <c r="E744" s="175"/>
      <c r="F744" s="175"/>
      <c r="G744" s="175"/>
      <c r="H744" s="175"/>
      <c r="I744" s="175"/>
      <c r="J744" s="175"/>
    </row>
    <row r="745" spans="1:10" x14ac:dyDescent="0.3">
      <c r="A745" s="175"/>
      <c r="B745" s="175"/>
      <c r="C745" s="175"/>
      <c r="D745" s="175"/>
      <c r="E745" s="175"/>
      <c r="F745" s="175"/>
      <c r="G745" s="175"/>
      <c r="H745" s="175"/>
      <c r="I745" s="175"/>
      <c r="J745" s="175"/>
    </row>
    <row r="746" spans="1:10" x14ac:dyDescent="0.3">
      <c r="A746" s="175"/>
      <c r="B746" s="175"/>
      <c r="C746" s="175"/>
      <c r="D746" s="175"/>
      <c r="E746" s="175"/>
      <c r="F746" s="175"/>
      <c r="G746" s="175"/>
      <c r="H746" s="175"/>
      <c r="I746" s="175"/>
      <c r="J746" s="175"/>
    </row>
    <row r="747" spans="1:10" x14ac:dyDescent="0.3">
      <c r="A747" s="175"/>
      <c r="B747" s="175"/>
      <c r="C747" s="175"/>
      <c r="D747" s="175"/>
      <c r="E747" s="175"/>
      <c r="F747" s="175"/>
      <c r="G747" s="175"/>
      <c r="H747" s="175"/>
      <c r="I747" s="175"/>
      <c r="J747" s="175"/>
    </row>
    <row r="748" spans="1:10" x14ac:dyDescent="0.3">
      <c r="A748" s="175"/>
      <c r="B748" s="175"/>
      <c r="C748" s="175"/>
      <c r="D748" s="175"/>
      <c r="E748" s="175"/>
      <c r="F748" s="175"/>
      <c r="G748" s="175"/>
      <c r="H748" s="175"/>
      <c r="I748" s="175"/>
      <c r="J748" s="175"/>
    </row>
    <row r="749" spans="1:10" x14ac:dyDescent="0.3">
      <c r="A749" s="175"/>
      <c r="B749" s="175"/>
      <c r="C749" s="175"/>
      <c r="D749" s="175"/>
      <c r="E749" s="175"/>
      <c r="F749" s="175"/>
      <c r="G749" s="175"/>
      <c r="H749" s="175"/>
      <c r="I749" s="175"/>
      <c r="J749" s="175"/>
    </row>
    <row r="750" spans="1:10" x14ac:dyDescent="0.3">
      <c r="A750" s="175"/>
      <c r="B750" s="175"/>
      <c r="C750" s="175"/>
      <c r="D750" s="175"/>
      <c r="E750" s="175"/>
      <c r="F750" s="175"/>
      <c r="G750" s="175"/>
      <c r="H750" s="175"/>
      <c r="I750" s="175"/>
      <c r="J750" s="175"/>
    </row>
    <row r="751" spans="1:10" x14ac:dyDescent="0.3">
      <c r="A751" s="175"/>
      <c r="B751" s="175"/>
      <c r="C751" s="175"/>
      <c r="D751" s="175"/>
      <c r="E751" s="175"/>
      <c r="F751" s="175"/>
      <c r="G751" s="175"/>
      <c r="H751" s="175"/>
      <c r="I751" s="175"/>
      <c r="J751" s="175"/>
    </row>
    <row r="752" spans="1:10" x14ac:dyDescent="0.3">
      <c r="A752" s="175"/>
      <c r="B752" s="175"/>
      <c r="C752" s="175"/>
      <c r="D752" s="175"/>
      <c r="E752" s="175"/>
      <c r="F752" s="175"/>
      <c r="G752" s="175"/>
      <c r="H752" s="175"/>
      <c r="I752" s="175"/>
      <c r="J752" s="175"/>
    </row>
    <row r="753" spans="1:10" x14ac:dyDescent="0.3">
      <c r="A753" s="175"/>
      <c r="B753" s="175"/>
      <c r="C753" s="175"/>
      <c r="D753" s="175"/>
      <c r="E753" s="175"/>
      <c r="F753" s="175"/>
      <c r="G753" s="175"/>
      <c r="H753" s="175"/>
      <c r="I753" s="175"/>
      <c r="J753" s="175"/>
    </row>
    <row r="754" spans="1:10" x14ac:dyDescent="0.3">
      <c r="A754" s="175"/>
      <c r="B754" s="175"/>
      <c r="C754" s="175"/>
      <c r="D754" s="175"/>
      <c r="E754" s="175"/>
      <c r="F754" s="175"/>
      <c r="G754" s="175"/>
      <c r="H754" s="175"/>
      <c r="I754" s="175"/>
      <c r="J754" s="175"/>
    </row>
    <row r="755" spans="1:10" x14ac:dyDescent="0.3">
      <c r="A755" s="175"/>
      <c r="B755" s="175"/>
      <c r="C755" s="175"/>
      <c r="D755" s="175"/>
      <c r="E755" s="175"/>
      <c r="F755" s="175"/>
      <c r="G755" s="175"/>
      <c r="H755" s="175"/>
      <c r="I755" s="175"/>
      <c r="J755" s="175"/>
    </row>
    <row r="756" spans="1:10" x14ac:dyDescent="0.3">
      <c r="A756" s="175"/>
      <c r="B756" s="175"/>
      <c r="C756" s="175"/>
      <c r="D756" s="175"/>
      <c r="E756" s="175"/>
      <c r="F756" s="175"/>
      <c r="G756" s="175"/>
      <c r="H756" s="175"/>
      <c r="I756" s="175"/>
      <c r="J756" s="175"/>
    </row>
    <row r="757" spans="1:10" x14ac:dyDescent="0.3">
      <c r="A757" s="175"/>
      <c r="B757" s="175"/>
      <c r="C757" s="175"/>
      <c r="D757" s="175"/>
      <c r="E757" s="175"/>
      <c r="F757" s="175"/>
      <c r="G757" s="175"/>
      <c r="H757" s="175"/>
      <c r="I757" s="175"/>
      <c r="J757" s="175"/>
    </row>
    <row r="758" spans="1:10" x14ac:dyDescent="0.3">
      <c r="A758" s="175"/>
      <c r="B758" s="175"/>
      <c r="C758" s="175"/>
      <c r="D758" s="175"/>
      <c r="E758" s="175"/>
      <c r="F758" s="175"/>
      <c r="G758" s="175"/>
      <c r="H758" s="175"/>
      <c r="I758" s="175"/>
      <c r="J758" s="175"/>
    </row>
    <row r="759" spans="1:10" x14ac:dyDescent="0.3">
      <c r="A759" s="175"/>
      <c r="B759" s="175"/>
      <c r="C759" s="175"/>
      <c r="D759" s="175"/>
      <c r="E759" s="175"/>
      <c r="F759" s="175"/>
      <c r="G759" s="175"/>
      <c r="H759" s="175"/>
      <c r="I759" s="175"/>
      <c r="J759" s="175"/>
    </row>
    <row r="760" spans="1:10" x14ac:dyDescent="0.3">
      <c r="A760" s="175"/>
      <c r="B760" s="175"/>
      <c r="C760" s="175"/>
      <c r="D760" s="175"/>
      <c r="E760" s="175"/>
      <c r="F760" s="175"/>
      <c r="G760" s="175"/>
      <c r="H760" s="175"/>
      <c r="I760" s="175"/>
      <c r="J760" s="175"/>
    </row>
    <row r="761" spans="1:10" x14ac:dyDescent="0.3">
      <c r="A761" s="175"/>
      <c r="B761" s="175"/>
      <c r="C761" s="175"/>
      <c r="D761" s="175"/>
      <c r="E761" s="175"/>
      <c r="F761" s="175"/>
      <c r="G761" s="175"/>
      <c r="H761" s="175"/>
      <c r="I761" s="175"/>
      <c r="J761" s="175"/>
    </row>
    <row r="762" spans="1:10" x14ac:dyDescent="0.3">
      <c r="A762" s="175"/>
      <c r="B762" s="175"/>
      <c r="C762" s="175"/>
      <c r="D762" s="175"/>
      <c r="E762" s="175"/>
      <c r="F762" s="175"/>
      <c r="G762" s="175"/>
      <c r="H762" s="175"/>
      <c r="I762" s="175"/>
      <c r="J762" s="175"/>
    </row>
    <row r="763" spans="1:10" x14ac:dyDescent="0.3">
      <c r="A763" s="175"/>
      <c r="B763" s="175"/>
      <c r="C763" s="175"/>
      <c r="D763" s="175"/>
      <c r="E763" s="175"/>
      <c r="F763" s="175"/>
      <c r="G763" s="175"/>
      <c r="H763" s="175"/>
      <c r="I763" s="175"/>
      <c r="J763" s="175"/>
    </row>
    <row r="764" spans="1:10" x14ac:dyDescent="0.3">
      <c r="A764" s="175"/>
      <c r="B764" s="175"/>
      <c r="C764" s="175"/>
      <c r="D764" s="175"/>
      <c r="E764" s="175"/>
      <c r="F764" s="175"/>
      <c r="G764" s="175"/>
      <c r="H764" s="175"/>
      <c r="I764" s="175"/>
      <c r="J764" s="175"/>
    </row>
    <row r="765" spans="1:10" x14ac:dyDescent="0.3">
      <c r="A765" s="175"/>
      <c r="B765" s="175"/>
      <c r="C765" s="175"/>
      <c r="D765" s="175"/>
      <c r="E765" s="175"/>
      <c r="F765" s="175"/>
      <c r="G765" s="175"/>
      <c r="H765" s="175"/>
      <c r="I765" s="175"/>
      <c r="J765" s="175"/>
    </row>
    <row r="766" spans="1:10" x14ac:dyDescent="0.3">
      <c r="A766" s="175"/>
      <c r="B766" s="175"/>
      <c r="C766" s="175"/>
      <c r="D766" s="175"/>
      <c r="E766" s="175"/>
      <c r="F766" s="175"/>
      <c r="G766" s="175"/>
      <c r="H766" s="175"/>
      <c r="I766" s="175"/>
      <c r="J766" s="175"/>
    </row>
    <row r="767" spans="1:10" x14ac:dyDescent="0.3">
      <c r="A767" s="175"/>
      <c r="B767" s="175"/>
      <c r="C767" s="175"/>
      <c r="D767" s="175"/>
      <c r="E767" s="175"/>
      <c r="F767" s="175"/>
      <c r="G767" s="175"/>
      <c r="H767" s="175"/>
      <c r="I767" s="175"/>
      <c r="J767" s="175"/>
    </row>
    <row r="768" spans="1:10" x14ac:dyDescent="0.3">
      <c r="A768" s="175"/>
      <c r="B768" s="175"/>
      <c r="C768" s="175"/>
      <c r="D768" s="175"/>
      <c r="E768" s="175"/>
      <c r="F768" s="175"/>
      <c r="G768" s="175"/>
      <c r="H768" s="175"/>
      <c r="I768" s="175"/>
      <c r="J768" s="175"/>
    </row>
    <row r="769" spans="1:10" x14ac:dyDescent="0.3">
      <c r="A769" s="175"/>
      <c r="B769" s="175"/>
      <c r="C769" s="175"/>
      <c r="D769" s="175"/>
      <c r="E769" s="175"/>
      <c r="F769" s="175"/>
      <c r="G769" s="175"/>
      <c r="H769" s="175"/>
      <c r="I769" s="175"/>
      <c r="J769" s="175"/>
    </row>
    <row r="770" spans="1:10" x14ac:dyDescent="0.3">
      <c r="A770" s="175"/>
      <c r="B770" s="175"/>
      <c r="C770" s="175"/>
      <c r="D770" s="175"/>
      <c r="E770" s="175"/>
      <c r="F770" s="175"/>
      <c r="G770" s="175"/>
      <c r="H770" s="175"/>
      <c r="I770" s="175"/>
      <c r="J770" s="175"/>
    </row>
    <row r="771" spans="1:10" x14ac:dyDescent="0.3">
      <c r="A771" s="175"/>
      <c r="B771" s="175"/>
      <c r="C771" s="175"/>
      <c r="D771" s="175"/>
      <c r="E771" s="175"/>
      <c r="F771" s="175"/>
      <c r="G771" s="175"/>
      <c r="H771" s="175"/>
      <c r="I771" s="175"/>
      <c r="J771" s="175"/>
    </row>
    <row r="772" spans="1:10" x14ac:dyDescent="0.3">
      <c r="A772" s="175"/>
      <c r="B772" s="175"/>
      <c r="C772" s="175"/>
      <c r="D772" s="175"/>
      <c r="E772" s="175"/>
      <c r="F772" s="175"/>
      <c r="G772" s="175"/>
      <c r="H772" s="175"/>
      <c r="I772" s="175"/>
      <c r="J772" s="175"/>
    </row>
    <row r="773" spans="1:10" x14ac:dyDescent="0.3">
      <c r="A773" s="175"/>
      <c r="B773" s="175"/>
      <c r="C773" s="175"/>
      <c r="D773" s="175"/>
      <c r="E773" s="175"/>
      <c r="F773" s="175"/>
      <c r="G773" s="175"/>
      <c r="H773" s="175"/>
      <c r="I773" s="175"/>
      <c r="J773" s="175"/>
    </row>
    <row r="774" spans="1:10" x14ac:dyDescent="0.3">
      <c r="A774" s="175"/>
      <c r="B774" s="175"/>
      <c r="C774" s="175"/>
      <c r="D774" s="175"/>
      <c r="E774" s="175"/>
      <c r="F774" s="175"/>
      <c r="G774" s="175"/>
      <c r="H774" s="175"/>
      <c r="I774" s="175"/>
      <c r="J774" s="175"/>
    </row>
    <row r="775" spans="1:10" x14ac:dyDescent="0.3">
      <c r="A775" s="175"/>
      <c r="B775" s="175"/>
      <c r="C775" s="175"/>
      <c r="D775" s="175"/>
      <c r="E775" s="175"/>
      <c r="F775" s="175"/>
      <c r="G775" s="175"/>
      <c r="H775" s="175"/>
      <c r="I775" s="175"/>
      <c r="J775" s="175"/>
    </row>
    <row r="776" spans="1:10" x14ac:dyDescent="0.3">
      <c r="A776" s="175"/>
      <c r="B776" s="175"/>
      <c r="C776" s="175"/>
      <c r="D776" s="175"/>
      <c r="E776" s="175"/>
      <c r="F776" s="175"/>
      <c r="G776" s="175"/>
      <c r="H776" s="175"/>
      <c r="I776" s="175"/>
      <c r="J776" s="175"/>
    </row>
    <row r="777" spans="1:10" x14ac:dyDescent="0.3">
      <c r="A777" s="175"/>
      <c r="B777" s="175"/>
      <c r="C777" s="175"/>
      <c r="D777" s="175"/>
      <c r="E777" s="175"/>
      <c r="F777" s="175"/>
      <c r="G777" s="175"/>
      <c r="H777" s="175"/>
      <c r="I777" s="175"/>
      <c r="J777" s="175"/>
    </row>
    <row r="778" spans="1:10" x14ac:dyDescent="0.3">
      <c r="A778" s="175"/>
      <c r="B778" s="175"/>
      <c r="C778" s="175"/>
      <c r="D778" s="175"/>
      <c r="E778" s="175"/>
      <c r="F778" s="175"/>
      <c r="G778" s="175"/>
      <c r="H778" s="175"/>
      <c r="I778" s="175"/>
      <c r="J778" s="175"/>
    </row>
    <row r="779" spans="1:10" x14ac:dyDescent="0.3">
      <c r="A779" s="175"/>
      <c r="B779" s="175"/>
      <c r="C779" s="175"/>
      <c r="D779" s="175"/>
      <c r="E779" s="175"/>
      <c r="F779" s="175"/>
      <c r="G779" s="175"/>
      <c r="H779" s="175"/>
      <c r="I779" s="175"/>
      <c r="J779" s="175"/>
    </row>
  </sheetData>
  <mergeCells count="1">
    <mergeCell ref="B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2089F-A020-4590-9A7C-D833AEBF2AAB}">
  <sheetPr codeName="Sheet3"/>
  <dimension ref="A1:DN43"/>
  <sheetViews>
    <sheetView tabSelected="1" zoomScale="90" zoomScaleNormal="90" workbookViewId="0">
      <pane xSplit="36" ySplit="3" topLeftCell="AK4" activePane="bottomRight" state="frozen"/>
      <selection pane="topRight" activeCell="AK1" sqref="AK1"/>
      <selection pane="bottomLeft" activeCell="A4" sqref="A4"/>
      <selection pane="bottomRight" activeCell="BF1" sqref="BF1:BK1048576"/>
    </sheetView>
  </sheetViews>
  <sheetFormatPr defaultColWidth="9" defaultRowHeight="15.6" x14ac:dyDescent="0.3"/>
  <cols>
    <col min="1" max="1" width="9.44140625" customWidth="1"/>
    <col min="2" max="2" width="20.88671875" hidden="1" customWidth="1"/>
    <col min="3" max="4" width="22.5546875" hidden="1" customWidth="1"/>
    <col min="5" max="5" width="25.109375" hidden="1" customWidth="1"/>
    <col min="6" max="6" width="18.88671875" hidden="1" customWidth="1"/>
    <col min="7" max="7" width="20.88671875" hidden="1" customWidth="1"/>
    <col min="8" max="8" width="2.5546875" style="20" customWidth="1"/>
    <col min="9" max="9" width="20.109375" hidden="1" customWidth="1"/>
    <col min="10" max="10" width="20.5546875" hidden="1" customWidth="1"/>
    <col min="11" max="11" width="23.109375" hidden="1" customWidth="1"/>
    <col min="12" max="12" width="21.5546875" hidden="1" customWidth="1"/>
    <col min="13" max="13" width="18.88671875" hidden="1" customWidth="1"/>
    <col min="14" max="14" width="20.88671875" hidden="1" customWidth="1"/>
    <col min="15" max="15" width="19.5546875" hidden="1" customWidth="1"/>
    <col min="16" max="16" width="20.109375" hidden="1" customWidth="1"/>
    <col min="17" max="17" width="22.109375" hidden="1" customWidth="1"/>
    <col min="18" max="18" width="24.88671875" hidden="1" customWidth="1"/>
    <col min="19" max="19" width="23.109375" hidden="1" customWidth="1"/>
    <col min="20" max="20" width="20.109375" hidden="1" customWidth="1"/>
    <col min="21" max="21" width="4.88671875" hidden="1" customWidth="1"/>
    <col min="22" max="22" width="7.109375" hidden="1" customWidth="1"/>
    <col min="23" max="23" width="25.88671875" hidden="1" customWidth="1"/>
    <col min="24" max="24" width="22.109375" hidden="1" customWidth="1"/>
    <col min="25" max="25" width="24.88671875" hidden="1" customWidth="1"/>
    <col min="26" max="26" width="26.44140625" hidden="1" customWidth="1"/>
    <col min="27" max="27" width="30.5546875" hidden="1" customWidth="1"/>
    <col min="28" max="28" width="4.5546875" hidden="1" customWidth="1"/>
    <col min="29" max="29" width="4.88671875" hidden="1" customWidth="1"/>
    <col min="30" max="31" width="25.88671875" hidden="1" customWidth="1"/>
    <col min="32" max="32" width="26" hidden="1" customWidth="1"/>
    <col min="33" max="33" width="27" hidden="1" customWidth="1"/>
    <col min="34" max="34" width="26.88671875" hidden="1" customWidth="1"/>
    <col min="35" max="35" width="9.109375" hidden="1" customWidth="1"/>
    <col min="36" max="36" width="9.88671875" hidden="1" customWidth="1"/>
    <col min="37" max="37" width="27.109375" hidden="1" customWidth="1"/>
    <col min="38" max="38" width="32.109375" hidden="1" customWidth="1"/>
    <col min="39" max="39" width="26" hidden="1" customWidth="1"/>
    <col min="40" max="41" width="24.109375" hidden="1" customWidth="1"/>
    <col min="42" max="42" width="23.5546875" hidden="1" customWidth="1"/>
    <col min="43" max="43" width="22.44140625" hidden="1" customWidth="1"/>
    <col min="44" max="44" width="23.88671875" hidden="1" customWidth="1"/>
    <col min="45" max="45" width="23.109375" hidden="1" customWidth="1"/>
    <col min="46" max="46" width="26" hidden="1" customWidth="1"/>
    <col min="47" max="47" width="24.109375" hidden="1" customWidth="1"/>
    <col min="48" max="48" width="23.44140625" hidden="1" customWidth="1"/>
    <col min="49" max="49" width="26.109375" hidden="1" customWidth="1"/>
    <col min="50" max="50" width="24.44140625" hidden="1" customWidth="1"/>
    <col min="51" max="51" width="24.88671875" hidden="1" customWidth="1"/>
    <col min="52" max="52" width="30" hidden="1" customWidth="1"/>
    <col min="53" max="53" width="29.109375" hidden="1" customWidth="1"/>
    <col min="54" max="54" width="26.109375" hidden="1" customWidth="1"/>
    <col min="55" max="56" width="25.88671875" hidden="1" customWidth="1"/>
    <col min="57" max="57" width="25.44140625" hidden="1" customWidth="1"/>
    <col min="58" max="58" width="28.5546875" customWidth="1"/>
    <col min="59" max="59" width="27.88671875" customWidth="1"/>
    <col min="60" max="60" width="31.88671875" customWidth="1"/>
    <col min="61" max="61" width="28.44140625" customWidth="1"/>
    <col min="62" max="62" width="25.88671875" customWidth="1"/>
    <col min="63" max="63" width="26.88671875" customWidth="1"/>
    <col min="64" max="64" width="25.44140625" customWidth="1"/>
    <col min="65" max="65" width="33.109375" customWidth="1"/>
    <col min="66" max="66" width="29.5546875" customWidth="1"/>
    <col min="67" max="67" width="31.109375" customWidth="1"/>
    <col min="68" max="68" width="30.44140625" customWidth="1"/>
    <col min="69" max="69" width="26" customWidth="1"/>
    <col min="70" max="70" width="34.109375" customWidth="1"/>
    <col min="71" max="71" width="12.109375" customWidth="1"/>
    <col min="72" max="72" width="37.109375" customWidth="1"/>
    <col min="73" max="73" width="28" customWidth="1"/>
    <col min="74" max="74" width="30.109375" customWidth="1"/>
    <col min="75" max="75" width="28.5546875" customWidth="1"/>
    <col min="76" max="76" width="26.5546875" customWidth="1"/>
    <col min="77" max="77" width="32.88671875" customWidth="1"/>
    <col min="78" max="78" width="22.109375" customWidth="1"/>
    <col min="79" max="79" width="25.5546875" customWidth="1"/>
    <col min="80" max="80" width="28.5546875" customWidth="1"/>
    <col min="81" max="81" width="27.5546875" customWidth="1"/>
    <col min="82" max="82" width="27.88671875" customWidth="1"/>
    <col min="83" max="83" width="23.44140625" customWidth="1"/>
    <col min="84" max="84" width="25.109375" customWidth="1"/>
    <col min="85" max="85" width="22.109375" customWidth="1"/>
    <col min="86" max="86" width="22.5546875" hidden="1" customWidth="1"/>
    <col min="87" max="87" width="24" hidden="1" customWidth="1"/>
    <col min="88" max="88" width="26.88671875" hidden="1" customWidth="1"/>
    <col min="89" max="89" width="24.88671875" hidden="1" customWidth="1"/>
    <col min="90" max="90" width="23.6640625" hidden="1" customWidth="1"/>
    <col min="91" max="91" width="28.88671875" hidden="1" customWidth="1"/>
    <col min="92" max="92" width="23.109375" hidden="1" customWidth="1"/>
    <col min="93" max="93" width="23.5546875" customWidth="1"/>
    <col min="94" max="94" width="24" customWidth="1"/>
    <col min="95" max="95" width="26.88671875" customWidth="1"/>
    <col min="96" max="96" width="24.88671875" customWidth="1"/>
    <col min="97" max="97" width="22.109375" customWidth="1"/>
    <col min="98" max="98" width="24.33203125" customWidth="1"/>
    <col min="99" max="99" width="10.5546875" customWidth="1"/>
    <col min="100" max="100" width="23.5546875" customWidth="1"/>
    <col min="101" max="101" width="24" customWidth="1"/>
    <col min="102" max="102" width="26.88671875" customWidth="1"/>
    <col min="103" max="103" width="24.88671875" customWidth="1"/>
    <col min="104" max="104" width="22.109375" customWidth="1"/>
    <col min="105" max="105" width="24.44140625" customWidth="1"/>
    <col min="106" max="106" width="23.109375" bestFit="1" customWidth="1"/>
    <col min="107" max="107" width="26.109375" customWidth="1"/>
    <col min="108" max="108" width="24" bestFit="1" customWidth="1"/>
    <col min="109" max="109" width="27.5546875" bestFit="1" customWidth="1"/>
    <col min="110" max="110" width="25.88671875" bestFit="1" customWidth="1"/>
    <col min="111" max="111" width="23" bestFit="1" customWidth="1"/>
    <col min="112" max="112" width="25.109375" bestFit="1" customWidth="1"/>
    <col min="113" max="113" width="24" bestFit="1" customWidth="1"/>
    <col min="114" max="114" width="24.44140625" bestFit="1" customWidth="1"/>
    <col min="115" max="115" width="24.88671875" bestFit="1" customWidth="1"/>
    <col min="116" max="116" width="27.5546875" bestFit="1" customWidth="1"/>
    <col min="117" max="117" width="25.88671875" bestFit="1" customWidth="1"/>
    <col min="118" max="118" width="24" bestFit="1" customWidth="1"/>
  </cols>
  <sheetData>
    <row r="1" spans="1:118" s="34" customFormat="1" ht="23.4" x14ac:dyDescent="0.3">
      <c r="X1" s="182" t="s">
        <v>1022</v>
      </c>
      <c r="Y1" s="183" t="s">
        <v>1023</v>
      </c>
      <c r="Z1" s="184" t="s">
        <v>1024</v>
      </c>
      <c r="AF1" s="182" t="s">
        <v>1022</v>
      </c>
      <c r="AG1" s="183" t="s">
        <v>1023</v>
      </c>
      <c r="AH1" s="200" t="s">
        <v>1024</v>
      </c>
      <c r="AR1" s="180"/>
      <c r="AS1" s="319"/>
      <c r="AT1" s="320"/>
      <c r="DA1" s="34" t="s">
        <v>906</v>
      </c>
      <c r="DC1" s="181" t="s">
        <v>1025</v>
      </c>
      <c r="DE1" s="180" t="s">
        <v>1022</v>
      </c>
      <c r="DF1" s="183" t="s">
        <v>1023</v>
      </c>
      <c r="DG1" s="393" t="s">
        <v>1024</v>
      </c>
      <c r="DH1" s="397" t="s">
        <v>1026</v>
      </c>
    </row>
    <row r="2" spans="1:118" s="34" customFormat="1" ht="21" customHeight="1" x14ac:dyDescent="0.3">
      <c r="B2" s="179"/>
      <c r="C2" s="179"/>
      <c r="D2" s="180" t="s">
        <v>1022</v>
      </c>
      <c r="E2" s="222" t="s">
        <v>1023</v>
      </c>
      <c r="F2" s="223" t="s">
        <v>1024</v>
      </c>
      <c r="O2" s="180" t="s">
        <v>1022</v>
      </c>
      <c r="P2" s="222" t="s">
        <v>1023</v>
      </c>
      <c r="Q2" s="223" t="s">
        <v>1024</v>
      </c>
    </row>
    <row r="3" spans="1:118" s="97" customFormat="1" ht="29.25" customHeight="1" x14ac:dyDescent="0.3">
      <c r="A3" s="225" t="s">
        <v>1027</v>
      </c>
      <c r="B3" s="106">
        <v>45124</v>
      </c>
      <c r="C3" s="106">
        <v>45125</v>
      </c>
      <c r="D3" s="106">
        <v>45126</v>
      </c>
      <c r="E3" s="106">
        <v>45127</v>
      </c>
      <c r="F3" s="106">
        <v>45128</v>
      </c>
      <c r="G3" s="106">
        <v>45129</v>
      </c>
      <c r="H3" s="226"/>
      <c r="I3" s="106">
        <v>45131</v>
      </c>
      <c r="J3" s="106">
        <v>45132</v>
      </c>
      <c r="K3" s="106">
        <v>45133</v>
      </c>
      <c r="L3" s="106">
        <v>45134</v>
      </c>
      <c r="M3" s="106">
        <v>45135</v>
      </c>
      <c r="N3" s="106">
        <v>45136</v>
      </c>
      <c r="O3" s="106">
        <v>45137</v>
      </c>
      <c r="P3" s="106">
        <v>45138</v>
      </c>
      <c r="Q3" s="106">
        <v>45139</v>
      </c>
      <c r="R3" s="106">
        <v>45140</v>
      </c>
      <c r="S3" s="106">
        <v>45141</v>
      </c>
      <c r="T3" s="106">
        <v>45142</v>
      </c>
      <c r="U3" s="106"/>
      <c r="V3" s="106"/>
      <c r="W3" s="106">
        <v>45145</v>
      </c>
      <c r="X3" s="106">
        <v>45146</v>
      </c>
      <c r="Y3" s="106">
        <v>45147</v>
      </c>
      <c r="Z3" s="106">
        <v>45148</v>
      </c>
      <c r="AA3" s="106">
        <v>45149</v>
      </c>
      <c r="AB3" s="106"/>
      <c r="AC3" s="106"/>
      <c r="AD3" s="106">
        <v>45152</v>
      </c>
      <c r="AE3" s="106">
        <v>45153</v>
      </c>
      <c r="AF3" s="106">
        <v>45154</v>
      </c>
      <c r="AG3" s="106">
        <v>45155</v>
      </c>
      <c r="AH3" s="106">
        <v>45156</v>
      </c>
      <c r="AI3" s="106"/>
      <c r="AJ3" s="106"/>
      <c r="AK3" s="106">
        <v>45159</v>
      </c>
      <c r="AL3" s="106">
        <v>45160</v>
      </c>
      <c r="AM3" s="106">
        <v>45161</v>
      </c>
      <c r="AN3" s="106">
        <v>45162</v>
      </c>
      <c r="AO3" s="106">
        <v>45163</v>
      </c>
      <c r="AP3" s="106">
        <v>45164</v>
      </c>
      <c r="AQ3" s="106"/>
      <c r="AR3" s="106">
        <v>45166</v>
      </c>
      <c r="AS3" s="106">
        <v>45167</v>
      </c>
      <c r="AT3" s="106">
        <v>45168</v>
      </c>
      <c r="AU3" s="106">
        <v>45169</v>
      </c>
      <c r="AV3" s="106">
        <v>45170</v>
      </c>
      <c r="AW3" s="106">
        <v>45171</v>
      </c>
      <c r="AX3" s="106"/>
      <c r="AY3" s="106">
        <v>45173</v>
      </c>
      <c r="AZ3" s="106">
        <v>45174</v>
      </c>
      <c r="BA3" s="106">
        <v>45175</v>
      </c>
      <c r="BB3" s="106">
        <v>45176</v>
      </c>
      <c r="BC3" s="106">
        <v>45177</v>
      </c>
      <c r="BD3" s="106">
        <v>45178</v>
      </c>
      <c r="BE3" s="106"/>
      <c r="BF3" s="106">
        <v>45180</v>
      </c>
      <c r="BG3" s="106">
        <v>45181</v>
      </c>
      <c r="BH3" s="106">
        <v>45182</v>
      </c>
      <c r="BI3" s="106">
        <v>45183</v>
      </c>
      <c r="BJ3" s="106">
        <v>45184</v>
      </c>
      <c r="BK3" s="106" t="s">
        <v>1028</v>
      </c>
      <c r="BL3" s="106"/>
      <c r="BM3" s="106">
        <v>45187</v>
      </c>
      <c r="BN3" s="106">
        <v>45188</v>
      </c>
      <c r="BO3" s="106">
        <v>45189</v>
      </c>
      <c r="BP3" s="106">
        <v>45190</v>
      </c>
      <c r="BQ3" s="106">
        <v>45191</v>
      </c>
      <c r="BR3" s="106" t="s">
        <v>1029</v>
      </c>
      <c r="BS3" s="106"/>
      <c r="BT3" s="106">
        <v>45194</v>
      </c>
      <c r="BU3" s="106">
        <v>45195</v>
      </c>
      <c r="BV3" s="106">
        <v>45196</v>
      </c>
      <c r="BW3" s="106">
        <v>45197</v>
      </c>
      <c r="BX3" s="106">
        <v>45198</v>
      </c>
      <c r="BY3" s="106" t="s">
        <v>1030</v>
      </c>
      <c r="BZ3" s="106"/>
      <c r="CA3" s="106">
        <v>45201</v>
      </c>
      <c r="CB3" s="106">
        <v>45202</v>
      </c>
      <c r="CC3" s="106">
        <v>45203</v>
      </c>
      <c r="CD3" s="106">
        <v>45204</v>
      </c>
      <c r="CE3" s="106">
        <v>45205</v>
      </c>
      <c r="CF3" s="106" t="s">
        <v>1031</v>
      </c>
      <c r="CG3" s="106"/>
      <c r="CH3" s="106">
        <v>45208</v>
      </c>
      <c r="CI3" s="106">
        <v>45209</v>
      </c>
      <c r="CJ3" s="106">
        <v>45210</v>
      </c>
      <c r="CK3" s="106">
        <v>45211</v>
      </c>
      <c r="CL3" s="106">
        <v>45212</v>
      </c>
      <c r="CM3" s="106">
        <v>45213</v>
      </c>
      <c r="CN3" s="106"/>
      <c r="CO3" s="106">
        <v>45215</v>
      </c>
      <c r="CP3" s="106">
        <v>45216</v>
      </c>
      <c r="CQ3" s="106">
        <v>45217</v>
      </c>
      <c r="CR3" s="106">
        <v>45218</v>
      </c>
      <c r="CS3" s="106">
        <v>45219</v>
      </c>
      <c r="CT3" s="106">
        <v>45220</v>
      </c>
      <c r="CU3" s="106"/>
      <c r="CV3" s="106">
        <v>45222</v>
      </c>
      <c r="CW3" s="106">
        <v>45223</v>
      </c>
      <c r="CX3" s="106">
        <v>45224</v>
      </c>
      <c r="CY3" s="106">
        <v>45225</v>
      </c>
      <c r="CZ3" s="106">
        <v>45226</v>
      </c>
      <c r="DA3" s="106">
        <v>45227</v>
      </c>
      <c r="DB3" s="106"/>
      <c r="DC3" s="106">
        <v>45229</v>
      </c>
      <c r="DD3" s="106">
        <v>45230</v>
      </c>
      <c r="DE3" s="106">
        <v>45231</v>
      </c>
      <c r="DF3" s="106">
        <v>45232</v>
      </c>
      <c r="DG3" s="106">
        <v>45233</v>
      </c>
      <c r="DH3" s="106">
        <v>45234</v>
      </c>
      <c r="DI3" s="106"/>
      <c r="DJ3" s="106">
        <v>45236</v>
      </c>
      <c r="DK3" s="106">
        <v>45237</v>
      </c>
      <c r="DL3" s="106">
        <v>45238</v>
      </c>
      <c r="DM3" s="106">
        <v>45239</v>
      </c>
      <c r="DN3" s="106">
        <v>45240</v>
      </c>
    </row>
    <row r="4" spans="1:118" s="42" customFormat="1" ht="15.6" customHeight="1" x14ac:dyDescent="0.3">
      <c r="A4" s="446" t="s">
        <v>1032</v>
      </c>
      <c r="B4" s="41"/>
      <c r="C4" s="41"/>
      <c r="D4" s="41"/>
      <c r="E4" s="41"/>
      <c r="G4" s="35"/>
      <c r="H4" s="20"/>
      <c r="I4" s="36"/>
      <c r="M4" s="42" t="s">
        <v>1033</v>
      </c>
      <c r="Q4" s="42" t="s">
        <v>1034</v>
      </c>
      <c r="R4" s="42" t="s">
        <v>1033</v>
      </c>
      <c r="T4" s="42" t="s">
        <v>1035</v>
      </c>
      <c r="W4" s="177" t="s">
        <v>1036</v>
      </c>
      <c r="Y4" s="42" t="s">
        <v>1037</v>
      </c>
      <c r="Z4" s="42" t="s">
        <v>1038</v>
      </c>
      <c r="AD4" s="42" t="s">
        <v>1039</v>
      </c>
      <c r="AE4" s="208" t="s">
        <v>1040</v>
      </c>
      <c r="AF4" s="42" t="s">
        <v>1041</v>
      </c>
      <c r="AG4" s="42" t="s">
        <v>1042</v>
      </c>
      <c r="AK4" s="224" t="s">
        <v>1041</v>
      </c>
      <c r="AL4" s="208" t="s">
        <v>1043</v>
      </c>
      <c r="AM4" s="208" t="s">
        <v>1044</v>
      </c>
      <c r="AN4" s="42" t="s">
        <v>1039</v>
      </c>
      <c r="AO4" s="42" t="s">
        <v>1045</v>
      </c>
      <c r="AP4" s="185" t="s">
        <v>1035</v>
      </c>
      <c r="AR4" s="194" t="s">
        <v>1035</v>
      </c>
      <c r="AS4" s="208" t="s">
        <v>1044</v>
      </c>
      <c r="AT4" s="208" t="s">
        <v>1046</v>
      </c>
      <c r="AU4" s="194" t="s">
        <v>1047</v>
      </c>
      <c r="AV4" s="16" t="s">
        <v>1048</v>
      </c>
      <c r="AW4" s="208" t="s">
        <v>1049</v>
      </c>
      <c r="AY4" s="16" t="s">
        <v>1050</v>
      </c>
      <c r="AZ4" s="42" t="s">
        <v>1051</v>
      </c>
      <c r="BA4" s="208" t="s">
        <v>1052</v>
      </c>
      <c r="BB4" s="186" t="s">
        <v>1053</v>
      </c>
      <c r="BC4" s="186" t="s">
        <v>1054</v>
      </c>
      <c r="BD4" s="194" t="s">
        <v>1055</v>
      </c>
      <c r="BF4" s="194" t="s">
        <v>1056</v>
      </c>
      <c r="BG4" s="16" t="s">
        <v>1057</v>
      </c>
      <c r="BH4" s="194" t="s">
        <v>1058</v>
      </c>
      <c r="BI4" s="16" t="s">
        <v>1059</v>
      </c>
      <c r="BJ4" s="16" t="s">
        <v>1060</v>
      </c>
      <c r="BK4" s="16" t="s">
        <v>1061</v>
      </c>
      <c r="BM4" s="42" t="s">
        <v>1062</v>
      </c>
      <c r="BN4" s="224" t="s">
        <v>1063</v>
      </c>
      <c r="BO4" s="16" t="s">
        <v>1064</v>
      </c>
      <c r="BP4" s="16" t="s">
        <v>1065</v>
      </c>
      <c r="BQ4" s="16" t="s">
        <v>1066</v>
      </c>
      <c r="BR4" s="16" t="s">
        <v>1067</v>
      </c>
      <c r="BT4" s="194" t="s">
        <v>1068</v>
      </c>
      <c r="BU4" s="199" t="s">
        <v>1069</v>
      </c>
      <c r="BV4" s="16" t="s">
        <v>1070</v>
      </c>
      <c r="BX4" s="207" t="s">
        <v>1071</v>
      </c>
      <c r="CB4" s="185" t="s">
        <v>1072</v>
      </c>
      <c r="CC4" s="16" t="s">
        <v>1073</v>
      </c>
      <c r="CD4" s="208" t="s">
        <v>1074</v>
      </c>
      <c r="CE4" s="194" t="s">
        <v>1075</v>
      </c>
      <c r="CF4" s="16" t="s">
        <v>1076</v>
      </c>
      <c r="CH4" s="186" t="s">
        <v>1077</v>
      </c>
      <c r="CI4" s="186" t="s">
        <v>1078</v>
      </c>
      <c r="CJ4" s="194" t="s">
        <v>1079</v>
      </c>
      <c r="CK4" s="42" t="s">
        <v>1080</v>
      </c>
      <c r="CL4" s="186" t="s">
        <v>1081</v>
      </c>
      <c r="CM4" s="186" t="s">
        <v>1082</v>
      </c>
      <c r="CO4" s="410" t="s">
        <v>1083</v>
      </c>
      <c r="CP4" s="185" t="s">
        <v>1084</v>
      </c>
      <c r="CQ4" s="16" t="s">
        <v>1085</v>
      </c>
      <c r="CR4" s="185" t="s">
        <v>1070</v>
      </c>
      <c r="CS4" s="185" t="s">
        <v>1086</v>
      </c>
      <c r="CV4" s="185" t="s">
        <v>1087</v>
      </c>
      <c r="CW4" s="195" t="s">
        <v>1088</v>
      </c>
      <c r="CY4" s="16" t="s">
        <v>1089</v>
      </c>
      <c r="CZ4" s="16" t="s">
        <v>1090</v>
      </c>
      <c r="DA4" s="185" t="s">
        <v>1091</v>
      </c>
      <c r="DC4" s="185" t="s">
        <v>1092</v>
      </c>
      <c r="DD4" s="185" t="s">
        <v>1093</v>
      </c>
      <c r="DE4" s="185" t="s">
        <v>1094</v>
      </c>
    </row>
    <row r="5" spans="1:118" s="16" customFormat="1" ht="15.6" customHeight="1" x14ac:dyDescent="0.3">
      <c r="A5" s="447"/>
      <c r="B5" s="14"/>
      <c r="C5" s="14"/>
      <c r="D5" s="14"/>
      <c r="E5" s="14"/>
      <c r="G5" s="18"/>
      <c r="H5" s="20"/>
      <c r="I5" s="19"/>
      <c r="M5" s="16" t="s">
        <v>1095</v>
      </c>
      <c r="Q5" s="16" t="s">
        <v>1096</v>
      </c>
      <c r="R5" s="16" t="s">
        <v>1095</v>
      </c>
      <c r="T5" s="16" t="s">
        <v>1097</v>
      </c>
      <c r="W5" s="16" t="s">
        <v>1098</v>
      </c>
      <c r="Y5" s="16" t="s">
        <v>1099</v>
      </c>
      <c r="Z5" s="16" t="s">
        <v>1100</v>
      </c>
      <c r="AA5" s="16" t="s">
        <v>1045</v>
      </c>
      <c r="AD5" s="199" t="s">
        <v>1101</v>
      </c>
      <c r="AE5" s="16" t="s">
        <v>1035</v>
      </c>
      <c r="AF5" s="16" t="s">
        <v>1099</v>
      </c>
      <c r="AG5" s="16" t="s">
        <v>1056</v>
      </c>
      <c r="AH5" s="16" t="s">
        <v>1102</v>
      </c>
      <c r="AK5" s="194" t="s">
        <v>1103</v>
      </c>
      <c r="AL5" s="194" t="s">
        <v>1104</v>
      </c>
      <c r="AM5" s="194" t="s">
        <v>1105</v>
      </c>
      <c r="AN5" s="16" t="s">
        <v>1106</v>
      </c>
      <c r="AO5" s="16" t="s">
        <v>1062</v>
      </c>
      <c r="AP5" s="186" t="s">
        <v>1107</v>
      </c>
      <c r="AR5" s="194" t="s">
        <v>1108</v>
      </c>
      <c r="AS5" s="194" t="s">
        <v>1105</v>
      </c>
      <c r="AT5" s="16" t="s">
        <v>1109</v>
      </c>
      <c r="AU5" s="197" t="s">
        <v>1110</v>
      </c>
      <c r="AV5" s="195" t="s">
        <v>1111</v>
      </c>
      <c r="AW5" s="194" t="s">
        <v>1112</v>
      </c>
      <c r="AY5" s="196" t="s">
        <v>1113</v>
      </c>
      <c r="AZ5" s="16" t="s">
        <v>1114</v>
      </c>
      <c r="BA5" s="207" t="s">
        <v>1115</v>
      </c>
      <c r="BB5" s="207" t="s">
        <v>1099</v>
      </c>
      <c r="BC5" s="364" t="s">
        <v>1099</v>
      </c>
      <c r="BD5" s="194" t="s">
        <v>1116</v>
      </c>
      <c r="BF5" s="369" t="s">
        <v>1039</v>
      </c>
      <c r="BG5" s="194" t="s">
        <v>1117</v>
      </c>
      <c r="BH5" s="195" t="s">
        <v>1118</v>
      </c>
      <c r="BI5" s="208" t="s">
        <v>1119</v>
      </c>
      <c r="BJ5" s="16" t="s">
        <v>1120</v>
      </c>
      <c r="BK5" s="16" t="s">
        <v>1121</v>
      </c>
      <c r="BM5" s="16" t="s">
        <v>1116</v>
      </c>
      <c r="BN5" s="195" t="s">
        <v>1122</v>
      </c>
      <c r="BO5" s="207" t="s">
        <v>1123</v>
      </c>
      <c r="BP5" s="16" t="s">
        <v>1124</v>
      </c>
      <c r="BQ5" s="16" t="s">
        <v>1125</v>
      </c>
      <c r="BR5" s="16" t="s">
        <v>1126</v>
      </c>
      <c r="BT5" s="16" t="s">
        <v>1127</v>
      </c>
      <c r="BU5" s="199" t="s">
        <v>1128</v>
      </c>
      <c r="BV5" s="186" t="s">
        <v>1129</v>
      </c>
      <c r="BW5" s="16" t="s">
        <v>1123</v>
      </c>
      <c r="BX5" s="16" t="s">
        <v>1130</v>
      </c>
      <c r="CA5" s="16" t="s">
        <v>1116</v>
      </c>
      <c r="CB5" s="186" t="s">
        <v>1131</v>
      </c>
      <c r="CC5" s="16" t="s">
        <v>1132</v>
      </c>
      <c r="CD5" s="208" t="s">
        <v>1133</v>
      </c>
      <c r="CE5" s="194" t="s">
        <v>1134</v>
      </c>
      <c r="CF5" s="16" t="s">
        <v>1135</v>
      </c>
      <c r="CH5" s="16" t="s">
        <v>1136</v>
      </c>
      <c r="CI5" s="417" t="s">
        <v>1137</v>
      </c>
      <c r="CJ5" s="16" t="s">
        <v>1138</v>
      </c>
      <c r="CK5" s="16" t="s">
        <v>1139</v>
      </c>
      <c r="CM5" s="16" t="s">
        <v>1140</v>
      </c>
      <c r="CO5" s="186" t="s">
        <v>1141</v>
      </c>
      <c r="CP5" s="185" t="s">
        <v>1142</v>
      </c>
      <c r="CQ5" s="16" t="s">
        <v>1088</v>
      </c>
      <c r="CR5" s="186" t="s">
        <v>1143</v>
      </c>
      <c r="CS5" s="16" t="s">
        <v>1144</v>
      </c>
      <c r="CV5" s="186" t="s">
        <v>1145</v>
      </c>
      <c r="CW5" s="195" t="s">
        <v>1146</v>
      </c>
      <c r="CY5" s="16" t="s">
        <v>1147</v>
      </c>
      <c r="CZ5" s="16" t="s">
        <v>1088</v>
      </c>
      <c r="DC5" s="186" t="s">
        <v>1148</v>
      </c>
      <c r="DD5" s="186" t="s">
        <v>1149</v>
      </c>
      <c r="DE5" s="186" t="s">
        <v>1150</v>
      </c>
    </row>
    <row r="6" spans="1:118" s="16" customFormat="1" ht="15.6" customHeight="1" x14ac:dyDescent="0.3">
      <c r="A6" s="447"/>
      <c r="B6" s="14"/>
      <c r="C6" s="14"/>
      <c r="D6" s="14"/>
      <c r="E6" s="14"/>
      <c r="G6" s="18"/>
      <c r="H6" s="20"/>
      <c r="I6" s="19"/>
      <c r="R6" s="16" t="s">
        <v>1151</v>
      </c>
      <c r="T6" s="16" t="s">
        <v>1152</v>
      </c>
      <c r="W6" s="16" t="s">
        <v>1153</v>
      </c>
      <c r="Y6" s="16" t="s">
        <v>1154</v>
      </c>
      <c r="Z6" s="16" t="s">
        <v>1155</v>
      </c>
      <c r="AA6" s="16" t="s">
        <v>1156</v>
      </c>
      <c r="AD6" s="195" t="s">
        <v>1157</v>
      </c>
      <c r="AE6" s="16" t="s">
        <v>1119</v>
      </c>
      <c r="AF6" s="16" t="s">
        <v>1154</v>
      </c>
      <c r="AG6" s="16" t="s">
        <v>1046</v>
      </c>
      <c r="AH6" s="16" t="s">
        <v>1045</v>
      </c>
      <c r="AK6" s="195" t="s">
        <v>1044</v>
      </c>
      <c r="AL6" s="16" t="s">
        <v>1158</v>
      </c>
      <c r="AM6" s="207" t="s">
        <v>1106</v>
      </c>
      <c r="AN6" s="16" t="s">
        <v>1097</v>
      </c>
      <c r="AO6" s="255" t="s">
        <v>1159</v>
      </c>
      <c r="AP6" s="16" t="s">
        <v>1072</v>
      </c>
      <c r="AR6" s="194" t="s">
        <v>1160</v>
      </c>
      <c r="AS6" s="42" t="s">
        <v>1051</v>
      </c>
      <c r="AT6" s="16" t="s">
        <v>1039</v>
      </c>
      <c r="AU6" s="194" t="s">
        <v>1052</v>
      </c>
      <c r="AV6" s="194" t="s">
        <v>1161</v>
      </c>
      <c r="AW6" s="194" t="s">
        <v>1162</v>
      </c>
      <c r="AY6" s="16" t="s">
        <v>1056</v>
      </c>
      <c r="AZ6" s="16" t="s">
        <v>1163</v>
      </c>
      <c r="BA6" s="16" t="s">
        <v>1164</v>
      </c>
      <c r="BC6" s="186" t="s">
        <v>1154</v>
      </c>
      <c r="BD6" s="42" t="s">
        <v>1087</v>
      </c>
      <c r="BF6" s="194" t="s">
        <v>1165</v>
      </c>
      <c r="BG6" s="194" t="s">
        <v>1166</v>
      </c>
      <c r="BH6" s="16" t="s">
        <v>1167</v>
      </c>
      <c r="BI6" s="194" t="s">
        <v>1154</v>
      </c>
      <c r="BJ6" s="16" t="s">
        <v>1168</v>
      </c>
      <c r="BK6" s="16" t="s">
        <v>1169</v>
      </c>
      <c r="BN6" s="42" t="s">
        <v>1099</v>
      </c>
      <c r="BO6" s="16" t="s">
        <v>1170</v>
      </c>
      <c r="BP6" s="16" t="s">
        <v>1167</v>
      </c>
      <c r="BQ6" s="194" t="s">
        <v>1167</v>
      </c>
      <c r="BR6" s="16" t="s">
        <v>1072</v>
      </c>
      <c r="BT6" s="16" t="s">
        <v>1171</v>
      </c>
      <c r="BU6" s="194" t="s">
        <v>1116</v>
      </c>
      <c r="BV6" s="16" t="s">
        <v>1081</v>
      </c>
      <c r="BX6" s="16" t="s">
        <v>1172</v>
      </c>
      <c r="CA6" s="16" t="s">
        <v>1067</v>
      </c>
      <c r="CB6" s="186" t="s">
        <v>1173</v>
      </c>
      <c r="CC6" s="16" t="s">
        <v>1174</v>
      </c>
      <c r="CD6" s="16" t="s">
        <v>1175</v>
      </c>
      <c r="CE6" s="194" t="s">
        <v>1176</v>
      </c>
      <c r="CF6" s="16" t="s">
        <v>1177</v>
      </c>
      <c r="CH6" s="16" t="s">
        <v>1084</v>
      </c>
      <c r="CI6" s="186" t="s">
        <v>1178</v>
      </c>
      <c r="CJ6" s="186" t="s">
        <v>1084</v>
      </c>
      <c r="CK6" s="186" t="s">
        <v>1179</v>
      </c>
      <c r="CM6" s="201" t="s">
        <v>1180</v>
      </c>
      <c r="CO6" s="186" t="s">
        <v>1048</v>
      </c>
      <c r="CQ6" s="16" t="s">
        <v>1146</v>
      </c>
      <c r="CV6" s="16" t="s">
        <v>1127</v>
      </c>
      <c r="CX6" s="185" t="s">
        <v>1181</v>
      </c>
      <c r="CZ6" s="16" t="s">
        <v>1146</v>
      </c>
    </row>
    <row r="7" spans="1:118" s="16" customFormat="1" ht="15.6" customHeight="1" x14ac:dyDescent="0.3">
      <c r="A7" s="447"/>
      <c r="B7" s="14"/>
      <c r="C7" s="14"/>
      <c r="D7" s="14"/>
      <c r="E7" s="14"/>
      <c r="G7" s="18"/>
      <c r="H7" s="20"/>
      <c r="I7" s="19"/>
      <c r="R7" s="16" t="s">
        <v>1062</v>
      </c>
      <c r="T7" s="16" t="s">
        <v>1182</v>
      </c>
      <c r="W7" s="16" t="s">
        <v>1183</v>
      </c>
      <c r="Y7" s="16" t="s">
        <v>1041</v>
      </c>
      <c r="Z7" s="16" t="s">
        <v>1184</v>
      </c>
      <c r="AA7" s="16" t="s">
        <v>1185</v>
      </c>
      <c r="AD7" s="16" t="s">
        <v>1186</v>
      </c>
      <c r="AE7" s="196" t="s">
        <v>1109</v>
      </c>
      <c r="AF7" s="16" t="s">
        <v>1062</v>
      </c>
      <c r="AG7" s="195" t="s">
        <v>1040</v>
      </c>
      <c r="AH7" s="16" t="s">
        <v>1156</v>
      </c>
      <c r="AK7" s="195" t="s">
        <v>1105</v>
      </c>
      <c r="AL7" s="16" t="s">
        <v>1034</v>
      </c>
      <c r="AM7" s="207" t="s">
        <v>1097</v>
      </c>
      <c r="AO7" s="255" t="s">
        <v>1187</v>
      </c>
      <c r="AP7" s="16" t="s">
        <v>1188</v>
      </c>
      <c r="AR7" s="16" t="s">
        <v>1046</v>
      </c>
      <c r="AS7" s="16" t="s">
        <v>1114</v>
      </c>
      <c r="AT7" s="16" t="s">
        <v>1119</v>
      </c>
      <c r="AU7" s="194" t="s">
        <v>1189</v>
      </c>
      <c r="AV7" s="194" t="s">
        <v>1190</v>
      </c>
      <c r="AW7" s="16" t="s">
        <v>1171</v>
      </c>
      <c r="AY7" s="16" t="s">
        <v>1191</v>
      </c>
      <c r="AZ7" s="42" t="s">
        <v>1192</v>
      </c>
      <c r="BA7" s="335" t="s">
        <v>1193</v>
      </c>
      <c r="BC7" s="364" t="s">
        <v>1194</v>
      </c>
      <c r="BD7" s="42" t="s">
        <v>1141</v>
      </c>
      <c r="BF7" s="16" t="s">
        <v>1195</v>
      </c>
      <c r="BG7" s="16" t="s">
        <v>1062</v>
      </c>
      <c r="BH7" s="16" t="s">
        <v>1196</v>
      </c>
      <c r="BI7" s="16" t="s">
        <v>1072</v>
      </c>
      <c r="BJ7" s="194" t="s">
        <v>1197</v>
      </c>
      <c r="BO7" s="16" t="s">
        <v>1198</v>
      </c>
      <c r="BP7" s="16" t="s">
        <v>1143</v>
      </c>
      <c r="BQ7" s="16" t="s">
        <v>1199</v>
      </c>
      <c r="BR7" s="16" t="s">
        <v>1123</v>
      </c>
      <c r="BT7" s="16" t="s">
        <v>1139</v>
      </c>
      <c r="BU7" s="16" t="s">
        <v>1200</v>
      </c>
      <c r="BV7" s="16" t="s">
        <v>1201</v>
      </c>
      <c r="BX7" s="194" t="s">
        <v>1202</v>
      </c>
      <c r="BZ7" s="395"/>
      <c r="CA7" s="16" t="s">
        <v>965</v>
      </c>
      <c r="CB7" s="16" t="s">
        <v>1203</v>
      </c>
      <c r="CC7" s="16" t="s">
        <v>1204</v>
      </c>
      <c r="CD7" s="16" t="s">
        <v>1070</v>
      </c>
      <c r="CE7" s="16" t="s">
        <v>1205</v>
      </c>
      <c r="CF7" s="194" t="s">
        <v>1206</v>
      </c>
      <c r="CH7" s="16" t="s">
        <v>1207</v>
      </c>
      <c r="CI7" s="16" t="s">
        <v>1087</v>
      </c>
      <c r="CJ7" s="16" t="s">
        <v>1125</v>
      </c>
      <c r="CK7" s="16" t="s">
        <v>1208</v>
      </c>
      <c r="CM7" s="207" t="s">
        <v>1209</v>
      </c>
      <c r="CO7" s="186" t="s">
        <v>1210</v>
      </c>
      <c r="CQ7" s="186" t="s">
        <v>1211</v>
      </c>
      <c r="CS7" s="207"/>
    </row>
    <row r="8" spans="1:118" s="16" customFormat="1" ht="15.6" customHeight="1" x14ac:dyDescent="0.3">
      <c r="A8" s="447"/>
      <c r="B8" s="14"/>
      <c r="C8" s="15"/>
      <c r="D8" s="15"/>
      <c r="E8" s="15"/>
      <c r="G8" s="18"/>
      <c r="H8" s="20"/>
      <c r="I8" s="19"/>
      <c r="W8" s="16" t="s">
        <v>1186</v>
      </c>
      <c r="Y8" s="16" t="s">
        <v>1212</v>
      </c>
      <c r="Z8" s="186" t="s">
        <v>1213</v>
      </c>
      <c r="AA8" s="16" t="s">
        <v>1213</v>
      </c>
      <c r="AD8" s="195" t="s">
        <v>1214</v>
      </c>
      <c r="AE8" s="16" t="s">
        <v>1182</v>
      </c>
      <c r="AF8" s="16" t="s">
        <v>1051</v>
      </c>
      <c r="AH8" s="16" t="s">
        <v>1185</v>
      </c>
      <c r="AK8" s="16" t="s">
        <v>1215</v>
      </c>
      <c r="AL8" s="16" t="s">
        <v>1216</v>
      </c>
      <c r="AO8" s="16" t="s">
        <v>1217</v>
      </c>
      <c r="AR8" s="16" t="s">
        <v>1056</v>
      </c>
      <c r="AS8" s="16" t="s">
        <v>1218</v>
      </c>
      <c r="AT8" s="16" t="s">
        <v>1219</v>
      </c>
      <c r="AU8" s="42" t="s">
        <v>1116</v>
      </c>
      <c r="AV8" s="16" t="s">
        <v>1220</v>
      </c>
      <c r="AW8" s="38" t="s">
        <v>1221</v>
      </c>
      <c r="AY8" s="16" t="s">
        <v>1183</v>
      </c>
      <c r="AZ8" s="16" t="s">
        <v>1222</v>
      </c>
      <c r="BC8" s="364" t="s">
        <v>1116</v>
      </c>
      <c r="BD8" s="16" t="s">
        <v>1048</v>
      </c>
      <c r="BF8" s="16" t="s">
        <v>1223</v>
      </c>
      <c r="BG8" s="16" t="s">
        <v>1224</v>
      </c>
      <c r="BH8" s="197" t="s">
        <v>1225</v>
      </c>
      <c r="BI8" s="16" t="s">
        <v>1139</v>
      </c>
      <c r="BJ8" s="195" t="s">
        <v>1226</v>
      </c>
      <c r="BP8" s="195" t="s">
        <v>1227</v>
      </c>
      <c r="BQ8" s="16" t="s">
        <v>1228</v>
      </c>
      <c r="BR8" s="194" t="s">
        <v>1229</v>
      </c>
      <c r="BT8" s="16" t="s">
        <v>1230</v>
      </c>
      <c r="BU8" s="42" t="s">
        <v>1231</v>
      </c>
      <c r="BV8" s="16" t="s">
        <v>1232</v>
      </c>
      <c r="BX8" s="195" t="s">
        <v>1233</v>
      </c>
      <c r="CA8" s="194" t="s">
        <v>1198</v>
      </c>
      <c r="CB8" s="16" t="s">
        <v>1234</v>
      </c>
      <c r="CC8" s="16" t="s">
        <v>1235</v>
      </c>
      <c r="CD8" s="16" t="s">
        <v>1236</v>
      </c>
      <c r="CE8" s="16" t="s">
        <v>1237</v>
      </c>
      <c r="CF8" s="194" t="s">
        <v>1238</v>
      </c>
      <c r="CH8" s="42" t="s">
        <v>1239</v>
      </c>
      <c r="CI8" s="16" t="s">
        <v>1141</v>
      </c>
      <c r="CJ8" s="42" t="s">
        <v>1048</v>
      </c>
      <c r="CK8" s="16" t="s">
        <v>1085</v>
      </c>
      <c r="CM8" s="42" t="s">
        <v>1240</v>
      </c>
      <c r="CO8" s="16" t="s">
        <v>1087</v>
      </c>
    </row>
    <row r="9" spans="1:118" s="16" customFormat="1" ht="15.6" customHeight="1" x14ac:dyDescent="0.3">
      <c r="A9" s="447"/>
      <c r="B9" s="14"/>
      <c r="C9" s="15"/>
      <c r="D9" s="15"/>
      <c r="E9" s="15"/>
      <c r="G9" s="18"/>
      <c r="H9" s="20"/>
      <c r="I9" s="19"/>
      <c r="Y9" s="16" t="s">
        <v>1241</v>
      </c>
      <c r="Z9" s="186" t="s">
        <v>1242</v>
      </c>
      <c r="AA9" s="16" t="s">
        <v>1242</v>
      </c>
      <c r="AD9" s="195" t="s">
        <v>1243</v>
      </c>
      <c r="AE9" s="16" t="s">
        <v>1043</v>
      </c>
      <c r="AF9" s="16" t="s">
        <v>1114</v>
      </c>
      <c r="AH9" s="194" t="s">
        <v>1043</v>
      </c>
      <c r="AK9" s="16" t="s">
        <v>1244</v>
      </c>
      <c r="AL9" s="16" t="s">
        <v>1245</v>
      </c>
      <c r="AO9" s="16" t="s">
        <v>1246</v>
      </c>
      <c r="AR9" s="16" t="s">
        <v>1153</v>
      </c>
      <c r="AS9" s="16" t="s">
        <v>1247</v>
      </c>
      <c r="AU9" s="16" t="s">
        <v>1099</v>
      </c>
      <c r="AV9" s="18" t="s">
        <v>1169</v>
      </c>
      <c r="AW9" s="312" t="s">
        <v>1248</v>
      </c>
      <c r="AX9" s="19"/>
      <c r="AY9" s="16" t="s">
        <v>1216</v>
      </c>
      <c r="AZ9" s="16" t="s">
        <v>1249</v>
      </c>
      <c r="BC9" s="364" t="s">
        <v>1115</v>
      </c>
      <c r="BD9" s="16" t="s">
        <v>1250</v>
      </c>
      <c r="BF9" s="16" t="s">
        <v>1170</v>
      </c>
      <c r="BG9" s="16" t="s">
        <v>1229</v>
      </c>
      <c r="BI9" s="16" t="s">
        <v>1251</v>
      </c>
      <c r="BJ9" s="16" t="s">
        <v>1203</v>
      </c>
      <c r="BM9" s="16" t="s">
        <v>1252</v>
      </c>
      <c r="BR9" s="16" t="s">
        <v>1253</v>
      </c>
      <c r="BU9" s="16" t="s">
        <v>1254</v>
      </c>
      <c r="BX9" s="16" t="s">
        <v>1255</v>
      </c>
      <c r="CA9" s="16" t="s">
        <v>1173</v>
      </c>
      <c r="CB9" s="16" t="s">
        <v>1256</v>
      </c>
      <c r="CC9" s="16" t="s">
        <v>1085</v>
      </c>
      <c r="CD9" s="42" t="s">
        <v>1257</v>
      </c>
      <c r="CH9" s="412"/>
      <c r="CI9" s="16" t="s">
        <v>1258</v>
      </c>
      <c r="CM9" s="16" t="s">
        <v>1072</v>
      </c>
      <c r="CO9" s="16" t="s">
        <v>1127</v>
      </c>
    </row>
    <row r="10" spans="1:118" s="16" customFormat="1" ht="15.6" customHeight="1" x14ac:dyDescent="0.3">
      <c r="A10" s="447"/>
      <c r="B10" s="14"/>
      <c r="C10" s="15"/>
      <c r="D10" s="15"/>
      <c r="E10" s="15"/>
      <c r="G10" s="18"/>
      <c r="H10" s="20"/>
      <c r="I10" s="19"/>
      <c r="Y10" s="16" t="s">
        <v>1034</v>
      </c>
      <c r="AD10" s="16" t="s">
        <v>1153</v>
      </c>
      <c r="AE10" s="199" t="s">
        <v>1216</v>
      </c>
      <c r="AH10" s="194" t="s">
        <v>1182</v>
      </c>
      <c r="AK10" s="16" t="s">
        <v>1259</v>
      </c>
      <c r="AL10" s="16" t="s">
        <v>1260</v>
      </c>
      <c r="AO10" s="16" t="s">
        <v>1261</v>
      </c>
      <c r="AR10" s="16" t="s">
        <v>1262</v>
      </c>
      <c r="AS10" s="16" t="s">
        <v>1263</v>
      </c>
      <c r="AU10" s="16" t="s">
        <v>1264</v>
      </c>
      <c r="AW10" s="42" t="s">
        <v>1054</v>
      </c>
      <c r="AY10" s="16" t="s">
        <v>1245</v>
      </c>
      <c r="AZ10" s="42" t="s">
        <v>1251</v>
      </c>
      <c r="BC10" s="364" t="s">
        <v>1265</v>
      </c>
      <c r="BD10" s="16" t="s">
        <v>1169</v>
      </c>
      <c r="BF10" s="16" t="s">
        <v>1198</v>
      </c>
      <c r="BG10" s="16" t="s">
        <v>1266</v>
      </c>
      <c r="BI10" s="16" t="s">
        <v>1171</v>
      </c>
      <c r="BM10" s="16" t="s">
        <v>1267</v>
      </c>
      <c r="CA10" s="16" t="s">
        <v>1229</v>
      </c>
      <c r="CB10" s="16" t="s">
        <v>1268</v>
      </c>
      <c r="CD10" s="42" t="s">
        <v>1081</v>
      </c>
      <c r="CI10" s="16" t="s">
        <v>1269</v>
      </c>
      <c r="CO10" s="16" t="s">
        <v>1270</v>
      </c>
    </row>
    <row r="11" spans="1:118" s="16" customFormat="1" ht="15.6" customHeight="1" x14ac:dyDescent="0.3">
      <c r="A11" s="447"/>
      <c r="B11" s="14"/>
      <c r="C11" s="14"/>
      <c r="D11" s="14"/>
      <c r="E11" s="14"/>
      <c r="G11" s="18"/>
      <c r="H11" s="20"/>
      <c r="I11" s="19"/>
      <c r="Y11" s="16" t="s">
        <v>1271</v>
      </c>
      <c r="AD11" s="16" t="s">
        <v>1259</v>
      </c>
      <c r="AE11" s="199" t="s">
        <v>1245</v>
      </c>
      <c r="AK11" s="16" t="s">
        <v>1059</v>
      </c>
      <c r="AL11" s="16" t="s">
        <v>1272</v>
      </c>
      <c r="AO11" s="16" t="s">
        <v>1273</v>
      </c>
      <c r="AR11" s="16" t="s">
        <v>1274</v>
      </c>
      <c r="AS11" s="16" t="s">
        <v>1275</v>
      </c>
      <c r="AU11" s="16" t="s">
        <v>1064</v>
      </c>
      <c r="AW11" s="16" t="s">
        <v>1153</v>
      </c>
      <c r="AZ11" s="16" t="s">
        <v>1081</v>
      </c>
      <c r="BC11" s="364" t="s">
        <v>1276</v>
      </c>
      <c r="BD11" s="16" t="s">
        <v>1277</v>
      </c>
      <c r="BF11" s="16" t="s">
        <v>1123</v>
      </c>
      <c r="BG11" s="16" t="s">
        <v>1083</v>
      </c>
      <c r="BI11" s="16" t="s">
        <v>1278</v>
      </c>
      <c r="BM11" s="16" t="s">
        <v>1279</v>
      </c>
      <c r="BW11" s="16" t="s">
        <v>1280</v>
      </c>
      <c r="CA11" s="392" t="s">
        <v>1281</v>
      </c>
      <c r="CB11" s="16" t="s">
        <v>189</v>
      </c>
      <c r="CI11" s="186" t="s">
        <v>1282</v>
      </c>
    </row>
    <row r="12" spans="1:118" s="16" customFormat="1" ht="15.6" customHeight="1" x14ac:dyDescent="0.3">
      <c r="A12" s="447"/>
      <c r="B12" s="14"/>
      <c r="C12" s="14"/>
      <c r="D12" s="14"/>
      <c r="E12" s="14"/>
      <c r="G12" s="18"/>
      <c r="H12" s="20"/>
      <c r="I12" s="19"/>
      <c r="Y12" s="16" t="s">
        <v>1283</v>
      </c>
      <c r="AE12" s="195" t="s">
        <v>1284</v>
      </c>
      <c r="AK12" s="16" t="s">
        <v>1153</v>
      </c>
      <c r="AO12" s="16" t="s">
        <v>1285</v>
      </c>
      <c r="AR12" s="16" t="s">
        <v>1059</v>
      </c>
      <c r="AU12" s="16" t="s">
        <v>1229</v>
      </c>
      <c r="BC12" s="208" t="s">
        <v>1051</v>
      </c>
      <c r="BF12" s="16" t="s">
        <v>1131</v>
      </c>
      <c r="BG12" s="16" t="s">
        <v>1135</v>
      </c>
      <c r="BI12" s="194" t="s">
        <v>1286</v>
      </c>
      <c r="BN12" s="194"/>
      <c r="BW12" s="186" t="s">
        <v>1287</v>
      </c>
      <c r="CI12" s="16" t="s">
        <v>1288</v>
      </c>
    </row>
    <row r="13" spans="1:118" s="16" customFormat="1" ht="15.6" customHeight="1" x14ac:dyDescent="0.3">
      <c r="A13" s="447"/>
      <c r="B13" s="14"/>
      <c r="C13" s="14"/>
      <c r="D13" s="14"/>
      <c r="E13" s="14"/>
      <c r="G13" s="18"/>
      <c r="H13" s="20"/>
      <c r="I13" s="19"/>
      <c r="Y13" s="16" t="s">
        <v>1289</v>
      </c>
      <c r="AE13" s="197"/>
      <c r="AK13" s="16" t="s">
        <v>1290</v>
      </c>
      <c r="AO13" s="16" t="s">
        <v>1035</v>
      </c>
      <c r="AR13" s="16" t="s">
        <v>1183</v>
      </c>
      <c r="AS13" s="16" t="s">
        <v>1291</v>
      </c>
      <c r="AU13" s="16" t="s">
        <v>1128</v>
      </c>
      <c r="BC13" s="194" t="s">
        <v>1114</v>
      </c>
      <c r="BF13" s="16" t="s">
        <v>381</v>
      </c>
      <c r="BG13" s="16" t="s">
        <v>1076</v>
      </c>
      <c r="BI13" s="194" t="s">
        <v>1292</v>
      </c>
      <c r="BN13" s="16" t="s">
        <v>1280</v>
      </c>
      <c r="BO13" s="186" t="s">
        <v>1293</v>
      </c>
      <c r="BP13" s="16" t="s">
        <v>1280</v>
      </c>
      <c r="BW13" s="194" t="s">
        <v>1294</v>
      </c>
    </row>
    <row r="14" spans="1:118" s="16" customFormat="1" ht="15.6" customHeight="1" x14ac:dyDescent="0.3">
      <c r="A14" s="447"/>
      <c r="B14" s="14"/>
      <c r="C14" s="14"/>
      <c r="D14" s="14"/>
      <c r="E14" s="14"/>
      <c r="G14" s="18"/>
      <c r="H14" s="20"/>
      <c r="I14" s="19"/>
      <c r="Y14" s="16" t="s">
        <v>1295</v>
      </c>
      <c r="AO14" s="194" t="s">
        <v>1104</v>
      </c>
      <c r="AR14" s="16" t="s">
        <v>1250</v>
      </c>
      <c r="AS14" s="16" t="s">
        <v>1296</v>
      </c>
      <c r="AU14" s="16" t="s">
        <v>1069</v>
      </c>
      <c r="AW14" s="207"/>
      <c r="BN14" s="194" t="s">
        <v>1297</v>
      </c>
      <c r="BP14" s="16" t="s">
        <v>1298</v>
      </c>
      <c r="BQ14" s="194" t="s">
        <v>1299</v>
      </c>
      <c r="BR14" s="185" t="s">
        <v>1300</v>
      </c>
      <c r="BU14" s="152" t="s">
        <v>1280</v>
      </c>
      <c r="BW14" s="194" t="s">
        <v>1301</v>
      </c>
    </row>
    <row r="15" spans="1:118" s="16" customFormat="1" ht="15.6" customHeight="1" x14ac:dyDescent="0.3">
      <c r="A15" s="447"/>
      <c r="B15" s="14"/>
      <c r="C15" s="14"/>
      <c r="D15" s="14"/>
      <c r="E15" s="14"/>
      <c r="G15" s="18"/>
      <c r="H15" s="20"/>
      <c r="I15" s="19"/>
      <c r="Y15" s="16" t="s">
        <v>1043</v>
      </c>
      <c r="AO15" s="194" t="s">
        <v>1302</v>
      </c>
      <c r="BN15" s="186" t="s">
        <v>1303</v>
      </c>
      <c r="BP15" s="16" t="s">
        <v>1304</v>
      </c>
      <c r="BU15" s="194" t="s">
        <v>1305</v>
      </c>
      <c r="BW15" s="194" t="s">
        <v>1135</v>
      </c>
      <c r="CD15" s="16" t="s">
        <v>1306</v>
      </c>
    </row>
    <row r="16" spans="1:118" s="16" customFormat="1" ht="15.6" customHeight="1" x14ac:dyDescent="0.3">
      <c r="A16" s="447"/>
      <c r="B16" s="14"/>
      <c r="C16" s="14"/>
      <c r="D16" s="14"/>
      <c r="E16" s="14"/>
      <c r="G16" s="18"/>
      <c r="H16" s="20"/>
      <c r="I16" s="19"/>
      <c r="Y16" s="16" t="s">
        <v>1182</v>
      </c>
      <c r="AR16" s="194"/>
      <c r="BN16" s="16" t="s">
        <v>1307</v>
      </c>
      <c r="BU16" s="16" t="s">
        <v>1308</v>
      </c>
      <c r="CC16" s="16" t="s">
        <v>1309</v>
      </c>
      <c r="CD16" s="16" t="s">
        <v>1310</v>
      </c>
    </row>
    <row r="17" spans="1:110" s="38" customFormat="1" ht="15.6" customHeight="1" x14ac:dyDescent="0.3">
      <c r="A17" s="447"/>
      <c r="B17" s="37"/>
      <c r="C17" s="37"/>
      <c r="D17" s="37"/>
      <c r="E17" s="37"/>
      <c r="G17" s="39"/>
      <c r="H17" s="20"/>
      <c r="I17" s="40"/>
      <c r="Y17" s="16" t="s">
        <v>1311</v>
      </c>
      <c r="AS17" s="268" t="s">
        <v>1312</v>
      </c>
      <c r="BU17" s="16"/>
      <c r="CC17" s="38" t="s">
        <v>1313</v>
      </c>
    </row>
    <row r="18" spans="1:110" s="38" customFormat="1" ht="15.6" customHeight="1" x14ac:dyDescent="0.3">
      <c r="A18" s="448"/>
      <c r="B18" s="37"/>
      <c r="C18" s="37"/>
      <c r="D18" s="37"/>
      <c r="E18" s="37"/>
      <c r="G18" s="39"/>
      <c r="H18" s="20"/>
      <c r="I18" s="40"/>
      <c r="Y18" s="16" t="s">
        <v>1314</v>
      </c>
    </row>
    <row r="19" spans="1:110" s="17" customFormat="1" x14ac:dyDescent="0.3">
      <c r="A19" s="445"/>
      <c r="B19" s="13"/>
      <c r="C19" s="13"/>
      <c r="D19" s="13"/>
      <c r="E19" s="13"/>
      <c r="H19" s="43"/>
      <c r="X19" s="17" t="s">
        <v>1315</v>
      </c>
      <c r="AA19" s="17" t="s">
        <v>1316</v>
      </c>
      <c r="AE19" s="17" t="s">
        <v>1317</v>
      </c>
      <c r="AG19" s="17" t="s">
        <v>1318</v>
      </c>
      <c r="AL19" s="17" t="s">
        <v>1317</v>
      </c>
      <c r="AM19" s="17" t="s">
        <v>1319</v>
      </c>
      <c r="AN19" s="17" t="s">
        <v>1320</v>
      </c>
      <c r="AS19" s="254" t="s">
        <v>1321</v>
      </c>
      <c r="AT19" s="17" t="s">
        <v>1322</v>
      </c>
      <c r="AU19" s="17" t="s">
        <v>1323</v>
      </c>
      <c r="AV19" s="17" t="s">
        <v>1324</v>
      </c>
      <c r="AW19" s="274" t="s">
        <v>1325</v>
      </c>
      <c r="AZ19" s="17" t="s">
        <v>1326</v>
      </c>
      <c r="BA19" s="254"/>
      <c r="BB19" s="254" t="s">
        <v>1327</v>
      </c>
      <c r="BD19" s="254" t="s">
        <v>1328</v>
      </c>
      <c r="BF19" s="254" t="s">
        <v>1329</v>
      </c>
      <c r="BH19" s="254" t="s">
        <v>1326</v>
      </c>
      <c r="BJ19" s="17" t="s">
        <v>1330</v>
      </c>
      <c r="BM19" s="276" t="s">
        <v>1331</v>
      </c>
      <c r="BO19" s="276" t="s">
        <v>1332</v>
      </c>
      <c r="BP19" s="17" t="s">
        <v>1333</v>
      </c>
      <c r="BQ19" s="17" t="s">
        <v>1334</v>
      </c>
      <c r="BU19" s="17" t="s">
        <v>1335</v>
      </c>
      <c r="BV19" s="17" t="s">
        <v>1336</v>
      </c>
      <c r="BY19" s="254"/>
      <c r="CB19" s="254" t="s">
        <v>1337</v>
      </c>
      <c r="CD19" s="17" t="s">
        <v>1338</v>
      </c>
      <c r="CK19" s="17" t="s">
        <v>1339</v>
      </c>
      <c r="CP19" s="17" t="s">
        <v>1339</v>
      </c>
      <c r="CV19" s="17" t="s">
        <v>1340</v>
      </c>
      <c r="CX19" s="17" t="s">
        <v>1340</v>
      </c>
      <c r="DF19" s="17" t="s">
        <v>1341</v>
      </c>
    </row>
    <row r="20" spans="1:110" s="17" customFormat="1" x14ac:dyDescent="0.3">
      <c r="A20" s="445"/>
      <c r="B20" s="13"/>
      <c r="C20" s="13"/>
      <c r="D20" s="13"/>
      <c r="E20" s="13"/>
      <c r="H20" s="43"/>
      <c r="AS20" s="254"/>
      <c r="AU20" s="254" t="s">
        <v>1342</v>
      </c>
      <c r="AV20" s="274" t="s">
        <v>1343</v>
      </c>
      <c r="AW20" s="254" t="s">
        <v>1344</v>
      </c>
      <c r="AZ20" s="314" t="s">
        <v>1345</v>
      </c>
      <c r="BB20" s="17" t="s">
        <v>1346</v>
      </c>
      <c r="BF20" s="17" t="s">
        <v>1347</v>
      </c>
      <c r="BH20" s="17" t="s">
        <v>1348</v>
      </c>
      <c r="BJ20" s="370" t="s">
        <v>78</v>
      </c>
      <c r="BN20" s="17" t="s">
        <v>1349</v>
      </c>
      <c r="BP20" s="17" t="s">
        <v>1350</v>
      </c>
      <c r="BQ20" s="17" t="s">
        <v>1351</v>
      </c>
      <c r="BT20" s="254" t="s">
        <v>1349</v>
      </c>
      <c r="BV20" s="17" t="s">
        <v>157</v>
      </c>
      <c r="CD20" s="17" t="s">
        <v>1352</v>
      </c>
      <c r="CK20" s="17" t="s">
        <v>1352</v>
      </c>
      <c r="CP20" s="17" t="s">
        <v>1352</v>
      </c>
      <c r="CX20" s="17" t="s">
        <v>1353</v>
      </c>
      <c r="DF20" s="17" t="s">
        <v>1353</v>
      </c>
    </row>
    <row r="21" spans="1:110" s="17" customFormat="1" x14ac:dyDescent="0.3">
      <c r="A21" s="445"/>
      <c r="B21" s="13"/>
      <c r="C21" s="13"/>
      <c r="D21" s="13"/>
      <c r="E21" s="13"/>
      <c r="H21" s="43"/>
      <c r="X21" s="17" t="s">
        <v>1354</v>
      </c>
      <c r="AA21" s="17" t="s">
        <v>1355</v>
      </c>
      <c r="AE21" s="17" t="s">
        <v>1356</v>
      </c>
      <c r="AG21" s="17" t="s">
        <v>1357</v>
      </c>
      <c r="AL21" s="17" t="s">
        <v>1356</v>
      </c>
      <c r="AM21" s="17" t="s">
        <v>1358</v>
      </c>
      <c r="AN21" s="17" t="s">
        <v>1359</v>
      </c>
      <c r="AS21" s="254" t="s">
        <v>1360</v>
      </c>
      <c r="AT21" s="17" t="s">
        <v>1361</v>
      </c>
      <c r="AU21" s="17" t="s">
        <v>1362</v>
      </c>
      <c r="AV21" s="274"/>
      <c r="AW21" s="17" t="s">
        <v>1363</v>
      </c>
      <c r="AZ21" s="276" t="s">
        <v>1364</v>
      </c>
      <c r="BB21" s="17" t="s">
        <v>1365</v>
      </c>
      <c r="BF21" s="17" t="s">
        <v>1366</v>
      </c>
      <c r="BH21" s="17" t="s">
        <v>1367</v>
      </c>
      <c r="BJ21" s="370" t="s">
        <v>69</v>
      </c>
      <c r="BN21" s="17" t="s">
        <v>1368</v>
      </c>
      <c r="BP21" s="17" t="s">
        <v>1369</v>
      </c>
      <c r="BQ21" s="17" t="s">
        <v>1370</v>
      </c>
      <c r="BT21" s="254" t="s">
        <v>1326</v>
      </c>
      <c r="BV21" s="17" t="s">
        <v>1371</v>
      </c>
      <c r="CD21" s="409"/>
      <c r="CP21" s="17" t="s">
        <v>1372</v>
      </c>
    </row>
    <row r="22" spans="1:110" s="17" customFormat="1" x14ac:dyDescent="0.3">
      <c r="A22" s="445"/>
      <c r="B22" s="13"/>
      <c r="C22" s="13"/>
      <c r="D22" s="13"/>
      <c r="E22" s="13"/>
      <c r="H22" s="43"/>
      <c r="X22" s="17" t="s">
        <v>1373</v>
      </c>
      <c r="AA22" s="17" t="s">
        <v>1374</v>
      </c>
      <c r="AE22" s="17" t="s">
        <v>1375</v>
      </c>
      <c r="AG22" s="17" t="s">
        <v>1376</v>
      </c>
      <c r="AL22" s="17" t="s">
        <v>1326</v>
      </c>
      <c r="AM22" s="17" t="s">
        <v>1377</v>
      </c>
      <c r="AN22" s="17" t="s">
        <v>1378</v>
      </c>
      <c r="AS22" s="254" t="s">
        <v>1379</v>
      </c>
      <c r="AT22" s="17" t="s">
        <v>1380</v>
      </c>
      <c r="AU22" s="17" t="s">
        <v>1381</v>
      </c>
      <c r="AV22" s="17" t="s">
        <v>1382</v>
      </c>
      <c r="AW22" s="17" t="s">
        <v>1383</v>
      </c>
      <c r="AZ22" s="17" t="s">
        <v>1322</v>
      </c>
      <c r="BB22" s="17" t="s">
        <v>1384</v>
      </c>
      <c r="BF22" s="17" t="s">
        <v>1326</v>
      </c>
      <c r="BG22" s="314"/>
      <c r="BH22" s="17" t="s">
        <v>1385</v>
      </c>
      <c r="BJ22" s="371" t="s">
        <v>1323</v>
      </c>
      <c r="BN22" s="17" t="s">
        <v>157</v>
      </c>
      <c r="BP22" s="17" t="s">
        <v>1386</v>
      </c>
      <c r="BQ22" s="17" t="s">
        <v>1352</v>
      </c>
      <c r="BT22" s="254" t="s">
        <v>1387</v>
      </c>
    </row>
    <row r="23" spans="1:110" s="17" customFormat="1" hidden="1" x14ac:dyDescent="0.3">
      <c r="A23" s="445"/>
      <c r="B23" s="13"/>
      <c r="C23" s="13"/>
      <c r="D23" s="13"/>
      <c r="E23" s="13"/>
      <c r="H23" s="43"/>
      <c r="X23" s="17" t="s">
        <v>1357</v>
      </c>
      <c r="AA23" s="17" t="s">
        <v>1388</v>
      </c>
      <c r="AE23" s="17" t="s">
        <v>1389</v>
      </c>
      <c r="AG23" s="17" t="s">
        <v>1359</v>
      </c>
      <c r="AL23" s="17" t="s">
        <v>1390</v>
      </c>
      <c r="AM23" s="17" t="s">
        <v>1374</v>
      </c>
      <c r="AS23" s="17" t="s">
        <v>1374</v>
      </c>
      <c r="AU23" s="17" t="s">
        <v>1391</v>
      </c>
      <c r="AV23" s="17" t="s">
        <v>1392</v>
      </c>
      <c r="AZ23" s="17" t="s">
        <v>1361</v>
      </c>
      <c r="BB23" s="17" t="s">
        <v>1393</v>
      </c>
      <c r="BF23" s="17" t="s">
        <v>1331</v>
      </c>
      <c r="BH23" s="17" t="s">
        <v>1346</v>
      </c>
      <c r="BJ23" s="17" t="s">
        <v>1394</v>
      </c>
      <c r="BN23" s="17" t="s">
        <v>1371</v>
      </c>
      <c r="BP23" s="17" t="s">
        <v>1395</v>
      </c>
    </row>
    <row r="24" spans="1:110" s="17" customFormat="1" hidden="1" x14ac:dyDescent="0.3">
      <c r="A24" s="445"/>
      <c r="B24" s="13"/>
      <c r="C24" s="13"/>
      <c r="D24" s="13"/>
      <c r="E24" s="13"/>
      <c r="H24" s="43"/>
      <c r="X24" s="17" t="s">
        <v>1396</v>
      </c>
      <c r="AA24" s="17" t="s">
        <v>1324</v>
      </c>
      <c r="AE24" s="17" t="s">
        <v>1397</v>
      </c>
      <c r="AG24" s="17" t="s">
        <v>1398</v>
      </c>
      <c r="AL24" s="17" t="s">
        <v>1399</v>
      </c>
      <c r="AM24" s="17" t="s">
        <v>1388</v>
      </c>
      <c r="AS24" s="254" t="s">
        <v>1400</v>
      </c>
      <c r="AU24" s="17" t="s">
        <v>1340</v>
      </c>
      <c r="AV24" s="17" t="s">
        <v>1401</v>
      </c>
      <c r="AZ24" s="17" t="s">
        <v>1380</v>
      </c>
      <c r="BB24" s="17" t="s">
        <v>1402</v>
      </c>
      <c r="BF24" s="17" t="s">
        <v>1403</v>
      </c>
      <c r="BH24" s="17" t="s">
        <v>1324</v>
      </c>
      <c r="BN24" s="17" t="s">
        <v>1404</v>
      </c>
    </row>
    <row r="25" spans="1:110" s="17" customFormat="1" hidden="1" x14ac:dyDescent="0.3">
      <c r="A25" s="445"/>
      <c r="B25" s="13"/>
      <c r="C25" s="13"/>
      <c r="D25" s="13"/>
      <c r="E25" s="13"/>
      <c r="H25" s="43"/>
      <c r="X25" s="17" t="s">
        <v>1359</v>
      </c>
      <c r="AA25" s="17" t="s">
        <v>1405</v>
      </c>
      <c r="AE25" s="17" t="s">
        <v>69</v>
      </c>
      <c r="AG25" s="17" t="s">
        <v>1324</v>
      </c>
      <c r="AL25" s="17" t="s">
        <v>1406</v>
      </c>
      <c r="AM25" s="209" t="s">
        <v>1407</v>
      </c>
      <c r="AS25" s="17" t="s">
        <v>1408</v>
      </c>
      <c r="AU25" s="17" t="s">
        <v>1409</v>
      </c>
      <c r="AV25" s="17" t="s">
        <v>1410</v>
      </c>
      <c r="AZ25" s="276" t="s">
        <v>1374</v>
      </c>
      <c r="BB25" s="17" t="s">
        <v>1324</v>
      </c>
      <c r="BF25" s="314"/>
      <c r="BG25" s="276"/>
      <c r="BH25" s="17" t="s">
        <v>1323</v>
      </c>
      <c r="BN25" s="17" t="s">
        <v>1411</v>
      </c>
      <c r="BT25" s="17" t="s">
        <v>1339</v>
      </c>
    </row>
    <row r="26" spans="1:110" s="17" customFormat="1" hidden="1" x14ac:dyDescent="0.3">
      <c r="A26" s="445"/>
      <c r="B26" s="13"/>
      <c r="C26" s="13"/>
      <c r="D26" s="13"/>
      <c r="E26" s="13"/>
      <c r="H26" s="43"/>
      <c r="X26" s="17" t="s">
        <v>1412</v>
      </c>
      <c r="AA26" s="17" t="s">
        <v>1413</v>
      </c>
      <c r="AE26" s="17" t="s">
        <v>1326</v>
      </c>
      <c r="AG26" s="17" t="s">
        <v>1414</v>
      </c>
      <c r="AL26" s="17" t="s">
        <v>1415</v>
      </c>
      <c r="AM26" s="17" t="s">
        <v>1416</v>
      </c>
      <c r="AS26" s="17" t="s">
        <v>1417</v>
      </c>
      <c r="AU26" s="17" t="s">
        <v>1418</v>
      </c>
      <c r="AV26" s="17" t="s">
        <v>1419</v>
      </c>
      <c r="AZ26" s="276" t="s">
        <v>1420</v>
      </c>
      <c r="BB26" s="254" t="s">
        <v>1421</v>
      </c>
      <c r="BN26" s="17" t="s">
        <v>1326</v>
      </c>
    </row>
    <row r="27" spans="1:110" s="17" customFormat="1" hidden="1" x14ac:dyDescent="0.3">
      <c r="A27" s="445"/>
      <c r="B27" s="13"/>
      <c r="C27" s="13"/>
      <c r="D27" s="13"/>
      <c r="E27" s="13"/>
      <c r="H27" s="43"/>
      <c r="AL27" s="17" t="s">
        <v>1323</v>
      </c>
      <c r="AM27" s="17" t="s">
        <v>1422</v>
      </c>
      <c r="AS27" s="17" t="s">
        <v>1345</v>
      </c>
      <c r="AU27" s="17" t="s">
        <v>1423</v>
      </c>
      <c r="BB27" s="274" t="s">
        <v>509</v>
      </c>
    </row>
    <row r="28" spans="1:110" s="17" customFormat="1" hidden="1" x14ac:dyDescent="0.3">
      <c r="A28" s="445"/>
      <c r="B28" s="13"/>
      <c r="C28" s="13"/>
      <c r="D28" s="13"/>
      <c r="E28" s="13"/>
      <c r="H28" s="43"/>
      <c r="AL28" s="17" t="s">
        <v>1324</v>
      </c>
      <c r="AM28" s="17" t="s">
        <v>1397</v>
      </c>
      <c r="AS28" s="17" t="s">
        <v>1326</v>
      </c>
      <c r="AU28" s="17" t="s">
        <v>1424</v>
      </c>
      <c r="AV28" s="17" t="s">
        <v>1425</v>
      </c>
      <c r="BB28" s="254" t="s">
        <v>1323</v>
      </c>
    </row>
    <row r="29" spans="1:110" s="17" customFormat="1" hidden="1" x14ac:dyDescent="0.3">
      <c r="A29" s="445"/>
      <c r="B29" s="13"/>
      <c r="C29" s="13"/>
      <c r="D29" s="13"/>
      <c r="E29" s="13"/>
      <c r="H29" s="43"/>
      <c r="AL29" s="17" t="s">
        <v>1426</v>
      </c>
      <c r="AM29" s="17" t="s">
        <v>1427</v>
      </c>
      <c r="AU29" s="17" t="s">
        <v>1428</v>
      </c>
      <c r="AV29" s="17" t="s">
        <v>1429</v>
      </c>
    </row>
    <row r="30" spans="1:110" s="17" customFormat="1" hidden="1" x14ac:dyDescent="0.3">
      <c r="A30" s="445"/>
      <c r="B30" s="13"/>
      <c r="C30" s="13"/>
      <c r="D30" s="13"/>
      <c r="E30" s="13"/>
      <c r="H30" s="43"/>
      <c r="AM30" s="17" t="s">
        <v>1430</v>
      </c>
      <c r="AU30" s="17" t="s">
        <v>1431</v>
      </c>
      <c r="AV30" s="17" t="s">
        <v>1432</v>
      </c>
    </row>
    <row r="31" spans="1:110" s="42" customFormat="1" x14ac:dyDescent="0.3">
      <c r="A31" s="446" t="s">
        <v>1433</v>
      </c>
      <c r="B31" s="41"/>
      <c r="C31" s="41"/>
      <c r="D31" s="41"/>
      <c r="E31" s="41"/>
      <c r="G31" s="35"/>
      <c r="H31" s="20"/>
      <c r="I31" s="36"/>
      <c r="M31" s="42" t="s">
        <v>1434</v>
      </c>
      <c r="Q31" s="151" t="s">
        <v>1434</v>
      </c>
      <c r="T31" s="16" t="s">
        <v>1435</v>
      </c>
      <c r="W31" s="42" t="s">
        <v>1436</v>
      </c>
      <c r="Y31" s="177"/>
      <c r="Z31" s="185" t="s">
        <v>1437</v>
      </c>
      <c r="AD31" s="16" t="s">
        <v>1438</v>
      </c>
      <c r="AE31" s="16"/>
      <c r="AF31" s="201" t="s">
        <v>1439</v>
      </c>
      <c r="AH31" s="42" t="s">
        <v>1440</v>
      </c>
      <c r="AK31" s="208" t="s">
        <v>1441</v>
      </c>
      <c r="AN31" s="16" t="s">
        <v>1442</v>
      </c>
      <c r="AO31" s="208" t="s">
        <v>1441</v>
      </c>
      <c r="AP31" s="201" t="s">
        <v>1443</v>
      </c>
      <c r="AR31" s="208" t="s">
        <v>1435</v>
      </c>
      <c r="AT31" s="42" t="s">
        <v>1444</v>
      </c>
      <c r="AV31" s="186" t="s">
        <v>1443</v>
      </c>
      <c r="AW31" s="42" t="s">
        <v>1445</v>
      </c>
      <c r="AY31" s="42" t="s">
        <v>1446</v>
      </c>
      <c r="BA31" s="16" t="s">
        <v>1447</v>
      </c>
      <c r="BC31" s="199" t="s">
        <v>1448</v>
      </c>
      <c r="BD31" s="208" t="s">
        <v>1449</v>
      </c>
      <c r="BE31" s="196" t="s">
        <v>1450</v>
      </c>
      <c r="BG31" s="194" t="s">
        <v>1443</v>
      </c>
      <c r="BH31" s="42" t="s">
        <v>1451</v>
      </c>
      <c r="BI31" s="16" t="s">
        <v>1452</v>
      </c>
      <c r="BJ31" s="208" t="s">
        <v>1453</v>
      </c>
      <c r="BK31" s="208" t="s">
        <v>1454</v>
      </c>
      <c r="BM31" s="208" t="s">
        <v>1455</v>
      </c>
      <c r="BN31" s="224"/>
      <c r="BO31" s="42" t="s">
        <v>353</v>
      </c>
      <c r="BP31" s="42" t="s">
        <v>1456</v>
      </c>
      <c r="BQ31" s="42" t="s">
        <v>1457</v>
      </c>
      <c r="BR31" s="42" t="s">
        <v>1280</v>
      </c>
      <c r="BT31" s="195" t="s">
        <v>1458</v>
      </c>
      <c r="BU31" s="389" t="s">
        <v>1459</v>
      </c>
      <c r="BV31" s="194" t="s">
        <v>202</v>
      </c>
      <c r="BW31" s="16" t="s">
        <v>353</v>
      </c>
      <c r="BX31" s="16" t="s">
        <v>1460</v>
      </c>
      <c r="BY31" s="42" t="s">
        <v>1461</v>
      </c>
      <c r="CA31" s="392" t="s">
        <v>1462</v>
      </c>
      <c r="CB31" s="186" t="s">
        <v>1463</v>
      </c>
      <c r="CC31" s="16" t="s">
        <v>1464</v>
      </c>
      <c r="CD31" s="42" t="s">
        <v>1465</v>
      </c>
      <c r="CE31" s="186" t="s">
        <v>1466</v>
      </c>
      <c r="CF31" s="194" t="s">
        <v>192</v>
      </c>
      <c r="CH31" s="410" t="s">
        <v>1467</v>
      </c>
      <c r="CI31" s="42" t="s">
        <v>1468</v>
      </c>
      <c r="CJ31" s="201" t="s">
        <v>1469</v>
      </c>
      <c r="CK31" s="185" t="s">
        <v>192</v>
      </c>
      <c r="CL31" s="42" t="s">
        <v>1470</v>
      </c>
      <c r="CM31" s="185" t="s">
        <v>1471</v>
      </c>
      <c r="CO31" s="185" t="s">
        <v>1468</v>
      </c>
      <c r="CP31" s="16" t="s">
        <v>1472</v>
      </c>
      <c r="CQ31" s="42" t="s">
        <v>1473</v>
      </c>
      <c r="CR31" s="185" t="s">
        <v>1471</v>
      </c>
      <c r="CS31" s="185" t="s">
        <v>1474</v>
      </c>
      <c r="CV31" s="42" t="s">
        <v>1475</v>
      </c>
      <c r="CW31" s="185" t="s">
        <v>1476</v>
      </c>
      <c r="CX31" s="42" t="s">
        <v>1477</v>
      </c>
      <c r="CZ31" s="42" t="s">
        <v>1478</v>
      </c>
      <c r="DC31" s="42" t="s">
        <v>1479</v>
      </c>
      <c r="DD31" s="42" t="s">
        <v>216</v>
      </c>
    </row>
    <row r="32" spans="1:110" s="42" customFormat="1" x14ac:dyDescent="0.3">
      <c r="A32" s="447"/>
      <c r="B32" s="41"/>
      <c r="C32" s="41"/>
      <c r="D32" s="41"/>
      <c r="E32" s="41"/>
      <c r="G32" s="35"/>
      <c r="H32" s="20"/>
      <c r="I32" s="36"/>
      <c r="Q32" s="151"/>
      <c r="T32" s="16"/>
      <c r="Y32" s="177"/>
      <c r="Z32" s="185"/>
      <c r="AD32" s="16"/>
      <c r="AE32" s="16"/>
      <c r="AF32" s="201"/>
      <c r="AK32" s="208"/>
      <c r="AN32" s="16"/>
      <c r="AO32" s="208"/>
      <c r="AP32" s="201"/>
      <c r="AR32" s="208"/>
      <c r="AV32" s="185"/>
      <c r="BA32" s="16"/>
      <c r="BB32" s="16"/>
      <c r="BC32" s="185" t="s">
        <v>181</v>
      </c>
      <c r="BD32" s="365" t="s">
        <v>1461</v>
      </c>
      <c r="BG32" s="208" t="s">
        <v>1480</v>
      </c>
      <c r="BH32" s="42" t="s">
        <v>1481</v>
      </c>
      <c r="BI32" s="316" t="s">
        <v>1482</v>
      </c>
      <c r="BJ32" s="16" t="s">
        <v>1483</v>
      </c>
      <c r="BK32" s="194" t="s">
        <v>1484</v>
      </c>
      <c r="BM32" s="194" t="s">
        <v>1485</v>
      </c>
      <c r="BO32" s="16" t="s">
        <v>1486</v>
      </c>
      <c r="BR32" s="16" t="s">
        <v>1487</v>
      </c>
      <c r="BT32" s="42" t="s">
        <v>1488</v>
      </c>
      <c r="BU32" s="16" t="s">
        <v>1489</v>
      </c>
      <c r="BV32" s="16"/>
      <c r="BW32" s="16" t="s">
        <v>1490</v>
      </c>
      <c r="BX32" s="16" t="s">
        <v>1491</v>
      </c>
      <c r="BY32" s="16" t="s">
        <v>1492</v>
      </c>
      <c r="CA32" s="208" t="s">
        <v>1485</v>
      </c>
      <c r="CB32" s="186" t="s">
        <v>1493</v>
      </c>
      <c r="CC32" s="16" t="s">
        <v>1494</v>
      </c>
      <c r="CD32" s="208" t="s">
        <v>1495</v>
      </c>
      <c r="CE32" s="42" t="s">
        <v>1496</v>
      </c>
      <c r="CF32" s="194" t="s">
        <v>194</v>
      </c>
      <c r="CH32" s="185" t="s">
        <v>1496</v>
      </c>
      <c r="CI32" s="16" t="s">
        <v>1497</v>
      </c>
      <c r="CJ32" s="16" t="s">
        <v>1498</v>
      </c>
      <c r="CK32" s="185" t="s">
        <v>194</v>
      </c>
      <c r="CL32" s="186" t="s">
        <v>1499</v>
      </c>
      <c r="CM32" s="16" t="s">
        <v>1477</v>
      </c>
      <c r="CO32" s="42" t="s">
        <v>1500</v>
      </c>
      <c r="CP32" s="16" t="s">
        <v>1501</v>
      </c>
      <c r="CQ32" s="16" t="s">
        <v>1502</v>
      </c>
      <c r="CR32" s="42" t="s">
        <v>1503</v>
      </c>
      <c r="CS32" s="42" t="s">
        <v>1504</v>
      </c>
      <c r="CV32" s="42" t="s">
        <v>1505</v>
      </c>
      <c r="CW32" s="16" t="s">
        <v>1506</v>
      </c>
      <c r="CX32" s="42" t="s">
        <v>1507</v>
      </c>
      <c r="CZ32" s="42" t="s">
        <v>1508</v>
      </c>
      <c r="DD32" s="42" t="s">
        <v>1509</v>
      </c>
    </row>
    <row r="33" spans="1:108" s="16" customFormat="1" x14ac:dyDescent="0.3">
      <c r="A33" s="447"/>
      <c r="B33" s="14"/>
      <c r="C33" s="14"/>
      <c r="D33" s="14"/>
      <c r="E33" s="14"/>
      <c r="G33" s="18"/>
      <c r="H33" s="20"/>
      <c r="I33" s="19"/>
      <c r="M33" s="16" t="s">
        <v>1441</v>
      </c>
      <c r="Q33" s="152" t="s">
        <v>1441</v>
      </c>
      <c r="T33" s="16" t="s">
        <v>1510</v>
      </c>
      <c r="W33" s="42" t="s">
        <v>1511</v>
      </c>
      <c r="Z33" s="16" t="s">
        <v>1512</v>
      </c>
      <c r="AD33" s="16" t="s">
        <v>1513</v>
      </c>
      <c r="AF33" s="16" t="s">
        <v>1436</v>
      </c>
      <c r="AH33" s="16" t="s">
        <v>1514</v>
      </c>
      <c r="AK33" s="194" t="s">
        <v>1515</v>
      </c>
      <c r="AN33" s="16" t="s">
        <v>1516</v>
      </c>
      <c r="AO33" s="194" t="s">
        <v>1515</v>
      </c>
      <c r="AP33" s="16" t="s">
        <v>1517</v>
      </c>
      <c r="AR33" s="16" t="s">
        <v>1436</v>
      </c>
      <c r="AT33" s="16" t="s">
        <v>1518</v>
      </c>
      <c r="AV33" s="42" t="s">
        <v>1465</v>
      </c>
      <c r="AW33" s="16" t="s">
        <v>1519</v>
      </c>
      <c r="AY33" s="16" t="s">
        <v>1520</v>
      </c>
      <c r="BA33" s="16" t="s">
        <v>1521</v>
      </c>
      <c r="BC33" s="207" t="s">
        <v>1468</v>
      </c>
      <c r="BD33" s="365" t="s">
        <v>1522</v>
      </c>
      <c r="BG33" s="208" t="s">
        <v>1523</v>
      </c>
      <c r="BH33" s="194" t="s">
        <v>1524</v>
      </c>
      <c r="BI33" s="196" t="s">
        <v>1525</v>
      </c>
      <c r="BK33" s="194" t="s">
        <v>1526</v>
      </c>
      <c r="BM33" s="16" t="s">
        <v>1459</v>
      </c>
      <c r="BO33" s="207" t="s">
        <v>202</v>
      </c>
      <c r="BR33" s="16" t="s">
        <v>1527</v>
      </c>
      <c r="BT33" s="16" t="s">
        <v>1528</v>
      </c>
      <c r="BV33" s="186" t="s">
        <v>1529</v>
      </c>
      <c r="BW33" s="195" t="s">
        <v>1530</v>
      </c>
      <c r="BX33" s="16" t="s">
        <v>1531</v>
      </c>
      <c r="BY33" s="16" t="s">
        <v>1532</v>
      </c>
      <c r="CB33" s="42" t="s">
        <v>1533</v>
      </c>
      <c r="CC33" s="16" t="s">
        <v>1442</v>
      </c>
      <c r="CD33" s="194" t="s">
        <v>1534</v>
      </c>
      <c r="CE33" s="42" t="s">
        <v>1535</v>
      </c>
      <c r="CF33" s="16" t="s">
        <v>1473</v>
      </c>
      <c r="CH33" s="185" t="s">
        <v>1535</v>
      </c>
      <c r="CI33" s="392" t="s">
        <v>1536</v>
      </c>
      <c r="CJ33" s="16" t="s">
        <v>1537</v>
      </c>
      <c r="CK33" s="186" t="s">
        <v>198</v>
      </c>
      <c r="CL33" s="186" t="s">
        <v>1538</v>
      </c>
      <c r="CO33" s="42" t="s">
        <v>1539</v>
      </c>
      <c r="CP33" s="16" t="s">
        <v>1540</v>
      </c>
      <c r="CQ33" s="16" t="s">
        <v>1498</v>
      </c>
      <c r="CR33" s="16" t="s">
        <v>1541</v>
      </c>
      <c r="CS33" s="186" t="s">
        <v>1542</v>
      </c>
      <c r="CV33" s="16" t="s">
        <v>1543</v>
      </c>
      <c r="CW33" s="186" t="s">
        <v>1474</v>
      </c>
      <c r="CX33" s="16" t="s">
        <v>1544</v>
      </c>
      <c r="CZ33" s="16" t="s">
        <v>1545</v>
      </c>
      <c r="DD33" s="16" t="s">
        <v>1546</v>
      </c>
    </row>
    <row r="34" spans="1:108" s="16" customFormat="1" x14ac:dyDescent="0.3">
      <c r="A34" s="447"/>
      <c r="B34" s="14"/>
      <c r="C34" s="14"/>
      <c r="D34" s="14"/>
      <c r="E34" s="14"/>
      <c r="G34" s="18"/>
      <c r="H34" s="20"/>
      <c r="I34" s="19"/>
      <c r="T34" s="16" t="s">
        <v>1443</v>
      </c>
      <c r="W34" s="16" t="s">
        <v>1441</v>
      </c>
      <c r="Z34" s="16" t="s">
        <v>1515</v>
      </c>
      <c r="AD34" s="16" t="s">
        <v>1547</v>
      </c>
      <c r="AF34" s="16" t="s">
        <v>1548</v>
      </c>
      <c r="AH34" s="42" t="s">
        <v>1549</v>
      </c>
      <c r="AK34" s="195" t="s">
        <v>1550</v>
      </c>
      <c r="AN34" s="16" t="s">
        <v>1551</v>
      </c>
      <c r="AO34" s="210" t="s">
        <v>1552</v>
      </c>
      <c r="AP34" s="16" t="s">
        <v>1553</v>
      </c>
      <c r="AR34" s="16" t="s">
        <v>181</v>
      </c>
      <c r="AT34" s="16" t="s">
        <v>1554</v>
      </c>
      <c r="AV34" s="16" t="s">
        <v>1555</v>
      </c>
      <c r="AW34" s="16" t="s">
        <v>1556</v>
      </c>
      <c r="AY34" s="16" t="s">
        <v>1449</v>
      </c>
      <c r="BA34" s="194" t="s">
        <v>200</v>
      </c>
      <c r="BC34" s="16" t="s">
        <v>1557</v>
      </c>
      <c r="BD34" s="364" t="s">
        <v>1558</v>
      </c>
      <c r="BG34" s="194" t="s">
        <v>1559</v>
      </c>
      <c r="BH34" s="194" t="s">
        <v>1560</v>
      </c>
      <c r="BI34" s="196" t="s">
        <v>1561</v>
      </c>
      <c r="BJ34" s="16" t="s">
        <v>1562</v>
      </c>
      <c r="BK34" s="194" t="s">
        <v>1563</v>
      </c>
      <c r="BM34" s="42" t="s">
        <v>1564</v>
      </c>
      <c r="BO34" s="42" t="s">
        <v>1565</v>
      </c>
      <c r="BR34" s="16" t="s">
        <v>1566</v>
      </c>
      <c r="BT34" s="186" t="s">
        <v>1567</v>
      </c>
      <c r="BW34" s="42" t="s">
        <v>1568</v>
      </c>
      <c r="BX34" s="16" t="s">
        <v>1569</v>
      </c>
      <c r="BY34" s="391" t="s">
        <v>1467</v>
      </c>
      <c r="BZ34" s="394" t="s">
        <v>1570</v>
      </c>
      <c r="CB34" s="16" t="s">
        <v>1571</v>
      </c>
      <c r="CC34" s="16" t="s">
        <v>1572</v>
      </c>
      <c r="CD34" s="16" t="s">
        <v>1573</v>
      </c>
      <c r="CE34" s="16" t="s">
        <v>1574</v>
      </c>
      <c r="CF34" s="16" t="s">
        <v>1575</v>
      </c>
      <c r="CH34" s="16" t="s">
        <v>1540</v>
      </c>
      <c r="CI34" s="392" t="s">
        <v>1576</v>
      </c>
      <c r="CJ34" s="42" t="s">
        <v>1486</v>
      </c>
      <c r="CK34" s="186" t="s">
        <v>1521</v>
      </c>
      <c r="CL34" s="16" t="s">
        <v>1577</v>
      </c>
      <c r="CO34" s="186" t="s">
        <v>1542</v>
      </c>
      <c r="CP34" s="16" t="s">
        <v>1578</v>
      </c>
      <c r="CQ34" s="42" t="s">
        <v>1579</v>
      </c>
      <c r="CR34" s="16" t="s">
        <v>1470</v>
      </c>
      <c r="CS34" s="16" t="s">
        <v>1580</v>
      </c>
      <c r="CX34" s="16" t="s">
        <v>1581</v>
      </c>
    </row>
    <row r="35" spans="1:108" s="16" customFormat="1" x14ac:dyDescent="0.3">
      <c r="A35" s="447"/>
      <c r="B35" s="14"/>
      <c r="C35" s="14"/>
      <c r="D35" s="14"/>
      <c r="E35" s="14"/>
      <c r="G35" s="18"/>
      <c r="H35" s="20"/>
      <c r="I35" s="19"/>
      <c r="T35" s="16" t="s">
        <v>1516</v>
      </c>
      <c r="W35" s="16" t="s">
        <v>1515</v>
      </c>
      <c r="Z35" s="16" t="s">
        <v>1551</v>
      </c>
      <c r="AD35" s="16" t="s">
        <v>1582</v>
      </c>
      <c r="AF35" s="16" t="s">
        <v>1443</v>
      </c>
      <c r="AH35" s="16" t="s">
        <v>1583</v>
      </c>
      <c r="AK35" s="195" t="s">
        <v>1584</v>
      </c>
      <c r="AN35" s="16" t="s">
        <v>1585</v>
      </c>
      <c r="AO35" s="210" t="s">
        <v>1586</v>
      </c>
      <c r="AP35" s="16" t="s">
        <v>1473</v>
      </c>
      <c r="AR35" s="201" t="s">
        <v>1587</v>
      </c>
      <c r="AT35" s="16" t="s">
        <v>1588</v>
      </c>
      <c r="AV35" s="16" t="s">
        <v>1483</v>
      </c>
      <c r="AW35" s="16" t="s">
        <v>1589</v>
      </c>
      <c r="AY35" s="16" t="s">
        <v>1590</v>
      </c>
      <c r="BA35" s="194" t="s">
        <v>379</v>
      </c>
      <c r="BC35" s="175" t="s">
        <v>1591</v>
      </c>
      <c r="BD35" s="364" t="s">
        <v>1592</v>
      </c>
      <c r="BG35" s="16" t="s">
        <v>1593</v>
      </c>
      <c r="BH35" s="16" t="s">
        <v>1588</v>
      </c>
      <c r="BI35" s="42" t="s">
        <v>1587</v>
      </c>
      <c r="BJ35" s="16" t="s">
        <v>1457</v>
      </c>
      <c r="BK35" s="194" t="s">
        <v>1594</v>
      </c>
      <c r="BO35" s="16" t="s">
        <v>1595</v>
      </c>
      <c r="BR35" s="42" t="s">
        <v>1596</v>
      </c>
      <c r="BT35" s="16" t="s">
        <v>1597</v>
      </c>
      <c r="BW35" s="16" t="s">
        <v>1598</v>
      </c>
      <c r="BX35" s="16" t="s">
        <v>1565</v>
      </c>
      <c r="BY35" s="392" t="s">
        <v>1599</v>
      </c>
      <c r="CB35" s="16" t="s">
        <v>1600</v>
      </c>
      <c r="CD35" s="16" t="s">
        <v>1502</v>
      </c>
      <c r="CE35" s="16" t="s">
        <v>1601</v>
      </c>
      <c r="CF35" s="16" t="s">
        <v>1602</v>
      </c>
      <c r="CH35" s="38" t="s">
        <v>1603</v>
      </c>
      <c r="CI35" s="42" t="s">
        <v>1471</v>
      </c>
      <c r="CJ35" s="16" t="s">
        <v>1604</v>
      </c>
      <c r="CL35" s="16" t="s">
        <v>1605</v>
      </c>
      <c r="CO35" s="186" t="s">
        <v>1606</v>
      </c>
      <c r="CP35" s="16" t="s">
        <v>1607</v>
      </c>
      <c r="CR35" s="16" t="s">
        <v>1608</v>
      </c>
      <c r="CS35" s="16" t="s">
        <v>1477</v>
      </c>
    </row>
    <row r="36" spans="1:108" s="16" customFormat="1" x14ac:dyDescent="0.3">
      <c r="A36" s="447"/>
      <c r="B36" s="14"/>
      <c r="C36" s="14"/>
      <c r="D36" s="14"/>
      <c r="E36" s="14"/>
      <c r="G36" s="18"/>
      <c r="H36" s="20"/>
      <c r="I36" s="19"/>
      <c r="T36" s="16" t="s">
        <v>1483</v>
      </c>
      <c r="W36" s="16" t="s">
        <v>1609</v>
      </c>
      <c r="Z36" s="16" t="s">
        <v>1443</v>
      </c>
      <c r="AD36" s="16" t="s">
        <v>1435</v>
      </c>
      <c r="AF36" s="16" t="s">
        <v>1519</v>
      </c>
      <c r="AH36" s="207" t="s">
        <v>1610</v>
      </c>
      <c r="AK36" s="195" t="s">
        <v>1611</v>
      </c>
      <c r="AN36" s="16" t="s">
        <v>1612</v>
      </c>
      <c r="AO36" s="16" t="s">
        <v>1519</v>
      </c>
      <c r="AP36" s="16" t="s">
        <v>1589</v>
      </c>
      <c r="AR36" s="16" t="s">
        <v>1613</v>
      </c>
      <c r="AT36" s="207" t="s">
        <v>1614</v>
      </c>
      <c r="AV36" s="195" t="s">
        <v>1615</v>
      </c>
      <c r="AW36" s="16" t="s">
        <v>1616</v>
      </c>
      <c r="AY36" s="16" t="s">
        <v>1617</v>
      </c>
      <c r="BA36" s="16" t="s">
        <v>88</v>
      </c>
      <c r="BC36" s="175" t="s">
        <v>1618</v>
      </c>
      <c r="BD36" s="364" t="s">
        <v>1446</v>
      </c>
      <c r="BG36" s="16" t="s">
        <v>1619</v>
      </c>
      <c r="BH36" s="16" t="s">
        <v>1591</v>
      </c>
      <c r="BI36" s="42" t="s">
        <v>1527</v>
      </c>
      <c r="BJ36" s="16" t="s">
        <v>1620</v>
      </c>
      <c r="BO36" s="16" t="s">
        <v>1621</v>
      </c>
      <c r="BU36" s="195"/>
      <c r="BX36" s="16" t="s">
        <v>1618</v>
      </c>
      <c r="BY36" s="392" t="s">
        <v>1622</v>
      </c>
      <c r="CB36" s="391" t="s">
        <v>1623</v>
      </c>
      <c r="CE36" s="16" t="s">
        <v>1470</v>
      </c>
      <c r="CF36" s="16" t="s">
        <v>1538</v>
      </c>
      <c r="CH36" s="391" t="s">
        <v>1624</v>
      </c>
      <c r="CI36" s="16" t="s">
        <v>1625</v>
      </c>
      <c r="CJ36" s="185" t="s">
        <v>1626</v>
      </c>
      <c r="CL36" s="38" t="s">
        <v>1627</v>
      </c>
      <c r="CR36" s="16" t="s">
        <v>1628</v>
      </c>
    </row>
    <row r="37" spans="1:108" s="16" customFormat="1" x14ac:dyDescent="0.3">
      <c r="A37" s="447"/>
      <c r="B37" s="14"/>
      <c r="C37" s="14"/>
      <c r="D37" s="14"/>
      <c r="E37" s="14"/>
      <c r="G37" s="18"/>
      <c r="H37" s="20"/>
      <c r="I37" s="19"/>
      <c r="T37" s="38" t="s">
        <v>1629</v>
      </c>
      <c r="AD37" s="16" t="s">
        <v>1630</v>
      </c>
      <c r="AF37" s="16" t="s">
        <v>1631</v>
      </c>
      <c r="AH37" s="42" t="s">
        <v>1632</v>
      </c>
      <c r="AK37" s="16" t="s">
        <v>1435</v>
      </c>
      <c r="AN37" s="38" t="s">
        <v>1483</v>
      </c>
      <c r="AO37" s="16" t="s">
        <v>1485</v>
      </c>
      <c r="AR37" s="16" t="s">
        <v>1583</v>
      </c>
      <c r="AT37" s="16" t="s">
        <v>1633</v>
      </c>
      <c r="AW37" s="207" t="s">
        <v>1517</v>
      </c>
      <c r="AY37" s="16" t="s">
        <v>1634</v>
      </c>
      <c r="BA37" s="16" t="s">
        <v>1588</v>
      </c>
      <c r="BC37" s="175" t="s">
        <v>1562</v>
      </c>
      <c r="BG37" s="16" t="s">
        <v>1635</v>
      </c>
      <c r="BH37" s="16" t="s">
        <v>1636</v>
      </c>
      <c r="BI37" s="16" t="s">
        <v>1565</v>
      </c>
      <c r="BM37" s="194" t="s">
        <v>1587</v>
      </c>
      <c r="BY37" s="391" t="s">
        <v>1637</v>
      </c>
      <c r="CE37" s="16" t="s">
        <v>1477</v>
      </c>
      <c r="CF37" s="16" t="s">
        <v>1605</v>
      </c>
      <c r="CH37" s="42" t="s">
        <v>1555</v>
      </c>
      <c r="CK37" s="18"/>
      <c r="CL37" s="16" t="s">
        <v>1638</v>
      </c>
      <c r="CM37" s="19"/>
    </row>
    <row r="38" spans="1:108" s="16" customFormat="1" x14ac:dyDescent="0.3">
      <c r="A38" s="447"/>
      <c r="B38" s="14"/>
      <c r="C38" s="14"/>
      <c r="D38" s="14"/>
      <c r="E38" s="14"/>
      <c r="G38" s="18"/>
      <c r="H38" s="20"/>
      <c r="I38" s="19"/>
      <c r="T38" s="16" t="s">
        <v>1639</v>
      </c>
      <c r="Z38" s="16" t="s">
        <v>1591</v>
      </c>
      <c r="AD38" s="16" t="s">
        <v>1640</v>
      </c>
      <c r="AF38" s="16" t="s">
        <v>1641</v>
      </c>
      <c r="AH38" s="207" t="s">
        <v>1642</v>
      </c>
      <c r="AK38" s="16" t="s">
        <v>1643</v>
      </c>
      <c r="AO38" s="16" t="s">
        <v>1644</v>
      </c>
      <c r="AR38" s="42" t="s">
        <v>1645</v>
      </c>
      <c r="AT38" s="16" t="s">
        <v>1646</v>
      </c>
      <c r="AY38" s="16" t="s">
        <v>1436</v>
      </c>
      <c r="BA38" s="16" t="s">
        <v>1647</v>
      </c>
      <c r="BC38" s="358" t="s">
        <v>1648</v>
      </c>
      <c r="BG38" s="16" t="s">
        <v>1465</v>
      </c>
      <c r="BH38" s="16" t="s">
        <v>1649</v>
      </c>
      <c r="BI38" s="16" t="s">
        <v>1470</v>
      </c>
      <c r="BY38" s="391" t="s">
        <v>1503</v>
      </c>
      <c r="CE38" s="16" t="s">
        <v>1503</v>
      </c>
      <c r="CF38" s="16" t="s">
        <v>1627</v>
      </c>
      <c r="CK38" s="18"/>
      <c r="CL38" s="16" t="s">
        <v>1650</v>
      </c>
      <c r="CM38" s="19"/>
    </row>
    <row r="39" spans="1:108" s="16" customFormat="1" x14ac:dyDescent="0.3">
      <c r="A39" s="447"/>
      <c r="B39" s="14"/>
      <c r="C39" s="14"/>
      <c r="D39" s="14"/>
      <c r="E39" s="14"/>
      <c r="G39" s="18"/>
      <c r="H39" s="20"/>
      <c r="I39" s="19"/>
      <c r="AH39" s="16" t="s">
        <v>1618</v>
      </c>
      <c r="AO39" s="38" t="s">
        <v>1449</v>
      </c>
      <c r="AR39" s="38" t="s">
        <v>1651</v>
      </c>
      <c r="AT39" s="38" t="s">
        <v>1618</v>
      </c>
      <c r="AY39" s="316" t="s">
        <v>1652</v>
      </c>
      <c r="BA39" s="42" t="s">
        <v>1527</v>
      </c>
      <c r="BC39" s="175"/>
      <c r="BG39" s="16" t="s">
        <v>1555</v>
      </c>
      <c r="BH39" s="16" t="s">
        <v>1435</v>
      </c>
      <c r="BY39" s="392" t="s">
        <v>1477</v>
      </c>
      <c r="CE39" s="186"/>
      <c r="CF39" s="16" t="s">
        <v>1638</v>
      </c>
      <c r="CK39" s="18"/>
      <c r="CL39" s="186" t="s">
        <v>1495</v>
      </c>
      <c r="CM39" s="19"/>
    </row>
    <row r="40" spans="1:108" s="38" customFormat="1" x14ac:dyDescent="0.3">
      <c r="A40" s="447"/>
      <c r="B40" s="37"/>
      <c r="C40" s="37"/>
      <c r="D40" s="37"/>
      <c r="E40" s="37"/>
      <c r="G40" s="39"/>
      <c r="H40" s="20"/>
      <c r="I40" s="40"/>
      <c r="AR40" s="267" t="s">
        <v>1653</v>
      </c>
      <c r="BA40" s="38" t="s">
        <v>1654</v>
      </c>
      <c r="BC40" s="175" t="s">
        <v>1655</v>
      </c>
      <c r="BG40" s="16" t="s">
        <v>1656</v>
      </c>
      <c r="BH40" s="207" t="s">
        <v>1657</v>
      </c>
      <c r="BM40" s="373"/>
      <c r="BY40" s="16" t="s">
        <v>1658</v>
      </c>
      <c r="CC40" s="42"/>
      <c r="CF40" s="38" t="s">
        <v>1650</v>
      </c>
      <c r="CK40" s="39"/>
      <c r="CL40" s="16"/>
      <c r="CM40" s="40"/>
    </row>
    <row r="41" spans="1:108" s="38" customFormat="1" x14ac:dyDescent="0.3">
      <c r="A41" s="447"/>
      <c r="B41" s="37"/>
      <c r="C41" s="37"/>
      <c r="D41" s="37"/>
      <c r="E41" s="37"/>
      <c r="G41" s="39"/>
      <c r="H41" s="20"/>
      <c r="I41" s="40"/>
      <c r="AR41" s="267"/>
      <c r="BG41" s="38" t="s">
        <v>1659</v>
      </c>
      <c r="CF41" s="207" t="s">
        <v>1603</v>
      </c>
      <c r="CL41" s="418"/>
    </row>
    <row r="42" spans="1:108" s="38" customFormat="1" x14ac:dyDescent="0.3">
      <c r="A42" s="447"/>
      <c r="B42" s="37"/>
      <c r="C42" s="37"/>
      <c r="D42" s="37"/>
      <c r="E42" s="37"/>
      <c r="G42" s="39"/>
      <c r="H42" s="20"/>
      <c r="I42" s="40"/>
      <c r="AR42" s="267"/>
    </row>
    <row r="43" spans="1:108" s="16" customFormat="1" x14ac:dyDescent="0.3">
      <c r="A43" s="448"/>
    </row>
  </sheetData>
  <mergeCells count="3">
    <mergeCell ref="A19:A30"/>
    <mergeCell ref="A31:A43"/>
    <mergeCell ref="A4:A18"/>
  </mergeCells>
  <phoneticPr fontId="2" type="noConversion"/>
  <conditionalFormatting sqref="A3:XFD3">
    <cfRule type="timePeriod" dxfId="0" priority="1" timePeriod="today">
      <formula>FLOOR(A3,1)=TODAY()</formula>
    </cfRule>
  </conditionalFormatting>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7DAB9-52FC-4582-8087-23E3BC2038D9}">
  <dimension ref="A1:Q32"/>
  <sheetViews>
    <sheetView workbookViewId="0">
      <selection activeCell="E40" sqref="E40"/>
    </sheetView>
  </sheetViews>
  <sheetFormatPr defaultColWidth="9" defaultRowHeight="15.6" x14ac:dyDescent="0.3"/>
  <cols>
    <col min="1" max="1" width="18.5546875" customWidth="1"/>
    <col min="2" max="2" width="11.109375" customWidth="1"/>
    <col min="3" max="3" width="12.88671875" customWidth="1"/>
    <col min="4" max="4" width="10" customWidth="1"/>
    <col min="5" max="5" width="26" style="272" customWidth="1"/>
    <col min="6" max="6" width="2.44140625" customWidth="1"/>
    <col min="7" max="7" width="22.109375" customWidth="1"/>
    <col min="8" max="8" width="12.109375" customWidth="1"/>
    <col min="9" max="9" width="12.88671875" customWidth="1"/>
    <col min="10" max="10" width="10.88671875" customWidth="1"/>
    <col min="11" max="11" width="25.88671875" style="272" customWidth="1"/>
    <col min="12" max="12" width="3.5546875" customWidth="1"/>
    <col min="13" max="13" width="22.88671875" customWidth="1"/>
    <col min="14" max="14" width="11.44140625" customWidth="1"/>
    <col min="15" max="15" width="12.88671875" customWidth="1"/>
    <col min="16" max="16" width="11.88671875" customWidth="1"/>
    <col min="17" max="17" width="25" customWidth="1"/>
  </cols>
  <sheetData>
    <row r="1" spans="1:17" ht="9" customHeight="1" x14ac:dyDescent="0.3"/>
    <row r="2" spans="1:17" x14ac:dyDescent="0.3">
      <c r="A2" s="455" t="s">
        <v>1660</v>
      </c>
      <c r="B2" s="456"/>
      <c r="C2" s="456"/>
      <c r="D2" s="456"/>
      <c r="E2" s="457"/>
      <c r="G2" s="455" t="s">
        <v>1661</v>
      </c>
      <c r="H2" s="456"/>
      <c r="I2" s="456"/>
      <c r="J2" s="456"/>
      <c r="K2" s="457"/>
      <c r="M2" s="455" t="s">
        <v>1662</v>
      </c>
      <c r="N2" s="456"/>
      <c r="O2" s="456"/>
      <c r="P2" s="456"/>
      <c r="Q2" s="457"/>
    </row>
    <row r="3" spans="1:17" s="334" customFormat="1" ht="47.25" customHeight="1" x14ac:dyDescent="0.3">
      <c r="A3" s="321" t="s">
        <v>1663</v>
      </c>
      <c r="B3" s="321" t="s">
        <v>1664</v>
      </c>
      <c r="C3" s="321" t="s">
        <v>1665</v>
      </c>
      <c r="D3" s="321" t="s">
        <v>1666</v>
      </c>
      <c r="E3" s="321" t="s">
        <v>1667</v>
      </c>
      <c r="G3" s="321" t="s">
        <v>1663</v>
      </c>
      <c r="H3" s="321" t="s">
        <v>1664</v>
      </c>
      <c r="I3" s="321" t="s">
        <v>1665</v>
      </c>
      <c r="J3" s="321" t="s">
        <v>1666</v>
      </c>
      <c r="K3" s="321" t="s">
        <v>1667</v>
      </c>
      <c r="M3" s="321" t="s">
        <v>1663</v>
      </c>
      <c r="N3" s="321" t="s">
        <v>1664</v>
      </c>
      <c r="O3" s="321" t="s">
        <v>1665</v>
      </c>
      <c r="P3" s="321" t="s">
        <v>1666</v>
      </c>
      <c r="Q3" s="321" t="s">
        <v>1667</v>
      </c>
    </row>
    <row r="4" spans="1:17" hidden="1" x14ac:dyDescent="0.3">
      <c r="A4" s="379"/>
      <c r="B4" s="380"/>
      <c r="C4" s="381"/>
      <c r="D4" s="380"/>
      <c r="E4" s="382"/>
      <c r="I4" s="383"/>
      <c r="J4" s="366"/>
      <c r="K4" s="362"/>
      <c r="N4" s="398"/>
      <c r="O4" s="383"/>
      <c r="P4" s="366"/>
      <c r="Q4" s="362"/>
    </row>
    <row r="5" spans="1:17" hidden="1" x14ac:dyDescent="0.3">
      <c r="A5" s="325"/>
      <c r="B5" s="360"/>
      <c r="C5" s="361"/>
      <c r="D5" s="360"/>
      <c r="E5" s="359"/>
      <c r="I5" s="383"/>
      <c r="J5" s="366"/>
      <c r="K5" s="327"/>
      <c r="N5" s="330"/>
      <c r="O5" s="333"/>
      <c r="P5" s="332"/>
      <c r="Q5" s="363"/>
    </row>
    <row r="6" spans="1:17" hidden="1" x14ac:dyDescent="0.3">
      <c r="A6" s="326"/>
      <c r="B6" s="332"/>
      <c r="C6" s="333"/>
      <c r="D6" s="332"/>
      <c r="E6" s="326"/>
      <c r="G6" s="421"/>
      <c r="H6" s="384"/>
      <c r="I6" s="385"/>
      <c r="J6" s="386"/>
      <c r="K6" s="366"/>
      <c r="M6" s="323"/>
      <c r="N6" s="330"/>
      <c r="O6" s="333"/>
      <c r="P6" s="332"/>
      <c r="Q6" s="327"/>
    </row>
    <row r="7" spans="1:17" hidden="1" x14ac:dyDescent="0.3">
      <c r="A7" s="175"/>
      <c r="B7" s="175"/>
      <c r="C7" s="175"/>
      <c r="D7" s="175"/>
      <c r="E7" s="378"/>
      <c r="G7" s="378"/>
      <c r="H7" s="366"/>
      <c r="I7" s="175"/>
      <c r="J7" s="175"/>
      <c r="K7" s="327"/>
      <c r="M7" s="322"/>
      <c r="N7" s="330"/>
      <c r="O7" s="327"/>
      <c r="P7" s="332"/>
      <c r="Q7" s="327"/>
    </row>
    <row r="8" spans="1:17" hidden="1" x14ac:dyDescent="0.3">
      <c r="A8" s="175"/>
      <c r="B8" s="332"/>
      <c r="C8" s="327"/>
      <c r="D8" s="332"/>
      <c r="E8" s="326"/>
      <c r="G8" s="378"/>
      <c r="H8" s="366"/>
      <c r="I8" s="175"/>
      <c r="J8" s="175"/>
      <c r="K8" s="327"/>
      <c r="M8" s="325"/>
      <c r="N8" s="332"/>
      <c r="O8" s="327"/>
      <c r="P8" s="332"/>
      <c r="Q8" s="327"/>
    </row>
    <row r="9" spans="1:17" hidden="1" x14ac:dyDescent="0.3">
      <c r="A9" s="325"/>
      <c r="B9" s="332"/>
      <c r="C9" s="327"/>
      <c r="D9" s="332"/>
      <c r="E9" s="326"/>
      <c r="G9" s="326"/>
      <c r="H9" s="332"/>
      <c r="I9" s="327"/>
      <c r="J9" s="332"/>
      <c r="K9" s="327"/>
      <c r="M9" s="324"/>
      <c r="N9" s="331"/>
      <c r="O9" s="329"/>
      <c r="P9" s="331"/>
      <c r="Q9" s="329"/>
    </row>
    <row r="10" spans="1:17" hidden="1" x14ac:dyDescent="0.3">
      <c r="A10" s="325"/>
      <c r="B10" s="332"/>
      <c r="C10" s="327"/>
      <c r="D10" s="332"/>
      <c r="E10" s="326"/>
      <c r="G10" s="326"/>
      <c r="H10" s="332"/>
      <c r="I10" s="327"/>
      <c r="J10" s="332"/>
      <c r="K10" s="327"/>
      <c r="M10" s="322"/>
      <c r="N10" s="330"/>
      <c r="O10" s="328"/>
      <c r="P10" s="330"/>
      <c r="Q10" s="328"/>
    </row>
    <row r="11" spans="1:17" hidden="1" x14ac:dyDescent="0.3">
      <c r="A11" s="376"/>
      <c r="B11" s="331"/>
      <c r="C11" s="329"/>
      <c r="D11" s="331"/>
      <c r="E11" s="377"/>
      <c r="G11" s="327"/>
      <c r="H11" s="332"/>
      <c r="I11" s="327"/>
      <c r="J11" s="332"/>
      <c r="K11" s="327"/>
      <c r="M11" s="324"/>
      <c r="N11" s="331"/>
      <c r="O11" s="329"/>
      <c r="P11" s="331"/>
      <c r="Q11" s="329"/>
    </row>
    <row r="12" spans="1:17" hidden="1" x14ac:dyDescent="0.3">
      <c r="A12" s="374"/>
      <c r="B12" s="330"/>
      <c r="C12" s="328"/>
      <c r="D12" s="330"/>
      <c r="E12" s="375"/>
      <c r="G12" s="327"/>
      <c r="H12" s="332"/>
      <c r="I12" s="327"/>
      <c r="J12" s="332"/>
      <c r="K12" s="327"/>
      <c r="M12" s="322"/>
      <c r="N12" s="330"/>
      <c r="O12" s="328"/>
      <c r="P12" s="330"/>
      <c r="Q12" s="328"/>
    </row>
    <row r="13" spans="1:17" hidden="1" x14ac:dyDescent="0.3">
      <c r="A13" s="452" t="s">
        <v>1668</v>
      </c>
      <c r="B13" s="453"/>
      <c r="C13" s="453"/>
      <c r="D13" s="453"/>
      <c r="E13" s="454"/>
      <c r="G13" s="452" t="s">
        <v>1668</v>
      </c>
      <c r="H13" s="453"/>
      <c r="I13" s="453"/>
      <c r="J13" s="453"/>
      <c r="K13" s="454"/>
      <c r="M13" s="449" t="s">
        <v>1668</v>
      </c>
      <c r="N13" s="450"/>
      <c r="O13" s="450"/>
      <c r="P13" s="450"/>
      <c r="Q13" s="451"/>
    </row>
    <row r="14" spans="1:17" x14ac:dyDescent="0.3">
      <c r="A14" s="325" t="s">
        <v>1439</v>
      </c>
      <c r="B14" s="327">
        <v>52.3</v>
      </c>
      <c r="C14" s="385"/>
      <c r="D14" s="420"/>
      <c r="E14" s="421"/>
      <c r="G14" s="378" t="s">
        <v>1339</v>
      </c>
      <c r="H14" s="366">
        <v>1.93</v>
      </c>
      <c r="I14" s="327"/>
      <c r="J14" s="327"/>
      <c r="K14" s="327"/>
      <c r="M14" s="175" t="s">
        <v>1669</v>
      </c>
      <c r="N14" s="366">
        <v>32.770000000000003</v>
      </c>
      <c r="O14" s="385"/>
      <c r="P14" s="420"/>
      <c r="Q14" s="420"/>
    </row>
    <row r="15" spans="1:17" x14ac:dyDescent="0.3">
      <c r="A15" s="325" t="s">
        <v>1618</v>
      </c>
      <c r="B15" s="327">
        <v>5.35</v>
      </c>
      <c r="C15" s="420"/>
      <c r="D15" s="420"/>
      <c r="E15" s="421"/>
      <c r="G15" s="378" t="s">
        <v>1352</v>
      </c>
      <c r="H15" s="366">
        <v>9.5500000000000007</v>
      </c>
      <c r="I15" s="327"/>
      <c r="J15" s="327"/>
      <c r="K15" s="327"/>
      <c r="M15" s="422" t="s">
        <v>1072</v>
      </c>
      <c r="N15" s="427">
        <v>7.9329999999999998</v>
      </c>
      <c r="O15" s="428"/>
      <c r="P15" s="420"/>
      <c r="Q15" s="420"/>
    </row>
    <row r="16" spans="1:17" x14ac:dyDescent="0.3">
      <c r="A16" s="175" t="s">
        <v>1670</v>
      </c>
      <c r="B16" s="327">
        <v>4.8099999999999996</v>
      </c>
      <c r="C16" s="327"/>
      <c r="D16" s="327"/>
      <c r="E16" s="326"/>
      <c r="G16" s="326" t="s">
        <v>1340</v>
      </c>
      <c r="H16" s="327">
        <v>1.29</v>
      </c>
      <c r="I16" s="327"/>
      <c r="J16" s="327"/>
      <c r="K16" s="327"/>
      <c r="M16" s="325" t="s">
        <v>1131</v>
      </c>
      <c r="N16" s="327">
        <v>6.58</v>
      </c>
      <c r="O16" s="333"/>
      <c r="P16" s="424"/>
      <c r="Q16" s="327"/>
    </row>
    <row r="17" spans="1:17" x14ac:dyDescent="0.3">
      <c r="A17" s="325" t="s">
        <v>1533</v>
      </c>
      <c r="B17" s="327">
        <v>0.46</v>
      </c>
      <c r="C17" s="327"/>
      <c r="D17" s="327"/>
      <c r="E17" s="326"/>
      <c r="G17" s="326"/>
      <c r="H17" s="327"/>
      <c r="I17" s="327"/>
      <c r="J17" s="327"/>
      <c r="K17" s="327"/>
      <c r="M17" s="175" t="s">
        <v>1671</v>
      </c>
      <c r="N17" s="327">
        <v>7.06</v>
      </c>
      <c r="O17" s="333"/>
      <c r="P17" s="424"/>
      <c r="Q17" s="327"/>
    </row>
    <row r="18" spans="1:17" x14ac:dyDescent="0.3">
      <c r="A18" s="325" t="s">
        <v>1672</v>
      </c>
      <c r="B18" s="366"/>
      <c r="C18" s="327"/>
      <c r="D18" s="327"/>
      <c r="E18" s="326"/>
      <c r="G18" s="175"/>
      <c r="H18" s="327"/>
      <c r="I18" s="327"/>
      <c r="J18" s="327"/>
      <c r="K18" s="327"/>
      <c r="M18" s="325" t="s">
        <v>1171</v>
      </c>
      <c r="N18" s="327">
        <v>17.96</v>
      </c>
      <c r="O18" s="333"/>
      <c r="P18" s="424"/>
      <c r="Q18" s="327"/>
    </row>
    <row r="19" spans="1:17" x14ac:dyDescent="0.3">
      <c r="A19" s="325" t="s">
        <v>1572</v>
      </c>
      <c r="B19" s="327">
        <v>24.41</v>
      </c>
      <c r="C19" s="327"/>
      <c r="D19" s="327"/>
      <c r="E19" s="326"/>
      <c r="G19" s="326"/>
      <c r="H19" s="327"/>
      <c r="I19" s="327"/>
      <c r="J19" s="327"/>
      <c r="K19" s="327"/>
      <c r="M19" s="325" t="s">
        <v>1221</v>
      </c>
      <c r="N19" s="327">
        <v>2.6</v>
      </c>
      <c r="O19" s="327"/>
      <c r="P19" s="425"/>
      <c r="Q19" s="423"/>
    </row>
    <row r="20" spans="1:17" x14ac:dyDescent="0.3">
      <c r="A20" s="325" t="s">
        <v>1673</v>
      </c>
      <c r="B20" s="327">
        <v>0.43</v>
      </c>
      <c r="C20" s="327"/>
      <c r="D20" s="327"/>
      <c r="E20" s="326"/>
      <c r="G20" s="327"/>
      <c r="H20" s="327"/>
      <c r="I20" s="327"/>
      <c r="J20" s="327"/>
      <c r="K20" s="327"/>
      <c r="M20" s="325" t="s">
        <v>1674</v>
      </c>
      <c r="N20" s="327">
        <v>34.159999999999997</v>
      </c>
      <c r="O20" s="327"/>
      <c r="P20" s="424"/>
      <c r="Q20" s="327"/>
    </row>
    <row r="21" spans="1:17" x14ac:dyDescent="0.3">
      <c r="A21" s="175" t="s">
        <v>1442</v>
      </c>
      <c r="B21" s="366">
        <v>15.63</v>
      </c>
      <c r="C21" s="327"/>
      <c r="D21" s="327"/>
      <c r="E21" s="326"/>
      <c r="G21" s="327"/>
      <c r="H21" s="327"/>
      <c r="I21" s="327"/>
      <c r="J21" s="327"/>
      <c r="K21" s="327"/>
      <c r="M21" s="175" t="s">
        <v>1675</v>
      </c>
      <c r="N21" s="366">
        <v>32.630000000000003</v>
      </c>
      <c r="O21" s="327"/>
      <c r="P21" s="424"/>
      <c r="Q21" s="327"/>
    </row>
    <row r="22" spans="1:17" x14ac:dyDescent="0.3">
      <c r="A22" s="175" t="s">
        <v>1516</v>
      </c>
      <c r="B22" s="366">
        <v>5.21</v>
      </c>
      <c r="C22" s="327"/>
      <c r="D22" s="327"/>
      <c r="E22" s="326"/>
      <c r="G22" s="327"/>
      <c r="H22" s="327"/>
      <c r="I22" s="327"/>
      <c r="J22" s="327"/>
      <c r="K22" s="327"/>
      <c r="M22" s="175" t="s">
        <v>1229</v>
      </c>
      <c r="N22" s="366">
        <v>4.7699999999999996</v>
      </c>
      <c r="O22" s="327"/>
      <c r="P22" s="424"/>
      <c r="Q22" s="327"/>
    </row>
    <row r="23" spans="1:17" x14ac:dyDescent="0.3">
      <c r="A23" s="175" t="s">
        <v>1468</v>
      </c>
      <c r="B23" s="366">
        <v>47.05</v>
      </c>
      <c r="C23" s="327"/>
      <c r="D23" s="327"/>
      <c r="E23" s="326"/>
      <c r="G23" s="327"/>
      <c r="H23" s="327"/>
      <c r="I23" s="327"/>
      <c r="J23" s="327"/>
      <c r="K23" s="327"/>
      <c r="M23" s="175" t="s">
        <v>1676</v>
      </c>
      <c r="N23" s="366">
        <v>0.85</v>
      </c>
      <c r="O23" s="327"/>
      <c r="P23" s="424"/>
      <c r="Q23" s="327"/>
    </row>
    <row r="24" spans="1:17" x14ac:dyDescent="0.3">
      <c r="A24" s="175" t="s">
        <v>1677</v>
      </c>
      <c r="B24" s="366"/>
      <c r="C24" s="366"/>
      <c r="D24" s="366"/>
      <c r="E24" s="378"/>
      <c r="G24" s="366"/>
      <c r="H24" s="366"/>
      <c r="I24" s="366"/>
      <c r="J24" s="366"/>
      <c r="K24" s="366"/>
      <c r="M24" s="325" t="s">
        <v>1064</v>
      </c>
      <c r="N24" s="327">
        <v>0.68</v>
      </c>
      <c r="O24" s="175"/>
      <c r="P24" s="426"/>
      <c r="Q24" s="175"/>
    </row>
    <row r="25" spans="1:17" x14ac:dyDescent="0.3">
      <c r="A25" s="175" t="s">
        <v>1678</v>
      </c>
      <c r="B25" s="366">
        <v>7.85</v>
      </c>
      <c r="C25" s="366"/>
      <c r="D25" s="366"/>
      <c r="E25" s="378"/>
      <c r="G25" s="366"/>
      <c r="H25" s="366"/>
      <c r="I25" s="366"/>
      <c r="J25" s="366"/>
      <c r="K25" s="366"/>
      <c r="M25" s="175"/>
      <c r="N25" s="175"/>
      <c r="O25" s="175"/>
      <c r="P25" s="426"/>
      <c r="Q25" s="175"/>
    </row>
    <row r="26" spans="1:17" x14ac:dyDescent="0.3">
      <c r="C26" s="366"/>
      <c r="D26" s="366"/>
      <c r="E26" s="378"/>
      <c r="G26" s="366"/>
      <c r="H26" s="366"/>
      <c r="I26" s="366"/>
      <c r="J26" s="366"/>
      <c r="K26" s="366"/>
      <c r="M26" s="175"/>
      <c r="N26" s="175"/>
      <c r="O26" s="175"/>
      <c r="P26" s="426"/>
      <c r="Q26" s="175"/>
    </row>
    <row r="27" spans="1:17" x14ac:dyDescent="0.3">
      <c r="A27" s="175"/>
      <c r="B27" s="366"/>
      <c r="C27" s="366"/>
      <c r="D27" s="366"/>
      <c r="E27" s="378"/>
      <c r="G27" s="366"/>
      <c r="H27" s="366"/>
      <c r="I27" s="366"/>
      <c r="J27" s="366"/>
      <c r="K27" s="366"/>
      <c r="M27" s="175"/>
      <c r="N27" s="175"/>
      <c r="O27" s="175"/>
      <c r="P27" s="426"/>
      <c r="Q27" s="175"/>
    </row>
    <row r="28" spans="1:17" x14ac:dyDescent="0.3">
      <c r="A28" s="175"/>
      <c r="B28" s="366"/>
      <c r="C28" s="366"/>
      <c r="D28" s="366"/>
      <c r="E28" s="378"/>
      <c r="G28" s="366"/>
      <c r="H28" s="366"/>
      <c r="I28" s="366"/>
      <c r="J28" s="366"/>
      <c r="K28" s="366"/>
      <c r="M28" s="175"/>
      <c r="N28" s="175"/>
      <c r="O28" s="175"/>
      <c r="P28" s="426"/>
      <c r="Q28" s="175"/>
    </row>
    <row r="29" spans="1:17" x14ac:dyDescent="0.3">
      <c r="A29" s="175"/>
      <c r="B29" s="366"/>
      <c r="C29" s="366"/>
      <c r="D29" s="366"/>
      <c r="E29" s="378"/>
      <c r="G29" s="366"/>
      <c r="H29" s="366"/>
      <c r="I29" s="366"/>
      <c r="J29" s="366"/>
      <c r="K29" s="366"/>
      <c r="M29" s="175"/>
      <c r="N29" s="175"/>
      <c r="O29" s="175"/>
      <c r="P29" s="426"/>
      <c r="Q29" s="175"/>
    </row>
    <row r="30" spans="1:17" x14ac:dyDescent="0.3">
      <c r="A30" s="175"/>
      <c r="B30" s="366"/>
      <c r="C30" s="366"/>
      <c r="D30" s="366"/>
      <c r="E30" s="378"/>
      <c r="G30" s="175"/>
      <c r="H30" s="366"/>
      <c r="I30" s="366"/>
      <c r="J30" s="366"/>
      <c r="K30" s="378"/>
      <c r="M30" s="429"/>
      <c r="N30" s="430"/>
      <c r="O30" s="429"/>
      <c r="P30" s="175"/>
      <c r="Q30" s="175"/>
    </row>
    <row r="31" spans="1:17" x14ac:dyDescent="0.3">
      <c r="A31" s="175"/>
      <c r="B31" s="366"/>
      <c r="C31" s="366"/>
      <c r="D31" s="366"/>
      <c r="E31" s="378"/>
      <c r="G31" s="175"/>
      <c r="H31" s="366"/>
      <c r="I31" s="366"/>
      <c r="J31" s="366"/>
      <c r="K31" s="378"/>
      <c r="M31" s="175"/>
      <c r="N31" s="366"/>
      <c r="O31" s="175"/>
      <c r="P31" s="175"/>
      <c r="Q31" s="175"/>
    </row>
    <row r="32" spans="1:17" x14ac:dyDescent="0.3">
      <c r="A32" s="175"/>
      <c r="B32" s="366"/>
      <c r="C32" s="366"/>
      <c r="D32" s="366"/>
      <c r="E32" s="378"/>
      <c r="G32" s="175"/>
      <c r="H32" s="366"/>
      <c r="I32" s="366"/>
      <c r="J32" s="366"/>
      <c r="K32" s="378"/>
      <c r="M32" s="175"/>
      <c r="N32" s="366"/>
      <c r="O32" s="175"/>
      <c r="P32" s="175"/>
      <c r="Q32" s="175"/>
    </row>
  </sheetData>
  <mergeCells count="6">
    <mergeCell ref="M13:Q13"/>
    <mergeCell ref="G13:K13"/>
    <mergeCell ref="A13:E13"/>
    <mergeCell ref="M2:Q2"/>
    <mergeCell ref="G2:K2"/>
    <mergeCell ref="A2: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4455B-CBCE-43F8-9FC7-42E5881A9E73}">
  <sheetPr codeName="Sheet4"/>
  <dimension ref="A1"/>
  <sheetViews>
    <sheetView zoomScale="79" zoomScaleNormal="100" workbookViewId="0">
      <selection activeCell="AS5" sqref="AS5"/>
    </sheetView>
  </sheetViews>
  <sheetFormatPr defaultColWidth="9" defaultRowHeight="15.6" x14ac:dyDescent="0.3"/>
  <cols>
    <col min="1" max="16384" width="9" style="3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70A40-B04D-4829-A918-41AFA944A2C2}">
  <sheetPr codeName="Sheet6"/>
  <dimension ref="A1:AH41"/>
  <sheetViews>
    <sheetView zoomScale="93" zoomScaleNormal="100" workbookViewId="0">
      <selection activeCell="O6" sqref="O6"/>
    </sheetView>
  </sheetViews>
  <sheetFormatPr defaultColWidth="9" defaultRowHeight="13.8" x14ac:dyDescent="0.3"/>
  <cols>
    <col min="1" max="1" width="2.44140625" style="239" customWidth="1"/>
    <col min="2" max="10" width="9.109375" style="230"/>
    <col min="11" max="11" width="13.109375" style="230" customWidth="1"/>
    <col min="12" max="12" width="9.109375" style="230"/>
    <col min="13" max="13" width="3.44140625" style="230" customWidth="1"/>
    <col min="14" max="14" width="14.44140625" style="233" customWidth="1"/>
    <col min="15" max="15" width="7.44140625" style="231" customWidth="1"/>
    <col min="16" max="16" width="8.5546875" style="231" customWidth="1"/>
    <col min="17" max="17" width="5.88671875" style="232" customWidth="1"/>
    <col min="18" max="29" width="9.109375" style="230"/>
    <col min="30" max="30" width="3.88671875" style="230" customWidth="1"/>
    <col min="31" max="31" width="12" style="230" customWidth="1"/>
    <col min="32" max="253" width="9.109375" style="230"/>
    <col min="254" max="254" width="12.109375" style="230" customWidth="1"/>
    <col min="255" max="255" width="7.44140625" style="230" customWidth="1"/>
    <col min="256" max="256" width="7.109375" style="230" customWidth="1"/>
    <col min="257" max="257" width="5.88671875" style="230" customWidth="1"/>
    <col min="258" max="266" width="9.109375" style="230"/>
    <col min="267" max="267" width="13.109375" style="230" customWidth="1"/>
    <col min="268" max="509" width="9.109375" style="230"/>
    <col min="510" max="510" width="12.109375" style="230" customWidth="1"/>
    <col min="511" max="511" width="7.44140625" style="230" customWidth="1"/>
    <col min="512" max="512" width="7.109375" style="230" customWidth="1"/>
    <col min="513" max="513" width="5.88671875" style="230" customWidth="1"/>
    <col min="514" max="522" width="9.109375" style="230"/>
    <col min="523" max="523" width="13.109375" style="230" customWidth="1"/>
    <col min="524" max="765" width="9.109375" style="230"/>
    <col min="766" max="766" width="12.109375" style="230" customWidth="1"/>
    <col min="767" max="767" width="7.44140625" style="230" customWidth="1"/>
    <col min="768" max="768" width="7.109375" style="230" customWidth="1"/>
    <col min="769" max="769" width="5.88671875" style="230" customWidth="1"/>
    <col min="770" max="778" width="9.109375" style="230"/>
    <col min="779" max="779" width="13.109375" style="230" customWidth="1"/>
    <col min="780" max="1021" width="9.109375" style="230"/>
    <col min="1022" max="1022" width="12.109375" style="230" customWidth="1"/>
    <col min="1023" max="1023" width="7.44140625" style="230" customWidth="1"/>
    <col min="1024" max="1024" width="7.109375" style="230" customWidth="1"/>
    <col min="1025" max="1025" width="5.88671875" style="230" customWidth="1"/>
    <col min="1026" max="1034" width="9.109375" style="230"/>
    <col min="1035" max="1035" width="13.109375" style="230" customWidth="1"/>
    <col min="1036" max="1277" width="9.109375" style="230"/>
    <col min="1278" max="1278" width="12.109375" style="230" customWidth="1"/>
    <col min="1279" max="1279" width="7.44140625" style="230" customWidth="1"/>
    <col min="1280" max="1280" width="7.109375" style="230" customWidth="1"/>
    <col min="1281" max="1281" width="5.88671875" style="230" customWidth="1"/>
    <col min="1282" max="1290" width="9.109375" style="230"/>
    <col min="1291" max="1291" width="13.109375" style="230" customWidth="1"/>
    <col min="1292" max="1533" width="9.109375" style="230"/>
    <col min="1534" max="1534" width="12.109375" style="230" customWidth="1"/>
    <col min="1535" max="1535" width="7.44140625" style="230" customWidth="1"/>
    <col min="1536" max="1536" width="7.109375" style="230" customWidth="1"/>
    <col min="1537" max="1537" width="5.88671875" style="230" customWidth="1"/>
    <col min="1538" max="1546" width="9.109375" style="230"/>
    <col min="1547" max="1547" width="13.109375" style="230" customWidth="1"/>
    <col min="1548" max="1789" width="9.109375" style="230"/>
    <col min="1790" max="1790" width="12.109375" style="230" customWidth="1"/>
    <col min="1791" max="1791" width="7.44140625" style="230" customWidth="1"/>
    <col min="1792" max="1792" width="7.109375" style="230" customWidth="1"/>
    <col min="1793" max="1793" width="5.88671875" style="230" customWidth="1"/>
    <col min="1794" max="1802" width="9.109375" style="230"/>
    <col min="1803" max="1803" width="13.109375" style="230" customWidth="1"/>
    <col min="1804" max="2045" width="9.109375" style="230"/>
    <col min="2046" max="2046" width="12.109375" style="230" customWidth="1"/>
    <col min="2047" max="2047" width="7.44140625" style="230" customWidth="1"/>
    <col min="2048" max="2048" width="7.109375" style="230" customWidth="1"/>
    <col min="2049" max="2049" width="5.88671875" style="230" customWidth="1"/>
    <col min="2050" max="2058" width="9.109375" style="230"/>
    <col min="2059" max="2059" width="13.109375" style="230" customWidth="1"/>
    <col min="2060" max="2301" width="9.109375" style="230"/>
    <col min="2302" max="2302" width="12.109375" style="230" customWidth="1"/>
    <col min="2303" max="2303" width="7.44140625" style="230" customWidth="1"/>
    <col min="2304" max="2304" width="7.109375" style="230" customWidth="1"/>
    <col min="2305" max="2305" width="5.88671875" style="230" customWidth="1"/>
    <col min="2306" max="2314" width="9.109375" style="230"/>
    <col min="2315" max="2315" width="13.109375" style="230" customWidth="1"/>
    <col min="2316" max="2557" width="9.109375" style="230"/>
    <col min="2558" max="2558" width="12.109375" style="230" customWidth="1"/>
    <col min="2559" max="2559" width="7.44140625" style="230" customWidth="1"/>
    <col min="2560" max="2560" width="7.109375" style="230" customWidth="1"/>
    <col min="2561" max="2561" width="5.88671875" style="230" customWidth="1"/>
    <col min="2562" max="2570" width="9.109375" style="230"/>
    <col min="2571" max="2571" width="13.109375" style="230" customWidth="1"/>
    <col min="2572" max="2813" width="9.109375" style="230"/>
    <col min="2814" max="2814" width="12.109375" style="230" customWidth="1"/>
    <col min="2815" max="2815" width="7.44140625" style="230" customWidth="1"/>
    <col min="2816" max="2816" width="7.109375" style="230" customWidth="1"/>
    <col min="2817" max="2817" width="5.88671875" style="230" customWidth="1"/>
    <col min="2818" max="2826" width="9.109375" style="230"/>
    <col min="2827" max="2827" width="13.109375" style="230" customWidth="1"/>
    <col min="2828" max="3069" width="9.109375" style="230"/>
    <col min="3070" max="3070" width="12.109375" style="230" customWidth="1"/>
    <col min="3071" max="3071" width="7.44140625" style="230" customWidth="1"/>
    <col min="3072" max="3072" width="7.109375" style="230" customWidth="1"/>
    <col min="3073" max="3073" width="5.88671875" style="230" customWidth="1"/>
    <col min="3074" max="3082" width="9.109375" style="230"/>
    <col min="3083" max="3083" width="13.109375" style="230" customWidth="1"/>
    <col min="3084" max="3325" width="9.109375" style="230"/>
    <col min="3326" max="3326" width="12.109375" style="230" customWidth="1"/>
    <col min="3327" max="3327" width="7.44140625" style="230" customWidth="1"/>
    <col min="3328" max="3328" width="7.109375" style="230" customWidth="1"/>
    <col min="3329" max="3329" width="5.88671875" style="230" customWidth="1"/>
    <col min="3330" max="3338" width="9.109375" style="230"/>
    <col min="3339" max="3339" width="13.109375" style="230" customWidth="1"/>
    <col min="3340" max="3581" width="9.109375" style="230"/>
    <col min="3582" max="3582" width="12.109375" style="230" customWidth="1"/>
    <col min="3583" max="3583" width="7.44140625" style="230" customWidth="1"/>
    <col min="3584" max="3584" width="7.109375" style="230" customWidth="1"/>
    <col min="3585" max="3585" width="5.88671875" style="230" customWidth="1"/>
    <col min="3586" max="3594" width="9.109375" style="230"/>
    <col min="3595" max="3595" width="13.109375" style="230" customWidth="1"/>
    <col min="3596" max="3837" width="9.109375" style="230"/>
    <col min="3838" max="3838" width="12.109375" style="230" customWidth="1"/>
    <col min="3839" max="3839" width="7.44140625" style="230" customWidth="1"/>
    <col min="3840" max="3840" width="7.109375" style="230" customWidth="1"/>
    <col min="3841" max="3841" width="5.88671875" style="230" customWidth="1"/>
    <col min="3842" max="3850" width="9.109375" style="230"/>
    <col min="3851" max="3851" width="13.109375" style="230" customWidth="1"/>
    <col min="3852" max="4093" width="9.109375" style="230"/>
    <col min="4094" max="4094" width="12.109375" style="230" customWidth="1"/>
    <col min="4095" max="4095" width="7.44140625" style="230" customWidth="1"/>
    <col min="4096" max="4096" width="7.109375" style="230" customWidth="1"/>
    <col min="4097" max="4097" width="5.88671875" style="230" customWidth="1"/>
    <col min="4098" max="4106" width="9.109375" style="230"/>
    <col min="4107" max="4107" width="13.109375" style="230" customWidth="1"/>
    <col min="4108" max="4349" width="9.109375" style="230"/>
    <col min="4350" max="4350" width="12.109375" style="230" customWidth="1"/>
    <col min="4351" max="4351" width="7.44140625" style="230" customWidth="1"/>
    <col min="4352" max="4352" width="7.109375" style="230" customWidth="1"/>
    <col min="4353" max="4353" width="5.88671875" style="230" customWidth="1"/>
    <col min="4354" max="4362" width="9.109375" style="230"/>
    <col min="4363" max="4363" width="13.109375" style="230" customWidth="1"/>
    <col min="4364" max="4605" width="9.109375" style="230"/>
    <col min="4606" max="4606" width="12.109375" style="230" customWidth="1"/>
    <col min="4607" max="4607" width="7.44140625" style="230" customWidth="1"/>
    <col min="4608" max="4608" width="7.109375" style="230" customWidth="1"/>
    <col min="4609" max="4609" width="5.88671875" style="230" customWidth="1"/>
    <col min="4610" max="4618" width="9.109375" style="230"/>
    <col min="4619" max="4619" width="13.109375" style="230" customWidth="1"/>
    <col min="4620" max="4861" width="9.109375" style="230"/>
    <col min="4862" max="4862" width="12.109375" style="230" customWidth="1"/>
    <col min="4863" max="4863" width="7.44140625" style="230" customWidth="1"/>
    <col min="4864" max="4864" width="7.109375" style="230" customWidth="1"/>
    <col min="4865" max="4865" width="5.88671875" style="230" customWidth="1"/>
    <col min="4866" max="4874" width="9.109375" style="230"/>
    <col min="4875" max="4875" width="13.109375" style="230" customWidth="1"/>
    <col min="4876" max="5117" width="9.109375" style="230"/>
    <col min="5118" max="5118" width="12.109375" style="230" customWidth="1"/>
    <col min="5119" max="5119" width="7.44140625" style="230" customWidth="1"/>
    <col min="5120" max="5120" width="7.109375" style="230" customWidth="1"/>
    <col min="5121" max="5121" width="5.88671875" style="230" customWidth="1"/>
    <col min="5122" max="5130" width="9.109375" style="230"/>
    <col min="5131" max="5131" width="13.109375" style="230" customWidth="1"/>
    <col min="5132" max="5373" width="9.109375" style="230"/>
    <col min="5374" max="5374" width="12.109375" style="230" customWidth="1"/>
    <col min="5375" max="5375" width="7.44140625" style="230" customWidth="1"/>
    <col min="5376" max="5376" width="7.109375" style="230" customWidth="1"/>
    <col min="5377" max="5377" width="5.88671875" style="230" customWidth="1"/>
    <col min="5378" max="5386" width="9.109375" style="230"/>
    <col min="5387" max="5387" width="13.109375" style="230" customWidth="1"/>
    <col min="5388" max="5629" width="9.109375" style="230"/>
    <col min="5630" max="5630" width="12.109375" style="230" customWidth="1"/>
    <col min="5631" max="5631" width="7.44140625" style="230" customWidth="1"/>
    <col min="5632" max="5632" width="7.109375" style="230" customWidth="1"/>
    <col min="5633" max="5633" width="5.88671875" style="230" customWidth="1"/>
    <col min="5634" max="5642" width="9.109375" style="230"/>
    <col min="5643" max="5643" width="13.109375" style="230" customWidth="1"/>
    <col min="5644" max="5885" width="9.109375" style="230"/>
    <col min="5886" max="5886" width="12.109375" style="230" customWidth="1"/>
    <col min="5887" max="5887" width="7.44140625" style="230" customWidth="1"/>
    <col min="5888" max="5888" width="7.109375" style="230" customWidth="1"/>
    <col min="5889" max="5889" width="5.88671875" style="230" customWidth="1"/>
    <col min="5890" max="5898" width="9.109375" style="230"/>
    <col min="5899" max="5899" width="13.109375" style="230" customWidth="1"/>
    <col min="5900" max="6141" width="9.109375" style="230"/>
    <col min="6142" max="6142" width="12.109375" style="230" customWidth="1"/>
    <col min="6143" max="6143" width="7.44140625" style="230" customWidth="1"/>
    <col min="6144" max="6144" width="7.109375" style="230" customWidth="1"/>
    <col min="6145" max="6145" width="5.88671875" style="230" customWidth="1"/>
    <col min="6146" max="6154" width="9.109375" style="230"/>
    <col min="6155" max="6155" width="13.109375" style="230" customWidth="1"/>
    <col min="6156" max="6397" width="9.109375" style="230"/>
    <col min="6398" max="6398" width="12.109375" style="230" customWidth="1"/>
    <col min="6399" max="6399" width="7.44140625" style="230" customWidth="1"/>
    <col min="6400" max="6400" width="7.109375" style="230" customWidth="1"/>
    <col min="6401" max="6401" width="5.88671875" style="230" customWidth="1"/>
    <col min="6402" max="6410" width="9.109375" style="230"/>
    <col min="6411" max="6411" width="13.109375" style="230" customWidth="1"/>
    <col min="6412" max="6653" width="9.109375" style="230"/>
    <col min="6654" max="6654" width="12.109375" style="230" customWidth="1"/>
    <col min="6655" max="6655" width="7.44140625" style="230" customWidth="1"/>
    <col min="6656" max="6656" width="7.109375" style="230" customWidth="1"/>
    <col min="6657" max="6657" width="5.88671875" style="230" customWidth="1"/>
    <col min="6658" max="6666" width="9.109375" style="230"/>
    <col min="6667" max="6667" width="13.109375" style="230" customWidth="1"/>
    <col min="6668" max="6909" width="9.109375" style="230"/>
    <col min="6910" max="6910" width="12.109375" style="230" customWidth="1"/>
    <col min="6911" max="6911" width="7.44140625" style="230" customWidth="1"/>
    <col min="6912" max="6912" width="7.109375" style="230" customWidth="1"/>
    <col min="6913" max="6913" width="5.88671875" style="230" customWidth="1"/>
    <col min="6914" max="6922" width="9.109375" style="230"/>
    <col min="6923" max="6923" width="13.109375" style="230" customWidth="1"/>
    <col min="6924" max="7165" width="9.109375" style="230"/>
    <col min="7166" max="7166" width="12.109375" style="230" customWidth="1"/>
    <col min="7167" max="7167" width="7.44140625" style="230" customWidth="1"/>
    <col min="7168" max="7168" width="7.109375" style="230" customWidth="1"/>
    <col min="7169" max="7169" width="5.88671875" style="230" customWidth="1"/>
    <col min="7170" max="7178" width="9.109375" style="230"/>
    <col min="7179" max="7179" width="13.109375" style="230" customWidth="1"/>
    <col min="7180" max="7421" width="9.109375" style="230"/>
    <col min="7422" max="7422" width="12.109375" style="230" customWidth="1"/>
    <col min="7423" max="7423" width="7.44140625" style="230" customWidth="1"/>
    <col min="7424" max="7424" width="7.109375" style="230" customWidth="1"/>
    <col min="7425" max="7425" width="5.88671875" style="230" customWidth="1"/>
    <col min="7426" max="7434" width="9.109375" style="230"/>
    <col min="7435" max="7435" width="13.109375" style="230" customWidth="1"/>
    <col min="7436" max="7677" width="9.109375" style="230"/>
    <col min="7678" max="7678" width="12.109375" style="230" customWidth="1"/>
    <col min="7679" max="7679" width="7.44140625" style="230" customWidth="1"/>
    <col min="7680" max="7680" width="7.109375" style="230" customWidth="1"/>
    <col min="7681" max="7681" width="5.88671875" style="230" customWidth="1"/>
    <col min="7682" max="7690" width="9.109375" style="230"/>
    <col min="7691" max="7691" width="13.109375" style="230" customWidth="1"/>
    <col min="7692" max="7933" width="9.109375" style="230"/>
    <col min="7934" max="7934" width="12.109375" style="230" customWidth="1"/>
    <col min="7935" max="7935" width="7.44140625" style="230" customWidth="1"/>
    <col min="7936" max="7936" width="7.109375" style="230" customWidth="1"/>
    <col min="7937" max="7937" width="5.88671875" style="230" customWidth="1"/>
    <col min="7938" max="7946" width="9.109375" style="230"/>
    <col min="7947" max="7947" width="13.109375" style="230" customWidth="1"/>
    <col min="7948" max="8189" width="9.109375" style="230"/>
    <col min="8190" max="8190" width="12.109375" style="230" customWidth="1"/>
    <col min="8191" max="8191" width="7.44140625" style="230" customWidth="1"/>
    <col min="8192" max="8192" width="7.109375" style="230" customWidth="1"/>
    <col min="8193" max="8193" width="5.88671875" style="230" customWidth="1"/>
    <col min="8194" max="8202" width="9.109375" style="230"/>
    <col min="8203" max="8203" width="13.109375" style="230" customWidth="1"/>
    <col min="8204" max="8445" width="9.109375" style="230"/>
    <col min="8446" max="8446" width="12.109375" style="230" customWidth="1"/>
    <col min="8447" max="8447" width="7.44140625" style="230" customWidth="1"/>
    <col min="8448" max="8448" width="7.109375" style="230" customWidth="1"/>
    <col min="8449" max="8449" width="5.88671875" style="230" customWidth="1"/>
    <col min="8450" max="8458" width="9.109375" style="230"/>
    <col min="8459" max="8459" width="13.109375" style="230" customWidth="1"/>
    <col min="8460" max="8701" width="9.109375" style="230"/>
    <col min="8702" max="8702" width="12.109375" style="230" customWidth="1"/>
    <col min="8703" max="8703" width="7.44140625" style="230" customWidth="1"/>
    <col min="8704" max="8704" width="7.109375" style="230" customWidth="1"/>
    <col min="8705" max="8705" width="5.88671875" style="230" customWidth="1"/>
    <col min="8706" max="8714" width="9.109375" style="230"/>
    <col min="8715" max="8715" width="13.109375" style="230" customWidth="1"/>
    <col min="8716" max="8957" width="9.109375" style="230"/>
    <col min="8958" max="8958" width="12.109375" style="230" customWidth="1"/>
    <col min="8959" max="8959" width="7.44140625" style="230" customWidth="1"/>
    <col min="8960" max="8960" width="7.109375" style="230" customWidth="1"/>
    <col min="8961" max="8961" width="5.88671875" style="230" customWidth="1"/>
    <col min="8962" max="8970" width="9.109375" style="230"/>
    <col min="8971" max="8971" width="13.109375" style="230" customWidth="1"/>
    <col min="8972" max="9213" width="9.109375" style="230"/>
    <col min="9214" max="9214" width="12.109375" style="230" customWidth="1"/>
    <col min="9215" max="9215" width="7.44140625" style="230" customWidth="1"/>
    <col min="9216" max="9216" width="7.109375" style="230" customWidth="1"/>
    <col min="9217" max="9217" width="5.88671875" style="230" customWidth="1"/>
    <col min="9218" max="9226" width="9.109375" style="230"/>
    <col min="9227" max="9227" width="13.109375" style="230" customWidth="1"/>
    <col min="9228" max="9469" width="9.109375" style="230"/>
    <col min="9470" max="9470" width="12.109375" style="230" customWidth="1"/>
    <col min="9471" max="9471" width="7.44140625" style="230" customWidth="1"/>
    <col min="9472" max="9472" width="7.109375" style="230" customWidth="1"/>
    <col min="9473" max="9473" width="5.88671875" style="230" customWidth="1"/>
    <col min="9474" max="9482" width="9.109375" style="230"/>
    <col min="9483" max="9483" width="13.109375" style="230" customWidth="1"/>
    <col min="9484" max="9725" width="9.109375" style="230"/>
    <col min="9726" max="9726" width="12.109375" style="230" customWidth="1"/>
    <col min="9727" max="9727" width="7.44140625" style="230" customWidth="1"/>
    <col min="9728" max="9728" width="7.109375" style="230" customWidth="1"/>
    <col min="9729" max="9729" width="5.88671875" style="230" customWidth="1"/>
    <col min="9730" max="9738" width="9.109375" style="230"/>
    <col min="9739" max="9739" width="13.109375" style="230" customWidth="1"/>
    <col min="9740" max="9981" width="9.109375" style="230"/>
    <col min="9982" max="9982" width="12.109375" style="230" customWidth="1"/>
    <col min="9983" max="9983" width="7.44140625" style="230" customWidth="1"/>
    <col min="9984" max="9984" width="7.109375" style="230" customWidth="1"/>
    <col min="9985" max="9985" width="5.88671875" style="230" customWidth="1"/>
    <col min="9986" max="9994" width="9.109375" style="230"/>
    <col min="9995" max="9995" width="13.109375" style="230" customWidth="1"/>
    <col min="9996" max="10237" width="9.109375" style="230"/>
    <col min="10238" max="10238" width="12.109375" style="230" customWidth="1"/>
    <col min="10239" max="10239" width="7.44140625" style="230" customWidth="1"/>
    <col min="10240" max="10240" width="7.109375" style="230" customWidth="1"/>
    <col min="10241" max="10241" width="5.88671875" style="230" customWidth="1"/>
    <col min="10242" max="10250" width="9.109375" style="230"/>
    <col min="10251" max="10251" width="13.109375" style="230" customWidth="1"/>
    <col min="10252" max="10493" width="9.109375" style="230"/>
    <col min="10494" max="10494" width="12.109375" style="230" customWidth="1"/>
    <col min="10495" max="10495" width="7.44140625" style="230" customWidth="1"/>
    <col min="10496" max="10496" width="7.109375" style="230" customWidth="1"/>
    <col min="10497" max="10497" width="5.88671875" style="230" customWidth="1"/>
    <col min="10498" max="10506" width="9.109375" style="230"/>
    <col min="10507" max="10507" width="13.109375" style="230" customWidth="1"/>
    <col min="10508" max="10749" width="9.109375" style="230"/>
    <col min="10750" max="10750" width="12.109375" style="230" customWidth="1"/>
    <col min="10751" max="10751" width="7.44140625" style="230" customWidth="1"/>
    <col min="10752" max="10752" width="7.109375" style="230" customWidth="1"/>
    <col min="10753" max="10753" width="5.88671875" style="230" customWidth="1"/>
    <col min="10754" max="10762" width="9.109375" style="230"/>
    <col min="10763" max="10763" width="13.109375" style="230" customWidth="1"/>
    <col min="10764" max="11005" width="9.109375" style="230"/>
    <col min="11006" max="11006" width="12.109375" style="230" customWidth="1"/>
    <col min="11007" max="11007" width="7.44140625" style="230" customWidth="1"/>
    <col min="11008" max="11008" width="7.109375" style="230" customWidth="1"/>
    <col min="11009" max="11009" width="5.88671875" style="230" customWidth="1"/>
    <col min="11010" max="11018" width="9.109375" style="230"/>
    <col min="11019" max="11019" width="13.109375" style="230" customWidth="1"/>
    <col min="11020" max="11261" width="9.109375" style="230"/>
    <col min="11262" max="11262" width="12.109375" style="230" customWidth="1"/>
    <col min="11263" max="11263" width="7.44140625" style="230" customWidth="1"/>
    <col min="11264" max="11264" width="7.109375" style="230" customWidth="1"/>
    <col min="11265" max="11265" width="5.88671875" style="230" customWidth="1"/>
    <col min="11266" max="11274" width="9.109375" style="230"/>
    <col min="11275" max="11275" width="13.109375" style="230" customWidth="1"/>
    <col min="11276" max="11517" width="9.109375" style="230"/>
    <col min="11518" max="11518" width="12.109375" style="230" customWidth="1"/>
    <col min="11519" max="11519" width="7.44140625" style="230" customWidth="1"/>
    <col min="11520" max="11520" width="7.109375" style="230" customWidth="1"/>
    <col min="11521" max="11521" width="5.88671875" style="230" customWidth="1"/>
    <col min="11522" max="11530" width="9.109375" style="230"/>
    <col min="11531" max="11531" width="13.109375" style="230" customWidth="1"/>
    <col min="11532" max="11773" width="9.109375" style="230"/>
    <col min="11774" max="11774" width="12.109375" style="230" customWidth="1"/>
    <col min="11775" max="11775" width="7.44140625" style="230" customWidth="1"/>
    <col min="11776" max="11776" width="7.109375" style="230" customWidth="1"/>
    <col min="11777" max="11777" width="5.88671875" style="230" customWidth="1"/>
    <col min="11778" max="11786" width="9.109375" style="230"/>
    <col min="11787" max="11787" width="13.109375" style="230" customWidth="1"/>
    <col min="11788" max="12029" width="9.109375" style="230"/>
    <col min="12030" max="12030" width="12.109375" style="230" customWidth="1"/>
    <col min="12031" max="12031" width="7.44140625" style="230" customWidth="1"/>
    <col min="12032" max="12032" width="7.109375" style="230" customWidth="1"/>
    <col min="12033" max="12033" width="5.88671875" style="230" customWidth="1"/>
    <col min="12034" max="12042" width="9.109375" style="230"/>
    <col min="12043" max="12043" width="13.109375" style="230" customWidth="1"/>
    <col min="12044" max="12285" width="9.109375" style="230"/>
    <col min="12286" max="12286" width="12.109375" style="230" customWidth="1"/>
    <col min="12287" max="12287" width="7.44140625" style="230" customWidth="1"/>
    <col min="12288" max="12288" width="7.109375" style="230" customWidth="1"/>
    <col min="12289" max="12289" width="5.88671875" style="230" customWidth="1"/>
    <col min="12290" max="12298" width="9.109375" style="230"/>
    <col min="12299" max="12299" width="13.109375" style="230" customWidth="1"/>
    <col min="12300" max="12541" width="9.109375" style="230"/>
    <col min="12542" max="12542" width="12.109375" style="230" customWidth="1"/>
    <col min="12543" max="12543" width="7.44140625" style="230" customWidth="1"/>
    <col min="12544" max="12544" width="7.109375" style="230" customWidth="1"/>
    <col min="12545" max="12545" width="5.88671875" style="230" customWidth="1"/>
    <col min="12546" max="12554" width="9.109375" style="230"/>
    <col min="12555" max="12555" width="13.109375" style="230" customWidth="1"/>
    <col min="12556" max="12797" width="9.109375" style="230"/>
    <col min="12798" max="12798" width="12.109375" style="230" customWidth="1"/>
    <col min="12799" max="12799" width="7.44140625" style="230" customWidth="1"/>
    <col min="12800" max="12800" width="7.109375" style="230" customWidth="1"/>
    <col min="12801" max="12801" width="5.88671875" style="230" customWidth="1"/>
    <col min="12802" max="12810" width="9.109375" style="230"/>
    <col min="12811" max="12811" width="13.109375" style="230" customWidth="1"/>
    <col min="12812" max="13053" width="9.109375" style="230"/>
    <col min="13054" max="13054" width="12.109375" style="230" customWidth="1"/>
    <col min="13055" max="13055" width="7.44140625" style="230" customWidth="1"/>
    <col min="13056" max="13056" width="7.109375" style="230" customWidth="1"/>
    <col min="13057" max="13057" width="5.88671875" style="230" customWidth="1"/>
    <col min="13058" max="13066" width="9.109375" style="230"/>
    <col min="13067" max="13067" width="13.109375" style="230" customWidth="1"/>
    <col min="13068" max="13309" width="9.109375" style="230"/>
    <col min="13310" max="13310" width="12.109375" style="230" customWidth="1"/>
    <col min="13311" max="13311" width="7.44140625" style="230" customWidth="1"/>
    <col min="13312" max="13312" width="7.109375" style="230" customWidth="1"/>
    <col min="13313" max="13313" width="5.88671875" style="230" customWidth="1"/>
    <col min="13314" max="13322" width="9.109375" style="230"/>
    <col min="13323" max="13323" width="13.109375" style="230" customWidth="1"/>
    <col min="13324" max="13565" width="9.109375" style="230"/>
    <col min="13566" max="13566" width="12.109375" style="230" customWidth="1"/>
    <col min="13567" max="13567" width="7.44140625" style="230" customWidth="1"/>
    <col min="13568" max="13568" width="7.109375" style="230" customWidth="1"/>
    <col min="13569" max="13569" width="5.88671875" style="230" customWidth="1"/>
    <col min="13570" max="13578" width="9.109375" style="230"/>
    <col min="13579" max="13579" width="13.109375" style="230" customWidth="1"/>
    <col min="13580" max="13821" width="9.109375" style="230"/>
    <col min="13822" max="13822" width="12.109375" style="230" customWidth="1"/>
    <col min="13823" max="13823" width="7.44140625" style="230" customWidth="1"/>
    <col min="13824" max="13824" width="7.109375" style="230" customWidth="1"/>
    <col min="13825" max="13825" width="5.88671875" style="230" customWidth="1"/>
    <col min="13826" max="13834" width="9.109375" style="230"/>
    <col min="13835" max="13835" width="13.109375" style="230" customWidth="1"/>
    <col min="13836" max="14077" width="9.109375" style="230"/>
    <col min="14078" max="14078" width="12.109375" style="230" customWidth="1"/>
    <col min="14079" max="14079" width="7.44140625" style="230" customWidth="1"/>
    <col min="14080" max="14080" width="7.109375" style="230" customWidth="1"/>
    <col min="14081" max="14081" width="5.88671875" style="230" customWidth="1"/>
    <col min="14082" max="14090" width="9.109375" style="230"/>
    <col min="14091" max="14091" width="13.109375" style="230" customWidth="1"/>
    <col min="14092" max="14333" width="9.109375" style="230"/>
    <col min="14334" max="14334" width="12.109375" style="230" customWidth="1"/>
    <col min="14335" max="14335" width="7.44140625" style="230" customWidth="1"/>
    <col min="14336" max="14336" width="7.109375" style="230" customWidth="1"/>
    <col min="14337" max="14337" width="5.88671875" style="230" customWidth="1"/>
    <col min="14338" max="14346" width="9.109375" style="230"/>
    <col min="14347" max="14347" width="13.109375" style="230" customWidth="1"/>
    <col min="14348" max="14589" width="9.109375" style="230"/>
    <col min="14590" max="14590" width="12.109375" style="230" customWidth="1"/>
    <col min="14591" max="14591" width="7.44140625" style="230" customWidth="1"/>
    <col min="14592" max="14592" width="7.109375" style="230" customWidth="1"/>
    <col min="14593" max="14593" width="5.88671875" style="230" customWidth="1"/>
    <col min="14594" max="14602" width="9.109375" style="230"/>
    <col min="14603" max="14603" width="13.109375" style="230" customWidth="1"/>
    <col min="14604" max="14845" width="9.109375" style="230"/>
    <col min="14846" max="14846" width="12.109375" style="230" customWidth="1"/>
    <col min="14847" max="14847" width="7.44140625" style="230" customWidth="1"/>
    <col min="14848" max="14848" width="7.109375" style="230" customWidth="1"/>
    <col min="14849" max="14849" width="5.88671875" style="230" customWidth="1"/>
    <col min="14850" max="14858" width="9.109375" style="230"/>
    <col min="14859" max="14859" width="13.109375" style="230" customWidth="1"/>
    <col min="14860" max="15101" width="9.109375" style="230"/>
    <col min="15102" max="15102" width="12.109375" style="230" customWidth="1"/>
    <col min="15103" max="15103" width="7.44140625" style="230" customWidth="1"/>
    <col min="15104" max="15104" width="7.109375" style="230" customWidth="1"/>
    <col min="15105" max="15105" width="5.88671875" style="230" customWidth="1"/>
    <col min="15106" max="15114" width="9.109375" style="230"/>
    <col min="15115" max="15115" width="13.109375" style="230" customWidth="1"/>
    <col min="15116" max="15357" width="9.109375" style="230"/>
    <col min="15358" max="15358" width="12.109375" style="230" customWidth="1"/>
    <col min="15359" max="15359" width="7.44140625" style="230" customWidth="1"/>
    <col min="15360" max="15360" width="7.109375" style="230" customWidth="1"/>
    <col min="15361" max="15361" width="5.88671875" style="230" customWidth="1"/>
    <col min="15362" max="15370" width="9.109375" style="230"/>
    <col min="15371" max="15371" width="13.109375" style="230" customWidth="1"/>
    <col min="15372" max="15613" width="9.109375" style="230"/>
    <col min="15614" max="15614" width="12.109375" style="230" customWidth="1"/>
    <col min="15615" max="15615" width="7.44140625" style="230" customWidth="1"/>
    <col min="15616" max="15616" width="7.109375" style="230" customWidth="1"/>
    <col min="15617" max="15617" width="5.88671875" style="230" customWidth="1"/>
    <col min="15618" max="15626" width="9.109375" style="230"/>
    <col min="15627" max="15627" width="13.109375" style="230" customWidth="1"/>
    <col min="15628" max="15869" width="9.109375" style="230"/>
    <col min="15870" max="15870" width="12.109375" style="230" customWidth="1"/>
    <col min="15871" max="15871" width="7.44140625" style="230" customWidth="1"/>
    <col min="15872" max="15872" width="7.109375" style="230" customWidth="1"/>
    <col min="15873" max="15873" width="5.88671875" style="230" customWidth="1"/>
    <col min="15874" max="15882" width="9.109375" style="230"/>
    <col min="15883" max="15883" width="13.109375" style="230" customWidth="1"/>
    <col min="15884" max="16125" width="9.109375" style="230"/>
    <col min="16126" max="16126" width="12.109375" style="230" customWidth="1"/>
    <col min="16127" max="16127" width="7.44140625" style="230" customWidth="1"/>
    <col min="16128" max="16128" width="7.109375" style="230" customWidth="1"/>
    <col min="16129" max="16129" width="5.88671875" style="230" customWidth="1"/>
    <col min="16130" max="16138" width="9.109375" style="230"/>
    <col min="16139" max="16139" width="13.109375" style="230" customWidth="1"/>
    <col min="16140" max="16384" width="9.109375" style="230"/>
  </cols>
  <sheetData>
    <row r="1" spans="1:34" ht="18.75" customHeight="1" x14ac:dyDescent="0.3">
      <c r="B1" s="459" t="s">
        <v>1679</v>
      </c>
      <c r="C1" s="459"/>
      <c r="D1" s="459"/>
      <c r="E1" s="459"/>
      <c r="F1" s="459"/>
      <c r="G1" s="459"/>
      <c r="H1" s="459"/>
      <c r="I1" s="459"/>
      <c r="J1" s="459"/>
      <c r="K1" s="459"/>
      <c r="L1" s="459"/>
      <c r="N1" s="230"/>
      <c r="S1" s="459" t="s">
        <v>1680</v>
      </c>
      <c r="T1" s="459"/>
      <c r="U1" s="459"/>
      <c r="V1" s="459"/>
      <c r="W1" s="459"/>
      <c r="X1" s="459"/>
      <c r="Y1" s="459"/>
      <c r="Z1" s="459"/>
      <c r="AA1" s="459"/>
      <c r="AB1" s="459"/>
      <c r="AC1" s="459"/>
      <c r="AF1" s="231"/>
      <c r="AG1" s="231"/>
      <c r="AH1" s="232"/>
    </row>
    <row r="2" spans="1:34" ht="18.75" customHeight="1" x14ac:dyDescent="0.3">
      <c r="A2" s="240"/>
      <c r="N2" s="263" t="s">
        <v>1681</v>
      </c>
      <c r="O2" s="264" t="s">
        <v>1682</v>
      </c>
      <c r="P2" s="264" t="s">
        <v>758</v>
      </c>
      <c r="Q2" s="265" t="s">
        <v>759</v>
      </c>
      <c r="AE2" s="263" t="s">
        <v>1681</v>
      </c>
      <c r="AF2" s="264" t="s">
        <v>1682</v>
      </c>
      <c r="AG2" s="264" t="s">
        <v>758</v>
      </c>
      <c r="AH2" s="265" t="s">
        <v>759</v>
      </c>
    </row>
    <row r="3" spans="1:34" x14ac:dyDescent="0.3">
      <c r="A3" s="236"/>
      <c r="N3" s="247">
        <v>45170</v>
      </c>
      <c r="O3" s="245">
        <v>17</v>
      </c>
      <c r="P3" s="246"/>
      <c r="Q3" s="246"/>
      <c r="AE3" s="247">
        <v>45156</v>
      </c>
      <c r="AF3" s="245">
        <v>18.600000000000001</v>
      </c>
      <c r="AG3" s="246"/>
      <c r="AH3" s="246"/>
    </row>
    <row r="4" spans="1:34" x14ac:dyDescent="0.3">
      <c r="A4" s="236"/>
      <c r="N4" s="247">
        <v>45178</v>
      </c>
      <c r="O4" s="245">
        <v>18.2</v>
      </c>
      <c r="P4" s="246"/>
      <c r="Q4" s="246"/>
      <c r="AE4" s="247">
        <v>45163</v>
      </c>
      <c r="AF4" s="245">
        <v>20.149999999999999</v>
      </c>
      <c r="AG4" s="246"/>
      <c r="AH4" s="246"/>
    </row>
    <row r="5" spans="1:34" x14ac:dyDescent="0.3">
      <c r="A5" s="236"/>
      <c r="N5" s="247">
        <v>45188</v>
      </c>
      <c r="O5" s="245">
        <v>20.7</v>
      </c>
      <c r="P5" s="246">
        <v>6.4</v>
      </c>
      <c r="Q5" s="246">
        <v>3.31</v>
      </c>
      <c r="AE5" s="247">
        <v>45173</v>
      </c>
      <c r="AF5" s="245">
        <v>21.9</v>
      </c>
      <c r="AG5" s="246"/>
      <c r="AH5" s="246"/>
    </row>
    <row r="6" spans="1:34" x14ac:dyDescent="0.3">
      <c r="A6" s="236"/>
      <c r="N6" s="247"/>
      <c r="O6" s="245"/>
      <c r="P6" s="246"/>
      <c r="Q6" s="246"/>
      <c r="AE6" s="247">
        <v>45187</v>
      </c>
      <c r="AF6" s="245">
        <v>22.9</v>
      </c>
      <c r="AG6" s="246"/>
      <c r="AH6" s="246"/>
    </row>
    <row r="7" spans="1:34" x14ac:dyDescent="0.3">
      <c r="A7" s="236"/>
      <c r="N7" s="247"/>
      <c r="O7" s="245"/>
      <c r="P7" s="246"/>
      <c r="Q7" s="246"/>
      <c r="AE7" s="247"/>
      <c r="AF7" s="245"/>
      <c r="AG7" s="246"/>
      <c r="AH7" s="246"/>
    </row>
    <row r="8" spans="1:34" x14ac:dyDescent="0.3">
      <c r="A8" s="236"/>
      <c r="N8" s="247"/>
      <c r="O8" s="245"/>
      <c r="P8" s="246"/>
      <c r="Q8" s="246"/>
      <c r="AE8" s="247"/>
      <c r="AF8" s="245"/>
      <c r="AG8" s="246"/>
      <c r="AH8" s="246"/>
    </row>
    <row r="9" spans="1:34" x14ac:dyDescent="0.3">
      <c r="A9" s="237"/>
      <c r="N9" s="247"/>
      <c r="O9" s="245"/>
      <c r="P9" s="246"/>
      <c r="Q9" s="246"/>
      <c r="AE9" s="247"/>
      <c r="AF9" s="245"/>
      <c r="AG9" s="246"/>
      <c r="AH9" s="246"/>
    </row>
    <row r="10" spans="1:34" x14ac:dyDescent="0.3">
      <c r="A10" s="236"/>
      <c r="N10" s="247"/>
      <c r="O10" s="245"/>
      <c r="P10" s="246"/>
      <c r="Q10" s="246"/>
      <c r="AE10" s="247"/>
      <c r="AF10" s="245"/>
      <c r="AG10" s="246"/>
      <c r="AH10" s="246"/>
    </row>
    <row r="11" spans="1:34" x14ac:dyDescent="0.3">
      <c r="A11" s="238"/>
      <c r="N11" s="248"/>
      <c r="O11" s="245"/>
      <c r="P11" s="246"/>
      <c r="Q11" s="246"/>
      <c r="AE11" s="248"/>
      <c r="AF11" s="245"/>
      <c r="AG11" s="246"/>
      <c r="AH11" s="246"/>
    </row>
    <row r="12" spans="1:34" x14ac:dyDescent="0.3">
      <c r="N12" s="249"/>
      <c r="O12" s="259"/>
      <c r="P12" s="259"/>
      <c r="Q12" s="260"/>
      <c r="AE12" s="249"/>
      <c r="AF12" s="259"/>
      <c r="AG12" s="259"/>
      <c r="AH12" s="260"/>
    </row>
    <row r="13" spans="1:34" x14ac:dyDescent="0.3">
      <c r="N13" s="249"/>
      <c r="O13" s="259"/>
      <c r="P13" s="259"/>
      <c r="Q13" s="260"/>
      <c r="AE13" s="249"/>
      <c r="AF13" s="259"/>
      <c r="AG13" s="259"/>
      <c r="AH13" s="260"/>
    </row>
    <row r="14" spans="1:34" x14ac:dyDescent="0.3">
      <c r="N14" s="249"/>
      <c r="O14" s="259"/>
      <c r="P14" s="259"/>
      <c r="Q14" s="260"/>
      <c r="AE14" s="249"/>
      <c r="AF14" s="259"/>
      <c r="AG14" s="259"/>
      <c r="AH14" s="260"/>
    </row>
    <row r="15" spans="1:34" x14ac:dyDescent="0.3">
      <c r="N15" s="249"/>
      <c r="O15" s="259"/>
      <c r="P15" s="259"/>
      <c r="Q15" s="260"/>
      <c r="AE15" s="249"/>
      <c r="AF15" s="259"/>
      <c r="AG15" s="259"/>
      <c r="AH15" s="260"/>
    </row>
    <row r="16" spans="1:34" x14ac:dyDescent="0.3">
      <c r="N16" s="249"/>
      <c r="O16" s="259"/>
      <c r="P16" s="259"/>
      <c r="Q16" s="260"/>
      <c r="AE16" s="249"/>
      <c r="AF16" s="259"/>
      <c r="AG16" s="259"/>
      <c r="AH16" s="260"/>
    </row>
    <row r="17" spans="1:34" x14ac:dyDescent="0.3">
      <c r="N17" s="250"/>
      <c r="O17" s="251"/>
      <c r="P17" s="251"/>
      <c r="Q17" s="252"/>
      <c r="AE17" s="250"/>
      <c r="AF17" s="251"/>
      <c r="AG17" s="251"/>
      <c r="AH17" s="252"/>
    </row>
    <row r="18" spans="1:34" ht="13.5" customHeight="1" x14ac:dyDescent="0.3">
      <c r="N18" s="313" t="s">
        <v>1683</v>
      </c>
      <c r="O18" s="257"/>
      <c r="P18" s="257"/>
      <c r="Q18" s="258"/>
      <c r="AE18" s="313" t="s">
        <v>1683</v>
      </c>
      <c r="AF18" s="257"/>
      <c r="AG18" s="257"/>
      <c r="AH18" s="258"/>
    </row>
    <row r="19" spans="1:34" ht="13.5" customHeight="1" x14ac:dyDescent="0.3">
      <c r="N19" s="289" t="s">
        <v>1684</v>
      </c>
      <c r="O19" s="464">
        <f>RSQ(O2:O16,N2:N16)</f>
        <v>0.98159763222867957</v>
      </c>
      <c r="P19" s="465"/>
      <c r="Q19" s="466"/>
      <c r="AE19" s="289" t="s">
        <v>1684</v>
      </c>
      <c r="AF19" s="464">
        <f>RSQ(AF2:AF16,AE2:AE16)</f>
        <v>0.94076021553267775</v>
      </c>
      <c r="AG19" s="465"/>
      <c r="AH19" s="466"/>
    </row>
    <row r="20" spans="1:34" ht="13.5" customHeight="1" x14ac:dyDescent="0.3">
      <c r="N20" s="289" t="s">
        <v>1685</v>
      </c>
      <c r="O20" s="464">
        <f>SLOPE(O3:O16,N3:N16)</f>
        <v>0.20737704918032782</v>
      </c>
      <c r="P20" s="465"/>
      <c r="Q20" s="466"/>
      <c r="AE20" s="289" t="s">
        <v>1685</v>
      </c>
      <c r="AF20" s="464">
        <f>SLOPE(AF3:AF16,AE3:AE16)</f>
        <v>0.13714877936434816</v>
      </c>
      <c r="AG20" s="465"/>
      <c r="AH20" s="466"/>
    </row>
    <row r="21" spans="1:34" ht="13.5" customHeight="1" x14ac:dyDescent="0.3">
      <c r="N21" s="290" t="s">
        <v>1686</v>
      </c>
      <c r="O21" s="463">
        <f>INTERCEPT(O3:O16,N3:N16)</f>
        <v>-9350.3852459016362</v>
      </c>
      <c r="P21" s="463"/>
      <c r="Q21" s="463"/>
      <c r="AE21" s="290" t="s">
        <v>1686</v>
      </c>
      <c r="AF21" s="463">
        <f>INTERCEPT(AF3:AF16,AE3:AE16)</f>
        <v>-6174.0885766927659</v>
      </c>
      <c r="AG21" s="463"/>
      <c r="AH21" s="463"/>
    </row>
    <row r="22" spans="1:34" ht="13.5" customHeight="1" x14ac:dyDescent="0.3">
      <c r="N22" s="261"/>
      <c r="O22" s="262"/>
      <c r="P22" s="262"/>
      <c r="Q22" s="262"/>
      <c r="AE22" s="261"/>
      <c r="AF22" s="262"/>
      <c r="AG22" s="262"/>
      <c r="AH22" s="262"/>
    </row>
    <row r="23" spans="1:34" ht="15.6" x14ac:dyDescent="0.3">
      <c r="N23" s="461" t="s">
        <v>1687</v>
      </c>
      <c r="O23" s="461"/>
      <c r="P23" s="461"/>
      <c r="Q23" s="461"/>
      <c r="AE23" s="461" t="s">
        <v>1687</v>
      </c>
      <c r="AF23" s="461"/>
      <c r="AG23" s="461"/>
      <c r="AH23" s="461"/>
    </row>
    <row r="24" spans="1:34" ht="15.6" x14ac:dyDescent="0.3">
      <c r="N24" s="256">
        <f t="shared" ref="N24:N29" si="0">(O24-O$21)/O$20</f>
        <v>45190.079051383393</v>
      </c>
      <c r="O24" s="462">
        <v>21</v>
      </c>
      <c r="P24" s="462"/>
      <c r="Q24" s="462"/>
      <c r="AE24" s="256">
        <f t="shared" ref="AE24:AE29" si="1">(AF24-AF$21)/AF$20</f>
        <v>45163.278925272883</v>
      </c>
      <c r="AF24" s="462">
        <v>20</v>
      </c>
      <c r="AG24" s="462"/>
      <c r="AH24" s="462"/>
    </row>
    <row r="25" spans="1:34" ht="15.6" x14ac:dyDescent="0.3">
      <c r="N25" s="256">
        <f t="shared" si="0"/>
        <v>45194.901185770745</v>
      </c>
      <c r="O25" s="462">
        <v>22</v>
      </c>
      <c r="P25" s="462"/>
      <c r="Q25" s="462"/>
      <c r="AE25" s="256">
        <f t="shared" si="1"/>
        <v>45170.570277078092</v>
      </c>
      <c r="AF25" s="462">
        <v>21</v>
      </c>
      <c r="AG25" s="462"/>
      <c r="AH25" s="462"/>
    </row>
    <row r="26" spans="1:34" ht="15.6" x14ac:dyDescent="0.3">
      <c r="N26" s="256">
        <f t="shared" si="0"/>
        <v>45197.312252964424</v>
      </c>
      <c r="O26" s="462">
        <v>22.5</v>
      </c>
      <c r="P26" s="462"/>
      <c r="Q26" s="462"/>
      <c r="AE26" s="256">
        <f t="shared" si="1"/>
        <v>45177.861628883293</v>
      </c>
      <c r="AF26" s="462">
        <v>22</v>
      </c>
      <c r="AG26" s="462"/>
      <c r="AH26" s="462"/>
    </row>
    <row r="27" spans="1:34" ht="15.6" x14ac:dyDescent="0.3">
      <c r="N27" s="256">
        <f t="shared" si="0"/>
        <v>45199.723320158097</v>
      </c>
      <c r="O27" s="462">
        <v>23</v>
      </c>
      <c r="P27" s="462"/>
      <c r="Q27" s="462"/>
      <c r="AE27" s="256">
        <f t="shared" si="1"/>
        <v>45185.152980688501</v>
      </c>
      <c r="AF27" s="462">
        <v>23</v>
      </c>
      <c r="AG27" s="462"/>
      <c r="AH27" s="462"/>
    </row>
    <row r="28" spans="1:34" ht="15.6" x14ac:dyDescent="0.3">
      <c r="N28" s="256">
        <f t="shared" si="0"/>
        <v>45202.134387351776</v>
      </c>
      <c r="O28" s="462">
        <v>23.5</v>
      </c>
      <c r="P28" s="462"/>
      <c r="Q28" s="462"/>
      <c r="AE28" s="256">
        <f t="shared" si="1"/>
        <v>45192.444332493709</v>
      </c>
      <c r="AF28" s="462">
        <v>24</v>
      </c>
      <c r="AG28" s="462"/>
      <c r="AH28" s="462"/>
    </row>
    <row r="29" spans="1:34" ht="15.6" x14ac:dyDescent="0.3">
      <c r="N29" s="256">
        <f t="shared" si="0"/>
        <v>45204.545454545449</v>
      </c>
      <c r="O29" s="462">
        <v>24</v>
      </c>
      <c r="P29" s="462"/>
      <c r="Q29" s="462"/>
      <c r="AE29" s="256">
        <f t="shared" si="1"/>
        <v>45199.73568429891</v>
      </c>
      <c r="AF29" s="462">
        <v>25</v>
      </c>
      <c r="AG29" s="462"/>
      <c r="AH29" s="462"/>
    </row>
    <row r="30" spans="1:34" x14ac:dyDescent="0.3">
      <c r="A30" s="241"/>
      <c r="N30" s="234"/>
      <c r="O30" s="234"/>
      <c r="P30" s="234"/>
      <c r="Q30" s="234"/>
      <c r="AE30" s="234"/>
      <c r="AF30" s="234"/>
      <c r="AG30" s="234"/>
      <c r="AH30" s="234"/>
    </row>
    <row r="31" spans="1:34" x14ac:dyDescent="0.3">
      <c r="A31" s="242"/>
      <c r="N31" s="460"/>
      <c r="O31" s="460"/>
      <c r="P31" s="460"/>
      <c r="Q31" s="460"/>
      <c r="AE31" s="460"/>
      <c r="AF31" s="460"/>
      <c r="AG31" s="460"/>
      <c r="AH31" s="460"/>
    </row>
    <row r="32" spans="1:34" x14ac:dyDescent="0.3">
      <c r="A32" s="242"/>
      <c r="N32" s="460"/>
      <c r="O32" s="460"/>
      <c r="P32" s="460"/>
      <c r="Q32" s="460"/>
      <c r="AE32" s="460"/>
      <c r="AF32" s="460"/>
      <c r="AG32" s="460"/>
      <c r="AH32" s="460"/>
    </row>
    <row r="33" spans="1:34" x14ac:dyDescent="0.3">
      <c r="A33" s="241"/>
      <c r="N33" s="234"/>
      <c r="O33" s="234"/>
      <c r="P33" s="234"/>
      <c r="Q33" s="234"/>
      <c r="AE33" s="234"/>
      <c r="AF33" s="234"/>
      <c r="AG33" s="234"/>
      <c r="AH33" s="234"/>
    </row>
    <row r="34" spans="1:34" x14ac:dyDescent="0.3">
      <c r="A34" s="243"/>
      <c r="N34" s="458"/>
      <c r="O34" s="458"/>
      <c r="P34" s="458"/>
      <c r="Q34" s="458"/>
      <c r="AE34" s="458"/>
      <c r="AF34" s="458"/>
      <c r="AG34" s="458"/>
      <c r="AH34" s="458"/>
    </row>
    <row r="35" spans="1:34" x14ac:dyDescent="0.3">
      <c r="A35" s="244"/>
      <c r="N35" s="235"/>
      <c r="O35" s="235"/>
      <c r="P35" s="235"/>
      <c r="Q35" s="235"/>
      <c r="AE35" s="235"/>
      <c r="AF35" s="235"/>
      <c r="AG35" s="235"/>
      <c r="AH35" s="235"/>
    </row>
    <row r="36" spans="1:34" x14ac:dyDescent="0.3">
      <c r="A36" s="244"/>
      <c r="N36" s="235"/>
      <c r="O36" s="235"/>
      <c r="P36" s="235"/>
      <c r="Q36" s="235"/>
    </row>
    <row r="37" spans="1:34" x14ac:dyDescent="0.3">
      <c r="A37" s="243"/>
      <c r="N37" s="458"/>
      <c r="O37" s="458"/>
      <c r="P37" s="458"/>
      <c r="Q37" s="458"/>
    </row>
    <row r="38" spans="1:34" x14ac:dyDescent="0.3">
      <c r="A38" s="243"/>
      <c r="N38" s="458"/>
      <c r="O38" s="458"/>
      <c r="P38" s="458"/>
      <c r="Q38" s="458"/>
    </row>
    <row r="39" spans="1:34" x14ac:dyDescent="0.3">
      <c r="A39" s="243"/>
      <c r="N39" s="458"/>
      <c r="O39" s="458"/>
      <c r="P39" s="458"/>
      <c r="Q39" s="458"/>
    </row>
    <row r="40" spans="1:34" x14ac:dyDescent="0.3">
      <c r="A40" s="243"/>
      <c r="N40" s="458"/>
      <c r="O40" s="458"/>
      <c r="P40" s="458"/>
      <c r="Q40" s="458"/>
    </row>
    <row r="41" spans="1:34" x14ac:dyDescent="0.3">
      <c r="A41" s="243"/>
      <c r="N41" s="458"/>
      <c r="O41" s="458"/>
      <c r="P41" s="458"/>
      <c r="Q41" s="458"/>
    </row>
  </sheetData>
  <mergeCells count="33">
    <mergeCell ref="AE31:AH31"/>
    <mergeCell ref="AE32:AH32"/>
    <mergeCell ref="AE34:AH34"/>
    <mergeCell ref="AF25:AH25"/>
    <mergeCell ref="AF26:AH26"/>
    <mergeCell ref="AF27:AH27"/>
    <mergeCell ref="AF28:AH28"/>
    <mergeCell ref="AF29:AH29"/>
    <mergeCell ref="O19:Q19"/>
    <mergeCell ref="O28:Q28"/>
    <mergeCell ref="O29:Q29"/>
    <mergeCell ref="S1:AC1"/>
    <mergeCell ref="AF19:AH19"/>
    <mergeCell ref="AF20:AH20"/>
    <mergeCell ref="AF21:AH21"/>
    <mergeCell ref="AE23:AH23"/>
    <mergeCell ref="AF24:AH24"/>
    <mergeCell ref="N39:Q39"/>
    <mergeCell ref="N40:Q40"/>
    <mergeCell ref="N41:Q41"/>
    <mergeCell ref="B1:L1"/>
    <mergeCell ref="N31:Q31"/>
    <mergeCell ref="N32:Q32"/>
    <mergeCell ref="N34:Q34"/>
    <mergeCell ref="N37:Q37"/>
    <mergeCell ref="N38:Q38"/>
    <mergeCell ref="N23:Q23"/>
    <mergeCell ref="O27:Q27"/>
    <mergeCell ref="O26:Q26"/>
    <mergeCell ref="O25:Q25"/>
    <mergeCell ref="O24:Q24"/>
    <mergeCell ref="O21:Q21"/>
    <mergeCell ref="O20:Q20"/>
  </mergeCells>
  <pageMargins left="0.17" right="0.21" top="0.63" bottom="0.18" header="0.17" footer="0.17"/>
  <pageSetup orientation="landscape" r:id="rId1"/>
  <headerFooter alignWithMargins="0">
    <oddHeader>&amp;C&amp;"Times New Roman,Bold"&amp;14Sutter Home Winery&amp;"Times New Roman,Regular"&amp;10
&amp;11 2018 Grape Sampling Maturity Data</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C92A3-F438-4E86-8616-68C7B6601300}">
  <sheetPr codeName="Sheet5"/>
  <dimension ref="A2:B58"/>
  <sheetViews>
    <sheetView topLeftCell="A17" workbookViewId="0">
      <selection activeCell="B55" sqref="B55"/>
    </sheetView>
  </sheetViews>
  <sheetFormatPr defaultColWidth="9" defaultRowHeight="15.6" x14ac:dyDescent="0.3"/>
  <cols>
    <col min="1" max="1" width="9.44140625" bestFit="1" customWidth="1"/>
    <col min="2" max="2" width="18.44140625" bestFit="1" customWidth="1"/>
    <col min="3" max="4" width="11.44140625" bestFit="1" customWidth="1"/>
    <col min="5" max="6" width="11.88671875" bestFit="1" customWidth="1"/>
    <col min="7" max="7" width="11.44140625" bestFit="1" customWidth="1"/>
    <col min="8" max="8" width="11.109375" bestFit="1" customWidth="1"/>
    <col min="9" max="9" width="11.44140625" bestFit="1" customWidth="1"/>
    <col min="10" max="10" width="10.44140625" bestFit="1" customWidth="1"/>
    <col min="11" max="11" width="11.109375" bestFit="1" customWidth="1"/>
    <col min="12" max="13" width="10.88671875" bestFit="1" customWidth="1"/>
    <col min="14" max="14" width="10.44140625" bestFit="1" customWidth="1"/>
    <col min="15" max="15" width="10.5546875" bestFit="1" customWidth="1"/>
    <col min="16" max="16" width="11.88671875" bestFit="1" customWidth="1"/>
    <col min="17" max="18" width="10.5546875" bestFit="1" customWidth="1"/>
    <col min="19" max="19" width="9.109375" bestFit="1" customWidth="1"/>
    <col min="20" max="20" width="9.88671875" bestFit="1" customWidth="1"/>
    <col min="21" max="21" width="15" bestFit="1" customWidth="1"/>
    <col min="22" max="22" width="10.109375" bestFit="1" customWidth="1"/>
    <col min="23" max="23" width="10.44140625" bestFit="1" customWidth="1"/>
    <col min="24" max="26" width="10.88671875" bestFit="1" customWidth="1"/>
    <col min="27" max="30" width="10.44140625" bestFit="1" customWidth="1"/>
    <col min="31" max="31" width="10.88671875" bestFit="1" customWidth="1"/>
    <col min="32" max="32" width="7" bestFit="1" customWidth="1"/>
    <col min="33" max="33" width="31.109375" bestFit="1" customWidth="1"/>
    <col min="34" max="34" width="26.109375" bestFit="1" customWidth="1"/>
    <col min="35" max="35" width="29.109375" bestFit="1" customWidth="1"/>
    <col min="36" max="36" width="35" bestFit="1" customWidth="1"/>
    <col min="37" max="37" width="38.109375" bestFit="1" customWidth="1"/>
    <col min="38" max="38" width="10.109375" bestFit="1" customWidth="1"/>
    <col min="39" max="39" width="13.44140625" bestFit="1" customWidth="1"/>
    <col min="40" max="40" width="17.109375" bestFit="1" customWidth="1"/>
    <col min="41" max="41" width="20.109375" bestFit="1" customWidth="1"/>
    <col min="42" max="42" width="8.44140625" bestFit="1" customWidth="1"/>
    <col min="43" max="43" width="11.109375" bestFit="1" customWidth="1"/>
    <col min="44" max="44" width="19" bestFit="1" customWidth="1"/>
    <col min="45" max="45" width="22.109375" bestFit="1" customWidth="1"/>
    <col min="46" max="46" width="19" bestFit="1" customWidth="1"/>
    <col min="47" max="47" width="22.109375" bestFit="1" customWidth="1"/>
    <col min="48" max="48" width="15.44140625" bestFit="1" customWidth="1"/>
    <col min="49" max="49" width="18.44140625" bestFit="1" customWidth="1"/>
    <col min="50" max="50" width="24.5546875" bestFit="1" customWidth="1"/>
    <col min="51" max="51" width="27.88671875" bestFit="1" customWidth="1"/>
    <col min="52" max="52" width="15.44140625" bestFit="1" customWidth="1"/>
    <col min="53" max="53" width="18.44140625" bestFit="1" customWidth="1"/>
    <col min="54" max="54" width="22.5546875" bestFit="1" customWidth="1"/>
    <col min="55" max="56" width="25.88671875" bestFit="1" customWidth="1"/>
    <col min="57" max="57" width="28.88671875" bestFit="1" customWidth="1"/>
    <col min="58" max="58" width="25.88671875" bestFit="1" customWidth="1"/>
    <col min="59" max="59" width="28.88671875" bestFit="1" customWidth="1"/>
    <col min="60" max="60" width="13.109375" bestFit="1" customWidth="1"/>
    <col min="61" max="62" width="16.44140625" bestFit="1" customWidth="1"/>
    <col min="63" max="63" width="19.5546875" bestFit="1" customWidth="1"/>
    <col min="64" max="64" width="31.109375" bestFit="1" customWidth="1"/>
    <col min="65" max="65" width="34.44140625" bestFit="1" customWidth="1"/>
    <col min="66" max="66" width="15.109375" bestFit="1" customWidth="1"/>
    <col min="67" max="68" width="18.109375" bestFit="1" customWidth="1"/>
    <col min="69" max="69" width="21.109375" bestFit="1" customWidth="1"/>
    <col min="70" max="70" width="18.109375" bestFit="1" customWidth="1"/>
    <col min="71" max="71" width="21.109375" bestFit="1" customWidth="1"/>
    <col min="72" max="72" width="22.44140625" bestFit="1" customWidth="1"/>
    <col min="73" max="73" width="25.88671875" bestFit="1" customWidth="1"/>
    <col min="74" max="74" width="10.88671875" bestFit="1" customWidth="1"/>
    <col min="75" max="75" width="13.88671875" bestFit="1" customWidth="1"/>
    <col min="76" max="76" width="11.109375" bestFit="1" customWidth="1"/>
    <col min="77" max="77" width="11.88671875" bestFit="1" customWidth="1"/>
    <col min="78" max="78" width="25.109375" bestFit="1" customWidth="1"/>
    <col min="79" max="79" width="31" bestFit="1" customWidth="1"/>
    <col min="80" max="81" width="14.88671875" bestFit="1" customWidth="1"/>
    <col min="82" max="82" width="16.109375" bestFit="1" customWidth="1"/>
    <col min="83" max="84" width="19.44140625" bestFit="1" customWidth="1"/>
    <col min="85" max="85" width="18.109375" bestFit="1" customWidth="1"/>
    <col min="86" max="86" width="30.109375" bestFit="1" customWidth="1"/>
    <col min="87" max="87" width="25.88671875" bestFit="1" customWidth="1"/>
    <col min="88" max="88" width="13.44140625" bestFit="1" customWidth="1"/>
    <col min="89" max="89" width="22.5546875" bestFit="1" customWidth="1"/>
    <col min="90" max="91" width="16" bestFit="1" customWidth="1"/>
    <col min="92" max="93" width="13.44140625" bestFit="1" customWidth="1"/>
    <col min="94" max="94" width="32.88671875" bestFit="1" customWidth="1"/>
    <col min="95" max="95" width="39" bestFit="1" customWidth="1"/>
    <col min="96" max="96" width="20.5546875" bestFit="1" customWidth="1"/>
    <col min="97" max="98" width="23.88671875" bestFit="1" customWidth="1"/>
    <col min="99" max="99" width="13.44140625" bestFit="1" customWidth="1"/>
    <col min="100" max="101" width="21.88671875" bestFit="1" customWidth="1"/>
    <col min="102" max="102" width="11.109375" bestFit="1" customWidth="1"/>
    <col min="103" max="103" width="17.44140625" bestFit="1" customWidth="1"/>
    <col min="104" max="104" width="10" bestFit="1" customWidth="1"/>
    <col min="105" max="106" width="16.5546875" bestFit="1" customWidth="1"/>
    <col min="107" max="109" width="19.5546875" bestFit="1" customWidth="1"/>
    <col min="110" max="110" width="20" bestFit="1" customWidth="1"/>
    <col min="111" max="111" width="14.109375" bestFit="1" customWidth="1"/>
    <col min="112" max="113" width="16.88671875" bestFit="1" customWidth="1"/>
    <col min="114" max="114" width="14.109375" bestFit="1" customWidth="1"/>
    <col min="115" max="115" width="29" bestFit="1" customWidth="1"/>
    <col min="116" max="116" width="14.109375" bestFit="1" customWidth="1"/>
    <col min="117" max="117" width="23.88671875" bestFit="1" customWidth="1"/>
    <col min="118" max="118" width="13.109375" bestFit="1" customWidth="1"/>
    <col min="119" max="120" width="16.109375" bestFit="1" customWidth="1"/>
    <col min="121" max="121" width="18.88671875" bestFit="1" customWidth="1"/>
    <col min="122" max="122" width="19" bestFit="1" customWidth="1"/>
    <col min="123" max="123" width="15.109375" bestFit="1" customWidth="1"/>
    <col min="124" max="124" width="33.88671875" bestFit="1" customWidth="1"/>
    <col min="125" max="125" width="29.109375" bestFit="1" customWidth="1"/>
    <col min="126" max="126" width="41.109375" bestFit="1" customWidth="1"/>
    <col min="127" max="127" width="36" bestFit="1" customWidth="1"/>
    <col min="128" max="128" width="21.109375" bestFit="1" customWidth="1"/>
    <col min="129" max="129" width="17.88671875" bestFit="1" customWidth="1"/>
    <col min="130" max="130" width="11" bestFit="1" customWidth="1"/>
    <col min="131" max="131" width="14.109375" bestFit="1" customWidth="1"/>
    <col min="132" max="132" width="13.88671875" bestFit="1" customWidth="1"/>
    <col min="133" max="133" width="14.109375" bestFit="1" customWidth="1"/>
    <col min="134" max="135" width="16.88671875" bestFit="1" customWidth="1"/>
    <col min="136" max="136" width="14.109375" bestFit="1" customWidth="1"/>
    <col min="137" max="138" width="13.88671875" bestFit="1" customWidth="1"/>
    <col min="139" max="139" width="12.5546875" bestFit="1" customWidth="1"/>
    <col min="140" max="142" width="15.88671875" bestFit="1" customWidth="1"/>
    <col min="143" max="143" width="16.5546875" bestFit="1" customWidth="1"/>
    <col min="144" max="145" width="12.5546875" bestFit="1" customWidth="1"/>
    <col min="146" max="146" width="23.5546875" bestFit="1" customWidth="1"/>
    <col min="147" max="147" width="28" bestFit="1" customWidth="1"/>
    <col min="148" max="148" width="33.5546875" bestFit="1" customWidth="1"/>
    <col min="149" max="149" width="34.109375" bestFit="1" customWidth="1"/>
    <col min="150" max="150" width="20.44140625" bestFit="1" customWidth="1"/>
    <col min="151" max="151" width="8.88671875" bestFit="1" customWidth="1"/>
    <col min="152" max="152" width="12.109375" bestFit="1" customWidth="1"/>
    <col min="153" max="154" width="14.88671875" bestFit="1" customWidth="1"/>
    <col min="155" max="155" width="18" bestFit="1" customWidth="1"/>
    <col min="156" max="156" width="11.109375" bestFit="1" customWidth="1"/>
    <col min="157" max="157" width="21.88671875" bestFit="1" customWidth="1"/>
    <col min="158" max="158" width="17.88671875" bestFit="1" customWidth="1"/>
    <col min="159" max="159" width="31.109375" bestFit="1" customWidth="1"/>
    <col min="160" max="161" width="26.109375" bestFit="1" customWidth="1"/>
    <col min="162" max="163" width="29.109375" bestFit="1" customWidth="1"/>
    <col min="164" max="164" width="26.109375" bestFit="1" customWidth="1"/>
    <col min="165" max="165" width="24.88671875" bestFit="1" customWidth="1"/>
    <col min="166" max="167" width="24.109375" bestFit="1" customWidth="1"/>
    <col min="168" max="168" width="32.88671875" bestFit="1" customWidth="1"/>
    <col min="169" max="169" width="11.88671875" bestFit="1" customWidth="1"/>
    <col min="170" max="171" width="12.5546875" bestFit="1" customWidth="1"/>
    <col min="172" max="172" width="24.88671875" bestFit="1" customWidth="1"/>
    <col min="173" max="173" width="19.5546875" bestFit="1" customWidth="1"/>
    <col min="174" max="174" width="12.5546875" bestFit="1" customWidth="1"/>
    <col min="175" max="175" width="13.44140625" bestFit="1" customWidth="1"/>
    <col min="176" max="177" width="12.5546875" bestFit="1" customWidth="1"/>
    <col min="178" max="178" width="12.109375" bestFit="1" customWidth="1"/>
    <col min="179" max="179" width="17.44140625" bestFit="1" customWidth="1"/>
    <col min="180" max="180" width="18" bestFit="1" customWidth="1"/>
    <col min="181" max="181" width="13.109375" bestFit="1" customWidth="1"/>
    <col min="182" max="182" width="11.88671875" bestFit="1" customWidth="1"/>
    <col min="183" max="183" width="13.109375" bestFit="1" customWidth="1"/>
    <col min="184" max="187" width="11.88671875" bestFit="1" customWidth="1"/>
    <col min="188" max="188" width="13.109375" bestFit="1" customWidth="1"/>
    <col min="189" max="190" width="11.88671875" bestFit="1" customWidth="1"/>
    <col min="191" max="193" width="12.109375" bestFit="1" customWidth="1"/>
    <col min="194" max="195" width="15.109375" bestFit="1" customWidth="1"/>
    <col min="196" max="196" width="12.109375" bestFit="1" customWidth="1"/>
    <col min="197" max="197" width="19.109375" bestFit="1" customWidth="1"/>
    <col min="198" max="199" width="21.109375" bestFit="1" customWidth="1"/>
    <col min="200" max="201" width="20.109375" bestFit="1" customWidth="1"/>
    <col min="202" max="203" width="12.109375" bestFit="1" customWidth="1"/>
    <col min="204" max="204" width="19" bestFit="1" customWidth="1"/>
    <col min="205" max="205" width="16.88671875" bestFit="1" customWidth="1"/>
    <col min="206" max="206" width="20.109375" bestFit="1" customWidth="1"/>
    <col min="207" max="207" width="8.109375" bestFit="1" customWidth="1"/>
    <col min="208" max="208" width="18.44140625" bestFit="1" customWidth="1"/>
    <col min="209" max="209" width="24.88671875" bestFit="1" customWidth="1"/>
    <col min="210" max="210" width="25.109375" bestFit="1" customWidth="1"/>
    <col min="211" max="211" width="18" bestFit="1" customWidth="1"/>
    <col min="212" max="212" width="23.109375" bestFit="1" customWidth="1"/>
    <col min="213" max="214" width="21" bestFit="1" customWidth="1"/>
    <col min="215" max="215" width="15.109375" bestFit="1" customWidth="1"/>
    <col min="216" max="218" width="15.44140625" bestFit="1" customWidth="1"/>
    <col min="219" max="220" width="18.88671875" bestFit="1" customWidth="1"/>
    <col min="221" max="221" width="15.44140625" bestFit="1" customWidth="1"/>
    <col min="222" max="223" width="18.109375" bestFit="1" customWidth="1"/>
    <col min="224" max="224" width="15.44140625" bestFit="1" customWidth="1"/>
    <col min="225" max="226" width="17.5546875" bestFit="1" customWidth="1"/>
    <col min="227" max="227" width="11.109375" bestFit="1" customWidth="1"/>
    <col min="228" max="228" width="11.88671875" bestFit="1" customWidth="1"/>
    <col min="229" max="229" width="20.88671875" bestFit="1" customWidth="1"/>
    <col min="230" max="230" width="7.44140625" bestFit="1" customWidth="1"/>
    <col min="231" max="231" width="14.88671875" bestFit="1" customWidth="1"/>
    <col min="232" max="233" width="9.88671875" bestFit="1" customWidth="1"/>
    <col min="234" max="234" width="11.109375" bestFit="1" customWidth="1"/>
    <col min="235" max="235" width="13.109375" bestFit="1" customWidth="1"/>
    <col min="236" max="237" width="8.88671875" bestFit="1" customWidth="1"/>
    <col min="238" max="238" width="6.44140625" bestFit="1" customWidth="1"/>
    <col min="239" max="240" width="17" bestFit="1" customWidth="1"/>
    <col min="241" max="243" width="11.88671875" bestFit="1" customWidth="1"/>
    <col min="244" max="244" width="25.109375" bestFit="1" customWidth="1"/>
    <col min="245" max="245" width="31" bestFit="1" customWidth="1"/>
    <col min="246" max="246" width="23.109375" bestFit="1" customWidth="1"/>
    <col min="247" max="248" width="14.88671875" bestFit="1" customWidth="1"/>
    <col min="249" max="249" width="16.109375" bestFit="1" customWidth="1"/>
    <col min="250" max="251" width="19.44140625" bestFit="1" customWidth="1"/>
    <col min="252" max="252" width="16.109375" bestFit="1" customWidth="1"/>
    <col min="253" max="254" width="19.44140625" bestFit="1" customWidth="1"/>
    <col min="255" max="255" width="12.5546875" bestFit="1" customWidth="1"/>
    <col min="256" max="257" width="15.88671875" bestFit="1" customWidth="1"/>
    <col min="258" max="259" width="18.109375" bestFit="1" customWidth="1"/>
    <col min="260" max="260" width="30.109375" bestFit="1" customWidth="1"/>
    <col min="261" max="261" width="25.88671875" bestFit="1" customWidth="1"/>
    <col min="262" max="262" width="13.44140625" bestFit="1" customWidth="1"/>
    <col min="263" max="263" width="22.5546875" bestFit="1" customWidth="1"/>
    <col min="264" max="265" width="16" bestFit="1" customWidth="1"/>
    <col min="266" max="267" width="13.44140625" bestFit="1" customWidth="1"/>
    <col min="268" max="269" width="16.44140625" bestFit="1" customWidth="1"/>
    <col min="270" max="270" width="13.44140625" bestFit="1" customWidth="1"/>
    <col min="271" max="271" width="32.88671875" bestFit="1" customWidth="1"/>
    <col min="272" max="272" width="39" bestFit="1" customWidth="1"/>
    <col min="273" max="273" width="20.5546875" bestFit="1" customWidth="1"/>
    <col min="274" max="275" width="23.88671875" bestFit="1" customWidth="1"/>
    <col min="276" max="276" width="13.44140625" bestFit="1" customWidth="1"/>
    <col min="277" max="278" width="21.88671875" bestFit="1" customWidth="1"/>
    <col min="279" max="279" width="11.109375" bestFit="1" customWidth="1"/>
    <col min="280" max="280" width="17.44140625" bestFit="1" customWidth="1"/>
    <col min="281" max="281" width="10" bestFit="1" customWidth="1"/>
    <col min="282" max="283" width="16.5546875" bestFit="1" customWidth="1"/>
    <col min="284" max="286" width="19.5546875" bestFit="1" customWidth="1"/>
    <col min="287" max="287" width="20" bestFit="1" customWidth="1"/>
    <col min="288" max="288" width="14.109375" bestFit="1" customWidth="1"/>
    <col min="289" max="290" width="16.88671875" bestFit="1" customWidth="1"/>
    <col min="291" max="291" width="14.109375" bestFit="1" customWidth="1"/>
    <col min="292" max="292" width="29" bestFit="1" customWidth="1"/>
    <col min="293" max="293" width="14.109375" bestFit="1" customWidth="1"/>
    <col min="294" max="294" width="23.88671875" bestFit="1" customWidth="1"/>
    <col min="295" max="295" width="13.109375" bestFit="1" customWidth="1"/>
    <col min="296" max="297" width="16.109375" bestFit="1" customWidth="1"/>
    <col min="298" max="298" width="18.88671875" bestFit="1" customWidth="1"/>
    <col min="299" max="299" width="19" bestFit="1" customWidth="1"/>
    <col min="300" max="300" width="12.109375" bestFit="1" customWidth="1"/>
    <col min="301" max="301" width="15.109375" bestFit="1" customWidth="1"/>
    <col min="302" max="302" width="33.88671875" bestFit="1" customWidth="1"/>
    <col min="303" max="303" width="29.109375" bestFit="1" customWidth="1"/>
    <col min="304" max="304" width="41.109375" bestFit="1" customWidth="1"/>
    <col min="305" max="305" width="36" bestFit="1" customWidth="1"/>
    <col min="306" max="306" width="21.109375" bestFit="1" customWidth="1"/>
    <col min="307" max="307" width="16.5546875" bestFit="1" customWidth="1"/>
    <col min="308" max="308" width="17.88671875" bestFit="1" customWidth="1"/>
    <col min="309" max="310" width="20.88671875" bestFit="1" customWidth="1"/>
    <col min="311" max="311" width="17.88671875" bestFit="1" customWidth="1"/>
    <col min="312" max="312" width="11" bestFit="1" customWidth="1"/>
    <col min="313" max="313" width="11.5546875" bestFit="1" customWidth="1"/>
    <col min="314" max="314" width="18.44140625" bestFit="1" customWidth="1"/>
    <col min="315" max="315" width="19" bestFit="1" customWidth="1"/>
    <col min="316" max="316" width="12.5546875" bestFit="1" customWidth="1"/>
    <col min="317" max="317" width="15.88671875" bestFit="1" customWidth="1"/>
    <col min="318" max="318" width="16" bestFit="1" customWidth="1"/>
    <col min="319" max="319" width="14.109375" bestFit="1" customWidth="1"/>
    <col min="320" max="320" width="13.88671875" bestFit="1" customWidth="1"/>
    <col min="321" max="321" width="14.109375" bestFit="1" customWidth="1"/>
    <col min="322" max="323" width="16.88671875" bestFit="1" customWidth="1"/>
    <col min="324" max="324" width="14.109375" bestFit="1" customWidth="1"/>
    <col min="325" max="326" width="13.88671875" bestFit="1" customWidth="1"/>
    <col min="327" max="327" width="12.5546875" bestFit="1" customWidth="1"/>
    <col min="328" max="330" width="13.88671875" bestFit="1" customWidth="1"/>
    <col min="331" max="332" width="12.5546875" bestFit="1" customWidth="1"/>
    <col min="333" max="335" width="15.88671875" bestFit="1" customWidth="1"/>
    <col min="336" max="336" width="16.5546875" bestFit="1" customWidth="1"/>
    <col min="337" max="337" width="12.5546875" bestFit="1" customWidth="1"/>
    <col min="338" max="339" width="14" bestFit="1" customWidth="1"/>
    <col min="340" max="340" width="12.5546875" bestFit="1" customWidth="1"/>
    <col min="341" max="341" width="13.88671875" bestFit="1" customWidth="1"/>
    <col min="342" max="342" width="23.5546875" bestFit="1" customWidth="1"/>
    <col min="343" max="343" width="27" bestFit="1" customWidth="1"/>
    <col min="344" max="344" width="29.44140625" bestFit="1" customWidth="1"/>
    <col min="345" max="345" width="34.44140625" bestFit="1" customWidth="1"/>
    <col min="346" max="346" width="29.88671875" bestFit="1" customWidth="1"/>
    <col min="347" max="347" width="26.44140625" bestFit="1" customWidth="1"/>
    <col min="348" max="348" width="31.5546875" bestFit="1" customWidth="1"/>
    <col min="349" max="350" width="29.44140625" bestFit="1" customWidth="1"/>
    <col min="351" max="351" width="17.88671875" bestFit="1" customWidth="1"/>
    <col min="352" max="352" width="18" bestFit="1" customWidth="1"/>
    <col min="353" max="354" width="21.109375" bestFit="1" customWidth="1"/>
    <col min="355" max="355" width="5" bestFit="1" customWidth="1"/>
    <col min="356" max="356" width="10.109375" bestFit="1" customWidth="1"/>
    <col min="357" max="358" width="8.109375" bestFit="1" customWidth="1"/>
    <col min="359" max="359" width="28" bestFit="1" customWidth="1"/>
    <col min="360" max="360" width="33.5546875" bestFit="1" customWidth="1"/>
    <col min="361" max="361" width="34.109375" bestFit="1" customWidth="1"/>
    <col min="362" max="362" width="20.44140625" bestFit="1" customWidth="1"/>
    <col min="363" max="363" width="15.88671875" bestFit="1" customWidth="1"/>
    <col min="364" max="364" width="19" bestFit="1" customWidth="1"/>
    <col min="365" max="365" width="23.44140625" bestFit="1" customWidth="1"/>
    <col min="366" max="366" width="23.109375" bestFit="1" customWidth="1"/>
    <col min="367" max="367" width="19.109375" bestFit="1" customWidth="1"/>
    <col min="368" max="368" width="22.109375" bestFit="1" customWidth="1"/>
    <col min="369" max="370" width="14.88671875" bestFit="1" customWidth="1"/>
    <col min="371" max="371" width="21.88671875" bestFit="1" customWidth="1"/>
    <col min="372" max="372" width="22.109375" bestFit="1" customWidth="1"/>
    <col min="373" max="373" width="14.88671875" bestFit="1" customWidth="1"/>
    <col min="374" max="374" width="8.88671875" bestFit="1" customWidth="1"/>
    <col min="375" max="375" width="10.44140625" bestFit="1" customWidth="1"/>
    <col min="376" max="376" width="12.109375" bestFit="1" customWidth="1"/>
    <col min="377" max="381" width="14.88671875" bestFit="1" customWidth="1"/>
    <col min="382" max="382" width="19.88671875" bestFit="1" customWidth="1"/>
    <col min="383" max="383" width="31.109375" bestFit="1" customWidth="1"/>
    <col min="384" max="384" width="8" bestFit="1" customWidth="1"/>
    <col min="385" max="385" width="27.44140625" bestFit="1" customWidth="1"/>
    <col min="386" max="386" width="21.88671875" bestFit="1" customWidth="1"/>
    <col min="387" max="389" width="18" bestFit="1" customWidth="1"/>
    <col min="390" max="390" width="26" bestFit="1" customWidth="1"/>
    <col min="391" max="391" width="21.88671875" bestFit="1" customWidth="1"/>
    <col min="392" max="392" width="27" bestFit="1" customWidth="1"/>
    <col min="393" max="394" width="24.88671875" bestFit="1" customWidth="1"/>
    <col min="395" max="395" width="11.109375" bestFit="1" customWidth="1"/>
  </cols>
  <sheetData>
    <row r="2" spans="1:2" x14ac:dyDescent="0.3">
      <c r="A2" s="44" t="s">
        <v>18</v>
      </c>
      <c r="B2" t="s">
        <v>1688</v>
      </c>
    </row>
    <row r="4" spans="1:2" x14ac:dyDescent="0.3">
      <c r="B4" s="44" t="s">
        <v>1689</v>
      </c>
    </row>
    <row r="5" spans="1:2" x14ac:dyDescent="0.3">
      <c r="A5" s="44" t="s">
        <v>1690</v>
      </c>
      <c r="B5" t="s">
        <v>25</v>
      </c>
    </row>
    <row r="6" spans="1:2" x14ac:dyDescent="0.3">
      <c r="A6" s="229" t="s">
        <v>1691</v>
      </c>
    </row>
    <row r="7" spans="1:2" x14ac:dyDescent="0.3">
      <c r="A7" s="229" t="s">
        <v>1692</v>
      </c>
    </row>
    <row r="8" spans="1:2" x14ac:dyDescent="0.3">
      <c r="A8" s="229" t="s">
        <v>1693</v>
      </c>
    </row>
    <row r="9" spans="1:2" x14ac:dyDescent="0.3">
      <c r="A9" s="229" t="s">
        <v>1694</v>
      </c>
    </row>
    <row r="10" spans="1:2" x14ac:dyDescent="0.3">
      <c r="A10" s="229" t="s">
        <v>1695</v>
      </c>
    </row>
    <row r="11" spans="1:2" x14ac:dyDescent="0.3">
      <c r="A11" s="229" t="s">
        <v>1696</v>
      </c>
    </row>
    <row r="12" spans="1:2" x14ac:dyDescent="0.3">
      <c r="A12" s="229" t="s">
        <v>1697</v>
      </c>
    </row>
    <row r="13" spans="1:2" x14ac:dyDescent="0.3">
      <c r="A13" s="229" t="s">
        <v>1698</v>
      </c>
    </row>
    <row r="14" spans="1:2" x14ac:dyDescent="0.3">
      <c r="A14" s="229" t="s">
        <v>1699</v>
      </c>
    </row>
    <row r="15" spans="1:2" x14ac:dyDescent="0.3">
      <c r="A15" s="229" t="s">
        <v>1700</v>
      </c>
    </row>
    <row r="16" spans="1:2" x14ac:dyDescent="0.3">
      <c r="A16" s="229" t="s">
        <v>1701</v>
      </c>
    </row>
    <row r="17" spans="1:1" x14ac:dyDescent="0.3">
      <c r="A17" s="229" t="s">
        <v>1702</v>
      </c>
    </row>
    <row r="18" spans="1:1" x14ac:dyDescent="0.3">
      <c r="A18" s="229" t="s">
        <v>1703</v>
      </c>
    </row>
    <row r="19" spans="1:1" x14ac:dyDescent="0.3">
      <c r="A19" s="229" t="s">
        <v>1704</v>
      </c>
    </row>
    <row r="20" spans="1:1" x14ac:dyDescent="0.3">
      <c r="A20" s="229" t="s">
        <v>1705</v>
      </c>
    </row>
    <row r="21" spans="1:1" x14ac:dyDescent="0.3">
      <c r="A21" s="229" t="s">
        <v>1706</v>
      </c>
    </row>
    <row r="22" spans="1:1" x14ac:dyDescent="0.3">
      <c r="A22" s="229" t="s">
        <v>1707</v>
      </c>
    </row>
    <row r="23" spans="1:1" x14ac:dyDescent="0.3">
      <c r="A23" s="229" t="s">
        <v>1708</v>
      </c>
    </row>
    <row r="24" spans="1:1" x14ac:dyDescent="0.3">
      <c r="A24" s="229" t="s">
        <v>1709</v>
      </c>
    </row>
    <row r="25" spans="1:1" x14ac:dyDescent="0.3">
      <c r="A25" s="229" t="s">
        <v>1710</v>
      </c>
    </row>
    <row r="26" spans="1:1" x14ac:dyDescent="0.3">
      <c r="A26" s="229" t="s">
        <v>1711</v>
      </c>
    </row>
    <row r="27" spans="1:1" x14ac:dyDescent="0.3">
      <c r="A27" s="229" t="s">
        <v>1712</v>
      </c>
    </row>
    <row r="28" spans="1:1" x14ac:dyDescent="0.3">
      <c r="A28" s="229" t="s">
        <v>1713</v>
      </c>
    </row>
    <row r="29" spans="1:1" x14ac:dyDescent="0.3">
      <c r="A29" s="229" t="s">
        <v>1714</v>
      </c>
    </row>
    <row r="30" spans="1:1" x14ac:dyDescent="0.3">
      <c r="A30" s="229" t="s">
        <v>1715</v>
      </c>
    </row>
    <row r="31" spans="1:1" x14ac:dyDescent="0.3">
      <c r="A31" s="229" t="s">
        <v>1716</v>
      </c>
    </row>
    <row r="32" spans="1:1" x14ac:dyDescent="0.3">
      <c r="A32" s="229" t="s">
        <v>1717</v>
      </c>
    </row>
    <row r="33" spans="1:2" x14ac:dyDescent="0.3">
      <c r="A33" s="229" t="s">
        <v>1718</v>
      </c>
    </row>
    <row r="34" spans="1:2" x14ac:dyDescent="0.3">
      <c r="A34" s="272" t="s">
        <v>1719</v>
      </c>
    </row>
    <row r="35" spans="1:2" x14ac:dyDescent="0.3">
      <c r="A35" s="272" t="s">
        <v>1720</v>
      </c>
    </row>
    <row r="36" spans="1:2" x14ac:dyDescent="0.3">
      <c r="A36" s="272" t="s">
        <v>1721</v>
      </c>
    </row>
    <row r="37" spans="1:2" x14ac:dyDescent="0.3">
      <c r="A37" s="272" t="s">
        <v>1722</v>
      </c>
    </row>
    <row r="38" spans="1:2" x14ac:dyDescent="0.3">
      <c r="A38" s="272" t="s">
        <v>1723</v>
      </c>
    </row>
    <row r="39" spans="1:2" x14ac:dyDescent="0.3">
      <c r="A39" s="272" t="s">
        <v>1724</v>
      </c>
    </row>
    <row r="40" spans="1:2" x14ac:dyDescent="0.3">
      <c r="A40" s="272" t="s">
        <v>1725</v>
      </c>
    </row>
    <row r="41" spans="1:2" x14ac:dyDescent="0.3">
      <c r="A41" s="272" t="s">
        <v>1726</v>
      </c>
      <c r="B41" s="273">
        <v>17</v>
      </c>
    </row>
    <row r="42" spans="1:2" x14ac:dyDescent="0.3">
      <c r="A42" s="272" t="s">
        <v>1727</v>
      </c>
    </row>
    <row r="43" spans="1:2" x14ac:dyDescent="0.3">
      <c r="A43" s="272" t="s">
        <v>1728</v>
      </c>
    </row>
    <row r="44" spans="1:2" x14ac:dyDescent="0.3">
      <c r="A44" s="272" t="s">
        <v>1729</v>
      </c>
    </row>
    <row r="45" spans="1:2" x14ac:dyDescent="0.3">
      <c r="A45" s="272" t="s">
        <v>1730</v>
      </c>
    </row>
    <row r="46" spans="1:2" x14ac:dyDescent="0.3">
      <c r="A46" s="272" t="s">
        <v>1731</v>
      </c>
    </row>
    <row r="47" spans="1:2" x14ac:dyDescent="0.3">
      <c r="A47" s="272" t="s">
        <v>1732</v>
      </c>
    </row>
    <row r="48" spans="1:2" x14ac:dyDescent="0.3">
      <c r="A48" s="272" t="s">
        <v>1733</v>
      </c>
    </row>
    <row r="49" spans="1:2" x14ac:dyDescent="0.3">
      <c r="A49" s="272" t="s">
        <v>1734</v>
      </c>
      <c r="B49">
        <v>18.2</v>
      </c>
    </row>
    <row r="50" spans="1:2" x14ac:dyDescent="0.3">
      <c r="A50" s="272" t="s">
        <v>1735</v>
      </c>
    </row>
    <row r="51" spans="1:2" x14ac:dyDescent="0.3">
      <c r="A51" s="272" t="s">
        <v>1736</v>
      </c>
    </row>
    <row r="52" spans="1:2" x14ac:dyDescent="0.3">
      <c r="A52" s="272" t="s">
        <v>1737</v>
      </c>
    </row>
    <row r="53" spans="1:2" x14ac:dyDescent="0.3">
      <c r="A53" s="272" t="s">
        <v>1738</v>
      </c>
    </row>
    <row r="54" spans="1:2" x14ac:dyDescent="0.3">
      <c r="A54" s="272" t="s">
        <v>1739</v>
      </c>
    </row>
    <row r="55" spans="1:2" x14ac:dyDescent="0.3">
      <c r="A55" s="272" t="s">
        <v>1740</v>
      </c>
    </row>
    <row r="56" spans="1:2" x14ac:dyDescent="0.3">
      <c r="A56" s="272" t="s">
        <v>1741</v>
      </c>
    </row>
    <row r="57" spans="1:2" x14ac:dyDescent="0.3">
      <c r="A57" s="272" t="s">
        <v>1742</v>
      </c>
    </row>
    <row r="58" spans="1:2" x14ac:dyDescent="0.3">
      <c r="A58" s="272" t="s">
        <v>1743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49C7B57AA89494D97AD7F9C7AAF1FA3" ma:contentTypeVersion="16" ma:contentTypeDescription="Create a new document." ma:contentTypeScope="" ma:versionID="4313d4ab32d6d4540f8041b2aa693d8d">
  <xsd:schema xmlns:xsd="http://www.w3.org/2001/XMLSchema" xmlns:xs="http://www.w3.org/2001/XMLSchema" xmlns:p="http://schemas.microsoft.com/office/2006/metadata/properties" xmlns:ns2="cb8885cf-f7c3-4147-88f7-3374f51e527d" xmlns:ns3="511187d4-c97d-4bf4-be43-fdc87f977711" targetNamespace="http://schemas.microsoft.com/office/2006/metadata/properties" ma:root="true" ma:fieldsID="d0dfc401f6734609a8618b374b30967c" ns2:_="" ns3:_="">
    <xsd:import namespace="cb8885cf-f7c3-4147-88f7-3374f51e527d"/>
    <xsd:import namespace="511187d4-c97d-4bf4-be43-fdc87f977711"/>
    <xsd:element name="properties">
      <xsd:complexType>
        <xsd:sequence>
          <xsd:element name="documentManagement">
            <xsd:complexType>
              <xsd:all>
                <xsd:element ref="ns2:MediaServiceMetadata" minOccurs="0"/>
                <xsd:element ref="ns2:MediaServiceFastMetadata" minOccurs="0"/>
                <xsd:element ref="ns2:MediaServiceOCR" minOccurs="0"/>
                <xsd:element ref="ns3:SharedWithUsers" minOccurs="0"/>
                <xsd:element ref="ns3:SharedWithDetails"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8885cf-f7c3-4147-88f7-3374f51e52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d0f0cfe-34f2-4a06-ab4d-e9186d0c4f66"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11187d4-c97d-4bf4-be43-fdc87f97771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7f4c2a93-347a-421d-be59-f3ab58ab7dff}" ma:internalName="TaxCatchAll" ma:showField="CatchAllData" ma:web="511187d4-c97d-4bf4-be43-fdc87f9777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11187d4-c97d-4bf4-be43-fdc87f977711" xsi:nil="true"/>
    <lcf76f155ced4ddcb4097134ff3c332f xmlns="cb8885cf-f7c3-4147-88f7-3374f51e527d">
      <Terms xmlns="http://schemas.microsoft.com/office/infopath/2007/PartnerControls"/>
    </lcf76f155ced4ddcb4097134ff3c332f>
    <SharedWithUsers xmlns="511187d4-c97d-4bf4-be43-fdc87f977711">
      <UserInfo>
        <DisplayName>Aaron Lange</DisplayName>
        <AccountId>12</AccountId>
        <AccountType/>
      </UserInfo>
      <UserInfo>
        <DisplayName>Vanessa Ocegueda</DisplayName>
        <AccountId>93</AccountId>
        <AccountType/>
      </UserInfo>
      <UserInfo>
        <DisplayName>Brenda Sandoval</DisplayName>
        <AccountId>23</AccountId>
        <AccountType/>
      </UserInfo>
      <UserInfo>
        <DisplayName>Maria Zumkeller</DisplayName>
        <AccountId>103</AccountId>
        <AccountType/>
      </UserInfo>
      <UserInfo>
        <DisplayName>Alyssa Drake</DisplayName>
        <AccountId>17</AccountId>
        <AccountType/>
      </UserInfo>
      <UserInfo>
        <DisplayName>Mercedes Sanchez</DisplayName>
        <AccountId>198</AccountId>
        <AccountType/>
      </UserInfo>
      <UserInfo>
        <DisplayName>LTLAB</DisplayName>
        <AccountId>202</AccountId>
        <AccountType/>
      </UserInfo>
      <UserInfo>
        <DisplayName>Ismael Moreno</DisplayName>
        <AccountId>203</AccountId>
        <AccountType/>
      </UserInfo>
      <UserInfo>
        <DisplayName>Mark Shelor</DisplayName>
        <AccountId>204</AccountId>
        <AccountType/>
      </UserInfo>
      <UserInfo>
        <DisplayName>Anastasia Cook</DisplayName>
        <AccountId>205</AccountId>
        <AccountType/>
      </UserInfo>
      <UserInfo>
        <DisplayName>Anisa Rodriguez</DisplayName>
        <AccountId>206</AccountId>
        <AccountType/>
      </UserInfo>
    </SharedWithUsers>
  </documentManagement>
</p:properties>
</file>

<file path=customXml/itemProps1.xml><?xml version="1.0" encoding="utf-8"?>
<ds:datastoreItem xmlns:ds="http://schemas.openxmlformats.org/officeDocument/2006/customXml" ds:itemID="{58EAF4B2-72D8-40C3-ABD8-6EF060E83827}">
  <ds:schemaRefs>
    <ds:schemaRef ds:uri="http://schemas.microsoft.com/sharepoint/v3/contenttype/forms"/>
  </ds:schemaRefs>
</ds:datastoreItem>
</file>

<file path=customXml/itemProps2.xml><?xml version="1.0" encoding="utf-8"?>
<ds:datastoreItem xmlns:ds="http://schemas.openxmlformats.org/officeDocument/2006/customXml" ds:itemID="{164A773F-4464-4874-BFC8-37D42E9AAB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8885cf-f7c3-4147-88f7-3374f51e527d"/>
    <ds:schemaRef ds:uri="511187d4-c97d-4bf4-be43-fdc87f9777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8EED5E8-252C-4FBF-A296-FA70FD327160}">
  <ds:schemaRefs>
    <ds:schemaRef ds:uri="511187d4-c97d-4bf4-be43-fdc87f977711"/>
    <ds:schemaRef ds:uri="http://schemas.microsoft.com/office/2006/documentManagement/types"/>
    <ds:schemaRef ds:uri="cb8885cf-f7c3-4147-88f7-3374f51e527d"/>
    <ds:schemaRef ds:uri="http://schemas.microsoft.com/office/infopath/2007/PartnerControls"/>
    <ds:schemaRef ds:uri="http://schemas.microsoft.com/office/2006/metadata/properties"/>
    <ds:schemaRef ds:uri="http://purl.org/dc/elements/1.1/"/>
    <ds:schemaRef ds:uri="http://www.w3.org/XML/1998/namespace"/>
    <ds:schemaRef ds:uri="http://purl.org/dc/term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All Brix</vt:lpstr>
      <vt:lpstr>Hoja1</vt:lpstr>
      <vt:lpstr>Lab Analysis</vt:lpstr>
      <vt:lpstr>Sampling Schedule</vt:lpstr>
      <vt:lpstr>Scheduling Docket</vt:lpstr>
      <vt:lpstr>Dashboard</vt:lpstr>
      <vt:lpstr>LTW Harvest Forecast</vt:lpstr>
      <vt:lpstr>Brix Pivot Table</vt:lpstr>
      <vt:lpstr>'All Brix'!Print_Area</vt:lpstr>
      <vt:lpstr>'All Brix'!Print_Titles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Alyssa Drake</dc:creator>
  <cp:keywords/>
  <dc:description/>
  <cp:lastModifiedBy>Maria Zumkeller</cp:lastModifiedBy>
  <cp:revision/>
  <dcterms:created xsi:type="dcterms:W3CDTF">2016-08-23T20:59:19Z</dcterms:created>
  <dcterms:modified xsi:type="dcterms:W3CDTF">2024-08-05T21:44:11Z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0x010100049C7B57AA89494D97AD7F9C7AAF1FA3</vt:lpwstr>
  </property>
  <property fmtid="{D5CDD505-2E9C-101B-9397-08002B2CF9AE}" pid="3" name="MediaServiceImageTags">
    <vt:lpwstr/>
  </property>
</Properties>
</file>